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tevenchung/Desktop/P12B_File/RMBS_Modelling/outputs/"/>
    </mc:Choice>
  </mc:AlternateContent>
  <xr:revisionPtr revIDLastSave="0" documentId="8_{9812597F-E2A5-E748-AF4A-3EBCAEACB92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Inputs" sheetId="1" r:id="rId1"/>
    <sheet name="LoanPool" sheetId="2" r:id="rId2"/>
    <sheet name="Waterfall" sheetId="3" r:id="rId3"/>
    <sheet name="Scenarios" sheetId="4" r:id="rId4"/>
    <sheet name="Checks" sheetId="5" r:id="rId5"/>
    <sheet name="Scenarios_V2" sheetId="6" r:id="rId6"/>
    <sheet name="PoolStates_V2" sheetId="7" r:id="rId7"/>
    <sheet name="Waterfall_V2" sheetId="8" r:id="rId8"/>
    <sheet name="Checks_V2" sheetId="9" r:id="rId9"/>
    <sheet name="CompareExpor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1" i="10" l="1"/>
  <c r="A361" i="10"/>
  <c r="B360" i="10"/>
  <c r="A360" i="10"/>
  <c r="B359" i="10"/>
  <c r="A359" i="10"/>
  <c r="B358" i="10"/>
  <c r="A358" i="10"/>
  <c r="B357" i="10"/>
  <c r="A357" i="10"/>
  <c r="B356" i="10"/>
  <c r="A356" i="10"/>
  <c r="B355" i="10"/>
  <c r="A355" i="10"/>
  <c r="B354" i="10"/>
  <c r="A354" i="10"/>
  <c r="B353" i="10"/>
  <c r="A353" i="10"/>
  <c r="B352" i="10"/>
  <c r="A352" i="10"/>
  <c r="B351" i="10"/>
  <c r="A351" i="10"/>
  <c r="B350" i="10"/>
  <c r="A350" i="10"/>
  <c r="B349" i="10"/>
  <c r="A349" i="10"/>
  <c r="B348" i="10"/>
  <c r="A348" i="10"/>
  <c r="B347" i="10"/>
  <c r="A347" i="10"/>
  <c r="B346" i="10"/>
  <c r="A346" i="10"/>
  <c r="B345" i="10"/>
  <c r="A345" i="10"/>
  <c r="B344" i="10"/>
  <c r="A344" i="10"/>
  <c r="B343" i="10"/>
  <c r="A343" i="10"/>
  <c r="B342" i="10"/>
  <c r="A342" i="10"/>
  <c r="B341" i="10"/>
  <c r="A341" i="10"/>
  <c r="B340" i="10"/>
  <c r="A340" i="10"/>
  <c r="B339" i="10"/>
  <c r="A339" i="10"/>
  <c r="B338" i="10"/>
  <c r="A338" i="10"/>
  <c r="B337" i="10"/>
  <c r="A337" i="10"/>
  <c r="B336" i="10"/>
  <c r="A336" i="10"/>
  <c r="B335" i="10"/>
  <c r="A335" i="10"/>
  <c r="B334" i="10"/>
  <c r="A334" i="10"/>
  <c r="B333" i="10"/>
  <c r="A333" i="10"/>
  <c r="B332" i="10"/>
  <c r="A332" i="10"/>
  <c r="B331" i="10"/>
  <c r="A331" i="10"/>
  <c r="B330" i="10"/>
  <c r="A330" i="10"/>
  <c r="B329" i="10"/>
  <c r="A329" i="10"/>
  <c r="B328" i="10"/>
  <c r="A328" i="10"/>
  <c r="B327" i="10"/>
  <c r="A327" i="10"/>
  <c r="B326" i="10"/>
  <c r="A326" i="10"/>
  <c r="B325" i="10"/>
  <c r="A325" i="10"/>
  <c r="B324" i="10"/>
  <c r="A324" i="10"/>
  <c r="B323" i="10"/>
  <c r="A323" i="10"/>
  <c r="B322" i="10"/>
  <c r="A322" i="10"/>
  <c r="B321" i="10"/>
  <c r="A321" i="10"/>
  <c r="B320" i="10"/>
  <c r="A320" i="10"/>
  <c r="B319" i="10"/>
  <c r="A319" i="10"/>
  <c r="B318" i="10"/>
  <c r="A318" i="10"/>
  <c r="B317" i="10"/>
  <c r="A317" i="10"/>
  <c r="B316" i="10"/>
  <c r="A316" i="10"/>
  <c r="B315" i="10"/>
  <c r="A315" i="10"/>
  <c r="B314" i="10"/>
  <c r="A314" i="10"/>
  <c r="B313" i="10"/>
  <c r="A313" i="10"/>
  <c r="B312" i="10"/>
  <c r="A312" i="10"/>
  <c r="B311" i="10"/>
  <c r="A311" i="10"/>
  <c r="B310" i="10"/>
  <c r="A310" i="10"/>
  <c r="B309" i="10"/>
  <c r="A309" i="10"/>
  <c r="B308" i="10"/>
  <c r="A308" i="10"/>
  <c r="B307" i="10"/>
  <c r="A307" i="10"/>
  <c r="B306" i="10"/>
  <c r="A306" i="10"/>
  <c r="B305" i="10"/>
  <c r="A305" i="10"/>
  <c r="B304" i="10"/>
  <c r="A304" i="10"/>
  <c r="B303" i="10"/>
  <c r="A303" i="10"/>
  <c r="B302" i="10"/>
  <c r="A302" i="10"/>
  <c r="B301" i="10"/>
  <c r="A301" i="10"/>
  <c r="B300" i="10"/>
  <c r="A300" i="10"/>
  <c r="B299" i="10"/>
  <c r="A299" i="10"/>
  <c r="B298" i="10"/>
  <c r="A298" i="10"/>
  <c r="B297" i="10"/>
  <c r="A297" i="10"/>
  <c r="B296" i="10"/>
  <c r="A296" i="10"/>
  <c r="B295" i="10"/>
  <c r="A295" i="10"/>
  <c r="B294" i="10"/>
  <c r="A294" i="10"/>
  <c r="B293" i="10"/>
  <c r="A293" i="10"/>
  <c r="B292" i="10"/>
  <c r="A292" i="10"/>
  <c r="B291" i="10"/>
  <c r="A291" i="10"/>
  <c r="B290" i="10"/>
  <c r="A290" i="10"/>
  <c r="B289" i="10"/>
  <c r="A289" i="10"/>
  <c r="B288" i="10"/>
  <c r="A288" i="10"/>
  <c r="B287" i="10"/>
  <c r="A287" i="10"/>
  <c r="B286" i="10"/>
  <c r="A286" i="10"/>
  <c r="B285" i="10"/>
  <c r="A285" i="10"/>
  <c r="B284" i="10"/>
  <c r="A284" i="10"/>
  <c r="B283" i="10"/>
  <c r="A283" i="10"/>
  <c r="B282" i="10"/>
  <c r="A282" i="10"/>
  <c r="B281" i="10"/>
  <c r="A281" i="10"/>
  <c r="B280" i="10"/>
  <c r="A280" i="10"/>
  <c r="B279" i="10"/>
  <c r="A279" i="10"/>
  <c r="B278" i="10"/>
  <c r="A278" i="10"/>
  <c r="B277" i="10"/>
  <c r="A277" i="10"/>
  <c r="B276" i="10"/>
  <c r="A276" i="10"/>
  <c r="B275" i="10"/>
  <c r="A275" i="10"/>
  <c r="B274" i="10"/>
  <c r="A274" i="10"/>
  <c r="B273" i="10"/>
  <c r="A273" i="10"/>
  <c r="B272" i="10"/>
  <c r="A272" i="10"/>
  <c r="B271" i="10"/>
  <c r="A271" i="10"/>
  <c r="B270" i="10"/>
  <c r="A270" i="10"/>
  <c r="B269" i="10"/>
  <c r="A269" i="10"/>
  <c r="B268" i="10"/>
  <c r="A268" i="10"/>
  <c r="B267" i="10"/>
  <c r="A267" i="10"/>
  <c r="B266" i="10"/>
  <c r="A266" i="10"/>
  <c r="B265" i="10"/>
  <c r="A265" i="10"/>
  <c r="B264" i="10"/>
  <c r="A264" i="10"/>
  <c r="B263" i="10"/>
  <c r="A263" i="10"/>
  <c r="B262" i="10"/>
  <c r="A262" i="10"/>
  <c r="B261" i="10"/>
  <c r="A261" i="10"/>
  <c r="B260" i="10"/>
  <c r="A260" i="10"/>
  <c r="B259" i="10"/>
  <c r="A259" i="10"/>
  <c r="B258" i="10"/>
  <c r="A258" i="10"/>
  <c r="B257" i="10"/>
  <c r="A257" i="10"/>
  <c r="B256" i="10"/>
  <c r="A256" i="10"/>
  <c r="B255" i="10"/>
  <c r="A255" i="10"/>
  <c r="B254" i="10"/>
  <c r="A254" i="10"/>
  <c r="B253" i="10"/>
  <c r="A253" i="10"/>
  <c r="B252" i="10"/>
  <c r="A252" i="10"/>
  <c r="B251" i="10"/>
  <c r="A251" i="10"/>
  <c r="B250" i="10"/>
  <c r="A250" i="10"/>
  <c r="B249" i="10"/>
  <c r="A249" i="10"/>
  <c r="B248" i="10"/>
  <c r="A248" i="10"/>
  <c r="B247" i="10"/>
  <c r="A247" i="10"/>
  <c r="B246" i="10"/>
  <c r="A246" i="10"/>
  <c r="B245" i="10"/>
  <c r="A245" i="10"/>
  <c r="B244" i="10"/>
  <c r="A244" i="10"/>
  <c r="B243" i="10"/>
  <c r="A243" i="10"/>
  <c r="B242" i="10"/>
  <c r="A242" i="10"/>
  <c r="B241" i="10"/>
  <c r="A241" i="10"/>
  <c r="B240" i="10"/>
  <c r="A240" i="10"/>
  <c r="B239" i="10"/>
  <c r="A239" i="10"/>
  <c r="B238" i="10"/>
  <c r="A238" i="10"/>
  <c r="B237" i="10"/>
  <c r="A237" i="10"/>
  <c r="B236" i="10"/>
  <c r="A236" i="10"/>
  <c r="B235" i="10"/>
  <c r="A235" i="10"/>
  <c r="B234" i="10"/>
  <c r="A234" i="10"/>
  <c r="B233" i="10"/>
  <c r="A233" i="10"/>
  <c r="B232" i="10"/>
  <c r="A232" i="10"/>
  <c r="B231" i="10"/>
  <c r="A231" i="10"/>
  <c r="B230" i="10"/>
  <c r="A230" i="10"/>
  <c r="B229" i="10"/>
  <c r="A229" i="10"/>
  <c r="B228" i="10"/>
  <c r="A228" i="10"/>
  <c r="B227" i="10"/>
  <c r="A227" i="10"/>
  <c r="B226" i="10"/>
  <c r="A226" i="10"/>
  <c r="B225" i="10"/>
  <c r="A225" i="10"/>
  <c r="B224" i="10"/>
  <c r="A224" i="10"/>
  <c r="B223" i="10"/>
  <c r="A223" i="10"/>
  <c r="B222" i="10"/>
  <c r="A222" i="10"/>
  <c r="B221" i="10"/>
  <c r="A221" i="10"/>
  <c r="B220" i="10"/>
  <c r="A220" i="10"/>
  <c r="B219" i="10"/>
  <c r="A219" i="10"/>
  <c r="B218" i="10"/>
  <c r="A218" i="10"/>
  <c r="B217" i="10"/>
  <c r="A217" i="10"/>
  <c r="B216" i="10"/>
  <c r="A216" i="10"/>
  <c r="B215" i="10"/>
  <c r="A215" i="10"/>
  <c r="B214" i="10"/>
  <c r="A214" i="10"/>
  <c r="B213" i="10"/>
  <c r="A213" i="10"/>
  <c r="B212" i="10"/>
  <c r="A212" i="10"/>
  <c r="B211" i="10"/>
  <c r="A211" i="10"/>
  <c r="B210" i="10"/>
  <c r="A210" i="10"/>
  <c r="B209" i="10"/>
  <c r="A209" i="10"/>
  <c r="B208" i="10"/>
  <c r="A208" i="10"/>
  <c r="B207" i="10"/>
  <c r="A207" i="10"/>
  <c r="B206" i="10"/>
  <c r="A206" i="10"/>
  <c r="B205" i="10"/>
  <c r="A205" i="10"/>
  <c r="B204" i="10"/>
  <c r="A204" i="10"/>
  <c r="B203" i="10"/>
  <c r="A203" i="10"/>
  <c r="B202" i="10"/>
  <c r="A202" i="10"/>
  <c r="B201" i="10"/>
  <c r="A201" i="10"/>
  <c r="B200" i="10"/>
  <c r="A200" i="10"/>
  <c r="B199" i="10"/>
  <c r="A199" i="10"/>
  <c r="B198" i="10"/>
  <c r="A198" i="10"/>
  <c r="B197" i="10"/>
  <c r="A197" i="10"/>
  <c r="B196" i="10"/>
  <c r="A196" i="10"/>
  <c r="B195" i="10"/>
  <c r="A195" i="10"/>
  <c r="B194" i="10"/>
  <c r="A194" i="10"/>
  <c r="B193" i="10"/>
  <c r="A193" i="10"/>
  <c r="B192" i="10"/>
  <c r="A192" i="10"/>
  <c r="B191" i="10"/>
  <c r="A191" i="10"/>
  <c r="B190" i="10"/>
  <c r="A190" i="10"/>
  <c r="B189" i="10"/>
  <c r="A189" i="10"/>
  <c r="B188" i="10"/>
  <c r="A188" i="10"/>
  <c r="B187" i="10"/>
  <c r="A187" i="10"/>
  <c r="B186" i="10"/>
  <c r="A186" i="10"/>
  <c r="B185" i="10"/>
  <c r="A185" i="10"/>
  <c r="B184" i="10"/>
  <c r="A184" i="10"/>
  <c r="B183" i="10"/>
  <c r="A183" i="10"/>
  <c r="B182" i="10"/>
  <c r="A182" i="10"/>
  <c r="B181" i="10"/>
  <c r="A181" i="10"/>
  <c r="B180" i="10"/>
  <c r="A180" i="10"/>
  <c r="B179" i="10"/>
  <c r="A179" i="10"/>
  <c r="B178" i="10"/>
  <c r="A178" i="10"/>
  <c r="B177" i="10"/>
  <c r="A177" i="10"/>
  <c r="B176" i="10"/>
  <c r="A176" i="10"/>
  <c r="B175" i="10"/>
  <c r="A175" i="10"/>
  <c r="B174" i="10"/>
  <c r="A174" i="10"/>
  <c r="B173" i="10"/>
  <c r="A173" i="10"/>
  <c r="B172" i="10"/>
  <c r="A172" i="10"/>
  <c r="B171" i="10"/>
  <c r="A171" i="10"/>
  <c r="B170" i="10"/>
  <c r="A170" i="10"/>
  <c r="B169" i="10"/>
  <c r="A169" i="10"/>
  <c r="B168" i="10"/>
  <c r="A168" i="10"/>
  <c r="B167" i="10"/>
  <c r="A167" i="10"/>
  <c r="B166" i="10"/>
  <c r="A166" i="10"/>
  <c r="B165" i="10"/>
  <c r="A165" i="10"/>
  <c r="B164" i="10"/>
  <c r="A164" i="10"/>
  <c r="B163" i="10"/>
  <c r="A163" i="10"/>
  <c r="B162" i="10"/>
  <c r="A162" i="10"/>
  <c r="B161" i="10"/>
  <c r="A161" i="10"/>
  <c r="B160" i="10"/>
  <c r="A160" i="10"/>
  <c r="B159" i="10"/>
  <c r="A159" i="10"/>
  <c r="B158" i="10"/>
  <c r="A158" i="10"/>
  <c r="B157" i="10"/>
  <c r="A157" i="10"/>
  <c r="B156" i="10"/>
  <c r="A156" i="10"/>
  <c r="B155" i="10"/>
  <c r="A155" i="10"/>
  <c r="B154" i="10"/>
  <c r="A154" i="10"/>
  <c r="B153" i="10"/>
  <c r="A153" i="10"/>
  <c r="B152" i="10"/>
  <c r="A152" i="10"/>
  <c r="B151" i="10"/>
  <c r="A151" i="10"/>
  <c r="B150" i="10"/>
  <c r="A150" i="10"/>
  <c r="B149" i="10"/>
  <c r="A149" i="10"/>
  <c r="B148" i="10"/>
  <c r="A148" i="10"/>
  <c r="B147" i="10"/>
  <c r="A147" i="10"/>
  <c r="B146" i="10"/>
  <c r="A146" i="10"/>
  <c r="B145" i="10"/>
  <c r="A145" i="10"/>
  <c r="B144" i="10"/>
  <c r="A144" i="10"/>
  <c r="B143" i="10"/>
  <c r="A143" i="10"/>
  <c r="B142" i="10"/>
  <c r="A142" i="10"/>
  <c r="B141" i="10"/>
  <c r="A141" i="10"/>
  <c r="B140" i="10"/>
  <c r="A140" i="10"/>
  <c r="B139" i="10"/>
  <c r="A139" i="10"/>
  <c r="B138" i="10"/>
  <c r="A138" i="10"/>
  <c r="B137" i="10"/>
  <c r="A137" i="10"/>
  <c r="B136" i="10"/>
  <c r="A136" i="10"/>
  <c r="B135" i="10"/>
  <c r="A135" i="10"/>
  <c r="B134" i="10"/>
  <c r="A134" i="10"/>
  <c r="B133" i="10"/>
  <c r="A133" i="10"/>
  <c r="B132" i="10"/>
  <c r="A132" i="10"/>
  <c r="B131" i="10"/>
  <c r="A131" i="10"/>
  <c r="B130" i="10"/>
  <c r="A130" i="10"/>
  <c r="B129" i="10"/>
  <c r="A129" i="10"/>
  <c r="B128" i="10"/>
  <c r="A128" i="10"/>
  <c r="B127" i="10"/>
  <c r="A127" i="10"/>
  <c r="B126" i="10"/>
  <c r="A126" i="10"/>
  <c r="B125" i="10"/>
  <c r="A125" i="10"/>
  <c r="B124" i="10"/>
  <c r="A124" i="10"/>
  <c r="B123" i="10"/>
  <c r="A123" i="10"/>
  <c r="B122" i="10"/>
  <c r="A122" i="10"/>
  <c r="B121" i="10"/>
  <c r="A121" i="10"/>
  <c r="B120" i="10"/>
  <c r="A120" i="10"/>
  <c r="B119" i="10"/>
  <c r="A119" i="10"/>
  <c r="B118" i="10"/>
  <c r="A118" i="10"/>
  <c r="B117" i="10"/>
  <c r="A117" i="10"/>
  <c r="B116" i="10"/>
  <c r="A116" i="10"/>
  <c r="B115" i="10"/>
  <c r="A115" i="10"/>
  <c r="B114" i="10"/>
  <c r="A114" i="10"/>
  <c r="B113" i="10"/>
  <c r="A113" i="10"/>
  <c r="B112" i="10"/>
  <c r="A112" i="10"/>
  <c r="B111" i="10"/>
  <c r="A111" i="10"/>
  <c r="B110" i="10"/>
  <c r="A110" i="10"/>
  <c r="B109" i="10"/>
  <c r="A109" i="10"/>
  <c r="B108" i="10"/>
  <c r="A108" i="10"/>
  <c r="B107" i="10"/>
  <c r="A107" i="10"/>
  <c r="B106" i="10"/>
  <c r="A106" i="10"/>
  <c r="B105" i="10"/>
  <c r="A105" i="10"/>
  <c r="B104" i="10"/>
  <c r="A104" i="10"/>
  <c r="B103" i="10"/>
  <c r="A103" i="10"/>
  <c r="B102" i="10"/>
  <c r="A102" i="10"/>
  <c r="B101" i="10"/>
  <c r="A101" i="10"/>
  <c r="B100" i="10"/>
  <c r="A100" i="10"/>
  <c r="B99" i="10"/>
  <c r="A99" i="10"/>
  <c r="B98" i="10"/>
  <c r="A98" i="10"/>
  <c r="B97" i="10"/>
  <c r="A97" i="10"/>
  <c r="B96" i="10"/>
  <c r="A96" i="10"/>
  <c r="B95" i="10"/>
  <c r="A95" i="10"/>
  <c r="B94" i="10"/>
  <c r="A94" i="10"/>
  <c r="B93" i="10"/>
  <c r="A93" i="10"/>
  <c r="B92" i="10"/>
  <c r="A92" i="10"/>
  <c r="B91" i="10"/>
  <c r="A91" i="10"/>
  <c r="B90" i="10"/>
  <c r="A90" i="10"/>
  <c r="B89" i="10"/>
  <c r="A89" i="10"/>
  <c r="B88" i="10"/>
  <c r="A88" i="10"/>
  <c r="B87" i="10"/>
  <c r="A87" i="10"/>
  <c r="B86" i="10"/>
  <c r="A86" i="10"/>
  <c r="B85" i="10"/>
  <c r="A85" i="10"/>
  <c r="B84" i="10"/>
  <c r="A84" i="10"/>
  <c r="B83" i="10"/>
  <c r="A83" i="10"/>
  <c r="B82" i="10"/>
  <c r="A82" i="10"/>
  <c r="B81" i="10"/>
  <c r="A81" i="10"/>
  <c r="B80" i="10"/>
  <c r="A80" i="10"/>
  <c r="B79" i="10"/>
  <c r="A79" i="10"/>
  <c r="B78" i="10"/>
  <c r="A78" i="10"/>
  <c r="B77" i="10"/>
  <c r="A77" i="10"/>
  <c r="B76" i="10"/>
  <c r="A76" i="10"/>
  <c r="B75" i="10"/>
  <c r="A75" i="10"/>
  <c r="B74" i="10"/>
  <c r="A74" i="10"/>
  <c r="B73" i="10"/>
  <c r="A73" i="10"/>
  <c r="B72" i="10"/>
  <c r="A72" i="10"/>
  <c r="B71" i="10"/>
  <c r="A71" i="10"/>
  <c r="B70" i="10"/>
  <c r="A70" i="10"/>
  <c r="B69" i="10"/>
  <c r="A69" i="10"/>
  <c r="B68" i="10"/>
  <c r="A68" i="10"/>
  <c r="B67" i="10"/>
  <c r="A67" i="10"/>
  <c r="B66" i="10"/>
  <c r="A66" i="10"/>
  <c r="B65" i="10"/>
  <c r="A65" i="10"/>
  <c r="B64" i="10"/>
  <c r="A64" i="10"/>
  <c r="B63" i="10"/>
  <c r="A63" i="10"/>
  <c r="B62" i="10"/>
  <c r="A62" i="10"/>
  <c r="B61" i="10"/>
  <c r="A61" i="10"/>
  <c r="B60" i="10"/>
  <c r="A60" i="10"/>
  <c r="B59" i="10"/>
  <c r="A59" i="10"/>
  <c r="B58" i="10"/>
  <c r="A58" i="10"/>
  <c r="B57" i="10"/>
  <c r="A57" i="10"/>
  <c r="B56" i="10"/>
  <c r="A56" i="10"/>
  <c r="B55" i="10"/>
  <c r="A55" i="10"/>
  <c r="B54" i="10"/>
  <c r="A54" i="10"/>
  <c r="B53" i="10"/>
  <c r="A53" i="10"/>
  <c r="B52" i="10"/>
  <c r="A52" i="10"/>
  <c r="B51" i="10"/>
  <c r="A51" i="10"/>
  <c r="B50" i="10"/>
  <c r="A50" i="10"/>
  <c r="B49" i="10"/>
  <c r="A49" i="10"/>
  <c r="B48" i="10"/>
  <c r="A48" i="10"/>
  <c r="B47" i="10"/>
  <c r="A47" i="10"/>
  <c r="B46" i="10"/>
  <c r="A46" i="10"/>
  <c r="B45" i="10"/>
  <c r="A45" i="10"/>
  <c r="B44" i="10"/>
  <c r="A44" i="10"/>
  <c r="B43" i="10"/>
  <c r="A43" i="10"/>
  <c r="B42" i="10"/>
  <c r="A42" i="10"/>
  <c r="B41" i="10"/>
  <c r="A41" i="10"/>
  <c r="B40" i="10"/>
  <c r="A40" i="10"/>
  <c r="B39" i="10"/>
  <c r="A39" i="10"/>
  <c r="B38" i="10"/>
  <c r="A38" i="10"/>
  <c r="B37" i="10"/>
  <c r="A37" i="10"/>
  <c r="B36" i="10"/>
  <c r="A36" i="10"/>
  <c r="B35" i="10"/>
  <c r="A35" i="10"/>
  <c r="B34" i="10"/>
  <c r="A34" i="10"/>
  <c r="B33" i="10"/>
  <c r="A33" i="10"/>
  <c r="B32" i="10"/>
  <c r="A32" i="10"/>
  <c r="B31" i="10"/>
  <c r="A31" i="10"/>
  <c r="B30" i="10"/>
  <c r="A30" i="10"/>
  <c r="B29" i="10"/>
  <c r="A29" i="10"/>
  <c r="B28" i="10"/>
  <c r="A28" i="10"/>
  <c r="B27" i="10"/>
  <c r="A27" i="10"/>
  <c r="B26" i="10"/>
  <c r="A26" i="10"/>
  <c r="B25" i="10"/>
  <c r="A25" i="10"/>
  <c r="B24" i="10"/>
  <c r="A24" i="10"/>
  <c r="B23" i="10"/>
  <c r="A23" i="10"/>
  <c r="B22" i="10"/>
  <c r="A22" i="10"/>
  <c r="B21" i="10"/>
  <c r="A21" i="10"/>
  <c r="B20" i="10"/>
  <c r="A20" i="10"/>
  <c r="B19" i="10"/>
  <c r="A19" i="10"/>
  <c r="B18" i="10"/>
  <c r="A18" i="10"/>
  <c r="B17" i="10"/>
  <c r="A17" i="10"/>
  <c r="B16" i="10"/>
  <c r="A16" i="10"/>
  <c r="B15" i="10"/>
  <c r="A15" i="10"/>
  <c r="B14" i="10"/>
  <c r="A14" i="10"/>
  <c r="B13" i="10"/>
  <c r="A13" i="10"/>
  <c r="B12" i="10"/>
  <c r="A12" i="10"/>
  <c r="B11" i="10"/>
  <c r="A11" i="10"/>
  <c r="B10" i="10"/>
  <c r="A10" i="10"/>
  <c r="B9" i="10"/>
  <c r="A9" i="10"/>
  <c r="B8" i="10"/>
  <c r="A8" i="10"/>
  <c r="B7" i="10"/>
  <c r="A7" i="10"/>
  <c r="B6" i="10"/>
  <c r="A6" i="10"/>
  <c r="B5" i="10"/>
  <c r="A5" i="10"/>
  <c r="B4" i="10"/>
  <c r="A4" i="10"/>
  <c r="B3" i="10"/>
  <c r="A3" i="10"/>
  <c r="B2" i="10"/>
  <c r="A2" i="10"/>
  <c r="B9" i="9"/>
  <c r="G361" i="7"/>
  <c r="G360" i="7"/>
  <c r="G359" i="7"/>
  <c r="G358" i="7"/>
  <c r="G357" i="7"/>
  <c r="G356" i="7"/>
  <c r="G355" i="7"/>
  <c r="G354" i="7"/>
  <c r="G353" i="7"/>
  <c r="G352" i="7"/>
  <c r="G351" i="7"/>
  <c r="G350" i="7"/>
  <c r="G349" i="7"/>
  <c r="G348" i="7"/>
  <c r="G347" i="7"/>
  <c r="G346" i="7"/>
  <c r="G345" i="7"/>
  <c r="G344" i="7"/>
  <c r="G343" i="7"/>
  <c r="G342" i="7"/>
  <c r="G341" i="7"/>
  <c r="G340" i="7"/>
  <c r="G339" i="7"/>
  <c r="G338" i="7"/>
  <c r="G337" i="7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B7" i="6"/>
  <c r="B6" i="5"/>
  <c r="B7" i="4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B35" i="1"/>
  <c r="B32" i="1"/>
  <c r="B31" i="1"/>
  <c r="B30" i="1"/>
  <c r="B29" i="1"/>
  <c r="B28" i="1"/>
  <c r="B27" i="1"/>
  <c r="B17" i="1"/>
  <c r="B16" i="1"/>
  <c r="B15" i="1"/>
  <c r="B3" i="1"/>
  <c r="B18" i="1" l="1"/>
  <c r="C9" i="9"/>
  <c r="B19" i="1"/>
  <c r="G2" i="8"/>
  <c r="C6" i="5"/>
  <c r="H2" i="8"/>
  <c r="F2" i="8"/>
  <c r="F2" i="7"/>
  <c r="E2" i="7"/>
  <c r="D2" i="7"/>
  <c r="C2" i="7"/>
  <c r="B34" i="1"/>
  <c r="B33" i="1"/>
  <c r="G2" i="3"/>
  <c r="F2" i="3"/>
  <c r="E2" i="3"/>
  <c r="B2" i="2"/>
  <c r="O2" i="7" l="1"/>
  <c r="M2" i="7"/>
  <c r="H2" i="7"/>
  <c r="I2" i="7"/>
  <c r="R2" i="7"/>
  <c r="D2" i="2"/>
  <c r="C2" i="2"/>
  <c r="E2" i="2" s="1"/>
  <c r="K2" i="2"/>
  <c r="C2" i="10"/>
  <c r="J2" i="7" l="1"/>
  <c r="N2" i="7"/>
  <c r="S2" i="7"/>
  <c r="C2" i="8" s="1"/>
  <c r="P2" i="7"/>
  <c r="L2" i="2"/>
  <c r="F2" i="2"/>
  <c r="K2" i="7" l="1"/>
  <c r="L2" i="7"/>
  <c r="G2" i="2"/>
  <c r="H2" i="2" s="1"/>
  <c r="W2" i="7"/>
  <c r="F3" i="7" s="1"/>
  <c r="Q2" i="7"/>
  <c r="E2" i="10"/>
  <c r="B2" i="3"/>
  <c r="T2" i="7" l="1"/>
  <c r="D2" i="8" s="1"/>
  <c r="D2" i="3"/>
  <c r="I2" i="2"/>
  <c r="U2" i="7"/>
  <c r="D3" i="7" s="1"/>
  <c r="V2" i="7"/>
  <c r="G2" i="10"/>
  <c r="O3" i="7"/>
  <c r="E2" i="8"/>
  <c r="Y2" i="7"/>
  <c r="I3" i="7" l="1"/>
  <c r="H2" i="3"/>
  <c r="M2" i="3" s="1"/>
  <c r="J2" i="2"/>
  <c r="M2" i="2"/>
  <c r="H3" i="7"/>
  <c r="Z2" i="7"/>
  <c r="E3" i="7"/>
  <c r="X2" i="7"/>
  <c r="I2" i="8"/>
  <c r="O2" i="8" s="1"/>
  <c r="P3" i="7"/>
  <c r="Q3" i="7" s="1"/>
  <c r="D2" i="10" l="1"/>
  <c r="B3" i="2"/>
  <c r="F2" i="10"/>
  <c r="C2" i="3"/>
  <c r="J3" i="7"/>
  <c r="I2" i="3"/>
  <c r="AA2" i="7"/>
  <c r="B2" i="7" s="1"/>
  <c r="AB2" i="7"/>
  <c r="C3" i="7"/>
  <c r="M3" i="7"/>
  <c r="E3" i="8"/>
  <c r="J2" i="8"/>
  <c r="N2" i="8" s="1"/>
  <c r="Y3" i="7"/>
  <c r="R3" i="7" l="1"/>
  <c r="S3" i="7" s="1"/>
  <c r="C3" i="8" s="1"/>
  <c r="D3" i="2"/>
  <c r="K3" i="2"/>
  <c r="C3" i="10"/>
  <c r="C3" i="2"/>
  <c r="K3" i="7"/>
  <c r="J2" i="3"/>
  <c r="L2" i="3"/>
  <c r="B2" i="8"/>
  <c r="N3" i="7"/>
  <c r="R2" i="8"/>
  <c r="K2" i="8"/>
  <c r="M2" i="8" s="1"/>
  <c r="W3" i="7" l="1"/>
  <c r="F4" i="7" s="1"/>
  <c r="L3" i="2"/>
  <c r="U2" i="8"/>
  <c r="W2" i="8" s="1"/>
  <c r="AC2" i="3"/>
  <c r="K2" i="3"/>
  <c r="Q2" i="3"/>
  <c r="E3" i="2"/>
  <c r="T3" i="7"/>
  <c r="D3" i="8" s="1"/>
  <c r="L3" i="7"/>
  <c r="V3" i="7" s="1"/>
  <c r="L2" i="8"/>
  <c r="X2" i="8"/>
  <c r="P2" i="8"/>
  <c r="Q2" i="8" s="1"/>
  <c r="O4" i="7" l="1"/>
  <c r="B3" i="3"/>
  <c r="E3" i="10"/>
  <c r="Z3" i="7"/>
  <c r="E4" i="7"/>
  <c r="U3" i="7"/>
  <c r="AI2" i="8"/>
  <c r="M2" i="10"/>
  <c r="U2" i="3"/>
  <c r="F3" i="2"/>
  <c r="N2" i="3"/>
  <c r="AU2" i="8"/>
  <c r="Y2" i="8"/>
  <c r="AA2" i="8" s="1"/>
  <c r="S2" i="8"/>
  <c r="P4" i="7" l="1"/>
  <c r="Q4" i="7" s="1"/>
  <c r="X2" i="3"/>
  <c r="G3" i="2"/>
  <c r="H3" i="2" s="1"/>
  <c r="V2" i="3"/>
  <c r="Y2" i="3" s="1"/>
  <c r="AA3" i="7"/>
  <c r="B3" i="7" s="1"/>
  <c r="M4" i="7"/>
  <c r="D4" i="7"/>
  <c r="X3" i="7"/>
  <c r="O2" i="3"/>
  <c r="AJ2" i="8"/>
  <c r="Z2" i="8"/>
  <c r="AB2" i="8" s="1"/>
  <c r="T2" i="8"/>
  <c r="V2" i="8" s="1"/>
  <c r="Y4" i="7" l="1"/>
  <c r="E4" i="8"/>
  <c r="E3" i="3"/>
  <c r="H2" i="10"/>
  <c r="G3" i="10"/>
  <c r="D3" i="3"/>
  <c r="I3" i="2"/>
  <c r="I2" i="10"/>
  <c r="F3" i="3"/>
  <c r="W2" i="3"/>
  <c r="Z2" i="3" s="1"/>
  <c r="R2" i="3"/>
  <c r="S2" i="3" s="1"/>
  <c r="B3" i="8"/>
  <c r="H4" i="7"/>
  <c r="I4" i="7"/>
  <c r="AB3" i="7"/>
  <c r="C4" i="7"/>
  <c r="P2" i="3"/>
  <c r="N4" i="7"/>
  <c r="W4" i="7" s="1"/>
  <c r="F5" i="7" s="1"/>
  <c r="AK2" i="8"/>
  <c r="AC2" i="8"/>
  <c r="AT2" i="8"/>
  <c r="G3" i="3" l="1"/>
  <c r="J2" i="10"/>
  <c r="AA2" i="3"/>
  <c r="J3" i="2"/>
  <c r="M3" i="2"/>
  <c r="J4" i="7"/>
  <c r="O5" i="7"/>
  <c r="U3" i="8"/>
  <c r="W3" i="8" s="1"/>
  <c r="R4" i="7"/>
  <c r="S4" i="7" s="1"/>
  <c r="C4" i="8" s="1"/>
  <c r="T2" i="3"/>
  <c r="AD2" i="8"/>
  <c r="AL2" i="8" s="1"/>
  <c r="H3" i="3" l="1"/>
  <c r="K4" i="7"/>
  <c r="T4" i="7" s="1"/>
  <c r="D4" i="8" s="1"/>
  <c r="F3" i="10"/>
  <c r="C3" i="3"/>
  <c r="K2" i="10"/>
  <c r="B4" i="2"/>
  <c r="D3" i="10"/>
  <c r="P5" i="7"/>
  <c r="Q5" i="7" s="1"/>
  <c r="AB2" i="3"/>
  <c r="AE2" i="8"/>
  <c r="AP2" i="8"/>
  <c r="F3" i="8" s="1"/>
  <c r="L4" i="7" l="1"/>
  <c r="I3" i="3"/>
  <c r="L3" i="3" s="1"/>
  <c r="M3" i="3"/>
  <c r="C4" i="10"/>
  <c r="K4" i="2"/>
  <c r="C4" i="2"/>
  <c r="D4" i="2"/>
  <c r="L4" i="2" s="1"/>
  <c r="Y5" i="7"/>
  <c r="E5" i="8"/>
  <c r="L2" i="10"/>
  <c r="AF2" i="8"/>
  <c r="Q3" i="3" l="1"/>
  <c r="J3" i="3"/>
  <c r="V4" i="7"/>
  <c r="U4" i="7"/>
  <c r="E4" i="2"/>
  <c r="F4" i="2" s="1"/>
  <c r="E4" i="10"/>
  <c r="B4" i="3"/>
  <c r="AG2" i="8"/>
  <c r="AH2" i="8" s="1"/>
  <c r="AN2" i="8" s="1"/>
  <c r="AR2" i="8" s="1"/>
  <c r="H3" i="8" s="1"/>
  <c r="I3" i="8" s="1"/>
  <c r="AM2" i="8"/>
  <c r="E5" i="7" l="1"/>
  <c r="Z4" i="7"/>
  <c r="X4" i="7"/>
  <c r="D5" i="7"/>
  <c r="K3" i="3"/>
  <c r="G4" i="2"/>
  <c r="AC3" i="3"/>
  <c r="AO2" i="8"/>
  <c r="AQ2" i="8"/>
  <c r="G3" i="8" s="1"/>
  <c r="O3" i="8"/>
  <c r="M5" i="7" l="1"/>
  <c r="AB4" i="7"/>
  <c r="C5" i="7"/>
  <c r="AA4" i="7"/>
  <c r="B4" i="7" s="1"/>
  <c r="H5" i="7"/>
  <c r="I5" i="7"/>
  <c r="I4" i="2"/>
  <c r="H4" i="2"/>
  <c r="M3" i="10"/>
  <c r="N3" i="3"/>
  <c r="U3" i="3"/>
  <c r="J3" i="8"/>
  <c r="N3" i="8" s="1"/>
  <c r="AS2" i="8"/>
  <c r="N5" i="7" l="1"/>
  <c r="R5" i="7"/>
  <c r="B4" i="8"/>
  <c r="J5" i="7"/>
  <c r="S5" i="7"/>
  <c r="C5" i="8" s="1"/>
  <c r="W5" i="7"/>
  <c r="F6" i="7" s="1"/>
  <c r="O3" i="3"/>
  <c r="V3" i="3"/>
  <c r="Y3" i="3" s="1"/>
  <c r="M4" i="2"/>
  <c r="J4" i="2"/>
  <c r="D4" i="3"/>
  <c r="G4" i="10"/>
  <c r="X3" i="3"/>
  <c r="R3" i="8"/>
  <c r="K3" i="8"/>
  <c r="M3" i="8" s="1"/>
  <c r="U4" i="8" l="1"/>
  <c r="W4" i="8" s="1"/>
  <c r="K5" i="7"/>
  <c r="T5" i="7" s="1"/>
  <c r="D5" i="8" s="1"/>
  <c r="O6" i="7"/>
  <c r="L5" i="7"/>
  <c r="V5" i="7" s="1"/>
  <c r="AI3" i="8"/>
  <c r="AJ3" i="8" s="1"/>
  <c r="R3" i="3"/>
  <c r="S3" i="3" s="1"/>
  <c r="I3" i="10"/>
  <c r="F4" i="3"/>
  <c r="F4" i="10"/>
  <c r="C4" i="3"/>
  <c r="D4" i="10"/>
  <c r="B5" i="2"/>
  <c r="H3" i="10"/>
  <c r="E4" i="3"/>
  <c r="P3" i="3"/>
  <c r="W3" i="3"/>
  <c r="Z3" i="3" s="1"/>
  <c r="L3" i="8"/>
  <c r="X3" i="8"/>
  <c r="P3" i="8"/>
  <c r="Q3" i="8" s="1"/>
  <c r="P6" i="7" l="1"/>
  <c r="Q6" i="7" s="1"/>
  <c r="Z5" i="7"/>
  <c r="E6" i="7"/>
  <c r="T3" i="3"/>
  <c r="U5" i="7"/>
  <c r="AK3" i="8"/>
  <c r="D5" i="2"/>
  <c r="C5" i="2"/>
  <c r="J3" i="10"/>
  <c r="AA3" i="3"/>
  <c r="K5" i="2"/>
  <c r="C5" i="10"/>
  <c r="G4" i="3"/>
  <c r="AU3" i="8"/>
  <c r="Y3" i="8"/>
  <c r="AA3" i="8" s="1"/>
  <c r="S3" i="8"/>
  <c r="Y6" i="7" l="1"/>
  <c r="E6" i="8"/>
  <c r="X5" i="7"/>
  <c r="D6" i="7"/>
  <c r="AA5" i="7"/>
  <c r="B5" i="7" s="1"/>
  <c r="AB3" i="3"/>
  <c r="L3" i="10" s="1"/>
  <c r="M6" i="7"/>
  <c r="L5" i="2"/>
  <c r="H4" i="3"/>
  <c r="K3" i="10"/>
  <c r="E5" i="2"/>
  <c r="N6" i="7"/>
  <c r="Z3" i="8"/>
  <c r="AB3" i="8" s="1"/>
  <c r="AC3" i="8" s="1"/>
  <c r="AD3" i="8" s="1"/>
  <c r="T3" i="8"/>
  <c r="V3" i="8" s="1"/>
  <c r="B5" i="8" l="1"/>
  <c r="AB5" i="7"/>
  <c r="C6" i="7"/>
  <c r="R6" i="7" s="1"/>
  <c r="H6" i="7"/>
  <c r="I6" i="7"/>
  <c r="AT3" i="8"/>
  <c r="F5" i="2"/>
  <c r="E5" i="10"/>
  <c r="B5" i="3"/>
  <c r="M4" i="3"/>
  <c r="I4" i="3"/>
  <c r="L4" i="3" s="1"/>
  <c r="W6" i="7"/>
  <c r="F7" i="7" s="1"/>
  <c r="AE3" i="8"/>
  <c r="AF3" i="8"/>
  <c r="AM3" i="8" s="1"/>
  <c r="AQ3" i="8" s="1"/>
  <c r="G4" i="8" s="1"/>
  <c r="AL3" i="8"/>
  <c r="J6" i="7" l="1"/>
  <c r="U5" i="8"/>
  <c r="W5" i="8" s="1"/>
  <c r="J4" i="3"/>
  <c r="K4" i="3" s="1"/>
  <c r="Q4" i="3"/>
  <c r="G5" i="2"/>
  <c r="H5" i="2" s="1"/>
  <c r="O7" i="7"/>
  <c r="S6" i="7"/>
  <c r="C6" i="8" s="1"/>
  <c r="AP3" i="8"/>
  <c r="F4" i="8" s="1"/>
  <c r="I5" i="2"/>
  <c r="AG3" i="8"/>
  <c r="AH3" i="8" s="1"/>
  <c r="AN3" i="8" s="1"/>
  <c r="AR3" i="8" s="1"/>
  <c r="H4" i="8" s="1"/>
  <c r="AC4" i="3" l="1"/>
  <c r="M4" i="10" s="1"/>
  <c r="G5" i="10"/>
  <c r="P7" i="7"/>
  <c r="Q7" i="7" s="1"/>
  <c r="K6" i="7"/>
  <c r="N4" i="3"/>
  <c r="U4" i="3"/>
  <c r="D5" i="3"/>
  <c r="I4" i="8"/>
  <c r="M5" i="2"/>
  <c r="J5" i="2"/>
  <c r="AO3" i="8"/>
  <c r="Y7" i="7"/>
  <c r="E7" i="8" l="1"/>
  <c r="L6" i="7"/>
  <c r="V6" i="7" s="1"/>
  <c r="T6" i="7"/>
  <c r="D6" i="8" s="1"/>
  <c r="U6" i="7"/>
  <c r="O4" i="3"/>
  <c r="V4" i="3"/>
  <c r="Y4" i="3" s="1"/>
  <c r="I4" i="10" s="1"/>
  <c r="X4" i="3"/>
  <c r="D7" i="7"/>
  <c r="B6" i="2"/>
  <c r="C5" i="3"/>
  <c r="F5" i="10"/>
  <c r="D5" i="10"/>
  <c r="O4" i="8"/>
  <c r="J4" i="8"/>
  <c r="N4" i="8" s="1"/>
  <c r="AS3" i="8"/>
  <c r="Z6" i="7" l="1"/>
  <c r="AA6" i="7" s="1"/>
  <c r="B6" i="7" s="1"/>
  <c r="E7" i="7"/>
  <c r="X6" i="7"/>
  <c r="P4" i="3"/>
  <c r="R4" i="3"/>
  <c r="S4" i="3" s="1"/>
  <c r="H7" i="7"/>
  <c r="H4" i="10"/>
  <c r="E5" i="3"/>
  <c r="F5" i="3"/>
  <c r="W4" i="3"/>
  <c r="Z4" i="3" s="1"/>
  <c r="I7" i="7"/>
  <c r="C7" i="7"/>
  <c r="B6" i="8"/>
  <c r="M7" i="7"/>
  <c r="D6" i="2"/>
  <c r="C6" i="10"/>
  <c r="C6" i="2"/>
  <c r="K6" i="2"/>
  <c r="R4" i="8"/>
  <c r="K4" i="8"/>
  <c r="M4" i="8" s="1"/>
  <c r="AB6" i="7" l="1"/>
  <c r="AA4" i="3"/>
  <c r="T4" i="3"/>
  <c r="G5" i="3"/>
  <c r="J4" i="10"/>
  <c r="R7" i="7"/>
  <c r="S7" i="7" s="1"/>
  <c r="C7" i="8" s="1"/>
  <c r="U6" i="8"/>
  <c r="W6" i="8" s="1"/>
  <c r="J7" i="7"/>
  <c r="N7" i="7"/>
  <c r="W7" i="7" s="1"/>
  <c r="F8" i="7" s="1"/>
  <c r="L6" i="2"/>
  <c r="E6" i="2"/>
  <c r="AI4" i="8"/>
  <c r="X4" i="8"/>
  <c r="P4" i="8"/>
  <c r="Q4" i="8" s="1"/>
  <c r="L4" i="8"/>
  <c r="K4" i="10" l="1"/>
  <c r="AB4" i="3"/>
  <c r="H5" i="3"/>
  <c r="O8" i="7"/>
  <c r="K7" i="7"/>
  <c r="B6" i="3"/>
  <c r="E6" i="10"/>
  <c r="F6" i="2"/>
  <c r="AJ4" i="8"/>
  <c r="Y4" i="8"/>
  <c r="AA4" i="8" s="1"/>
  <c r="S4" i="8"/>
  <c r="AU4" i="8"/>
  <c r="L4" i="10" l="1"/>
  <c r="I5" i="3"/>
  <c r="L5" i="3" s="1"/>
  <c r="M5" i="3"/>
  <c r="P8" i="7"/>
  <c r="L7" i="7"/>
  <c r="V7" i="7" s="1"/>
  <c r="T7" i="7"/>
  <c r="D7" i="8" s="1"/>
  <c r="G6" i="2"/>
  <c r="H6" i="2" s="1"/>
  <c r="J5" i="3"/>
  <c r="K5" i="3" s="1"/>
  <c r="Q5" i="3"/>
  <c r="AK4" i="8"/>
  <c r="Z4" i="8"/>
  <c r="AB4" i="8" s="1"/>
  <c r="AC4" i="8" s="1"/>
  <c r="T4" i="8"/>
  <c r="V4" i="8" s="1"/>
  <c r="AT4" i="8" s="1"/>
  <c r="I6" i="2" l="1"/>
  <c r="G6" i="10"/>
  <c r="Q8" i="7"/>
  <c r="D6" i="3"/>
  <c r="Z7" i="7"/>
  <c r="AA7" i="7" s="1"/>
  <c r="B7" i="7" s="1"/>
  <c r="E8" i="7"/>
  <c r="U7" i="7"/>
  <c r="M6" i="2"/>
  <c r="N5" i="3"/>
  <c r="U5" i="3"/>
  <c r="AC5" i="3"/>
  <c r="J6" i="2"/>
  <c r="AD4" i="8"/>
  <c r="E8" i="8" l="1"/>
  <c r="Y8" i="7"/>
  <c r="B7" i="8"/>
  <c r="M8" i="7"/>
  <c r="D8" i="7"/>
  <c r="X7" i="7"/>
  <c r="C6" i="3"/>
  <c r="F6" i="10"/>
  <c r="D6" i="10"/>
  <c r="B7" i="2"/>
  <c r="N8" i="7"/>
  <c r="W8" i="7" s="1"/>
  <c r="F9" i="7" s="1"/>
  <c r="AE4" i="8"/>
  <c r="AL4" i="8"/>
  <c r="O5" i="3"/>
  <c r="V5" i="3"/>
  <c r="Y5" i="3" s="1"/>
  <c r="M5" i="10"/>
  <c r="X5" i="3"/>
  <c r="K7" i="2" l="1"/>
  <c r="C7" i="2"/>
  <c r="D7" i="2"/>
  <c r="L7" i="2" s="1"/>
  <c r="U7" i="8"/>
  <c r="W7" i="8" s="1"/>
  <c r="I8" i="7"/>
  <c r="C8" i="7"/>
  <c r="H8" i="7"/>
  <c r="AB7" i="7"/>
  <c r="H5" i="10"/>
  <c r="E6" i="3"/>
  <c r="I5" i="10"/>
  <c r="W5" i="3"/>
  <c r="Z5" i="3" s="1"/>
  <c r="C7" i="10"/>
  <c r="F6" i="3"/>
  <c r="P5" i="3"/>
  <c r="O9" i="7"/>
  <c r="E7" i="2"/>
  <c r="AF4" i="8"/>
  <c r="AM4" i="8" s="1"/>
  <c r="AQ4" i="8" s="1"/>
  <c r="G5" i="8" s="1"/>
  <c r="AP4" i="8"/>
  <c r="F5" i="8" s="1"/>
  <c r="E7" i="10"/>
  <c r="B7" i="3"/>
  <c r="R5" i="3"/>
  <c r="S5" i="3" s="1"/>
  <c r="R8" i="7" l="1"/>
  <c r="S8" i="7" s="1"/>
  <c r="C8" i="8" s="1"/>
  <c r="J8" i="7"/>
  <c r="AA5" i="3"/>
  <c r="J5" i="10"/>
  <c r="G6" i="3"/>
  <c r="P9" i="7"/>
  <c r="Q9" i="7" s="1"/>
  <c r="F7" i="2"/>
  <c r="AG4" i="8"/>
  <c r="AH4" i="8" s="1"/>
  <c r="AN4" i="8" s="1"/>
  <c r="AR4" i="8" s="1"/>
  <c r="H5" i="8" s="1"/>
  <c r="T5" i="3"/>
  <c r="K8" i="7" l="1"/>
  <c r="K5" i="10"/>
  <c r="G7" i="2"/>
  <c r="I5" i="8"/>
  <c r="J5" i="8" s="1"/>
  <c r="N5" i="8" s="1"/>
  <c r="H6" i="3"/>
  <c r="E9" i="8"/>
  <c r="Y9" i="7"/>
  <c r="AB5" i="3"/>
  <c r="AO4" i="8"/>
  <c r="T8" i="7" l="1"/>
  <c r="D8" i="8" s="1"/>
  <c r="L8" i="7"/>
  <c r="V8" i="7" s="1"/>
  <c r="L5" i="10"/>
  <c r="M6" i="3"/>
  <c r="I6" i="3"/>
  <c r="L6" i="3" s="1"/>
  <c r="I7" i="2"/>
  <c r="K5" i="8"/>
  <c r="H7" i="2"/>
  <c r="O5" i="8"/>
  <c r="R5" i="8"/>
  <c r="AS4" i="8"/>
  <c r="J7" i="2" l="1"/>
  <c r="E9" i="7"/>
  <c r="Z8" i="7"/>
  <c r="AA8" i="7" s="1"/>
  <c r="B8" i="7" s="1"/>
  <c r="U8" i="7"/>
  <c r="Q6" i="3"/>
  <c r="J6" i="3"/>
  <c r="K6" i="3" s="1"/>
  <c r="M7" i="2"/>
  <c r="G7" i="10"/>
  <c r="D7" i="3"/>
  <c r="L5" i="8"/>
  <c r="M5" i="8"/>
  <c r="M9" i="7"/>
  <c r="D9" i="7" l="1"/>
  <c r="X8" i="7"/>
  <c r="B8" i="2"/>
  <c r="D7" i="10"/>
  <c r="B8" i="8"/>
  <c r="AU5" i="8"/>
  <c r="C7" i="3"/>
  <c r="F7" i="10"/>
  <c r="AC6" i="3"/>
  <c r="M6" i="10" s="1"/>
  <c r="U6" i="3"/>
  <c r="N6" i="3"/>
  <c r="X5" i="8"/>
  <c r="Y5" i="8" s="1"/>
  <c r="AA5" i="8" s="1"/>
  <c r="P5" i="8"/>
  <c r="Q5" i="8" s="1"/>
  <c r="AI5" i="8"/>
  <c r="D8" i="2"/>
  <c r="K8" i="2"/>
  <c r="C8" i="10"/>
  <c r="C8" i="2"/>
  <c r="N9" i="7"/>
  <c r="W9" i="7" s="1"/>
  <c r="F10" i="7" s="1"/>
  <c r="H9" i="7"/>
  <c r="I9" i="7"/>
  <c r="AB8" i="7" l="1"/>
  <c r="C9" i="7"/>
  <c r="S5" i="8"/>
  <c r="L8" i="2"/>
  <c r="U8" i="8"/>
  <c r="W8" i="8" s="1"/>
  <c r="X6" i="3"/>
  <c r="V6" i="3"/>
  <c r="Y6" i="3" s="1"/>
  <c r="O6" i="3"/>
  <c r="E8" i="2"/>
  <c r="F8" i="2" s="1"/>
  <c r="Z5" i="8"/>
  <c r="AB5" i="8" s="1"/>
  <c r="AJ5" i="8"/>
  <c r="O10" i="7"/>
  <c r="J9" i="7"/>
  <c r="R9" i="7" l="1"/>
  <c r="S9" i="7" s="1"/>
  <c r="C9" i="8" s="1"/>
  <c r="B8" i="3"/>
  <c r="P10" i="7"/>
  <c r="Q10" i="7" s="1"/>
  <c r="AK5" i="8"/>
  <c r="T5" i="8"/>
  <c r="V5" i="8" s="1"/>
  <c r="E8" i="10"/>
  <c r="P6" i="3"/>
  <c r="E7" i="3"/>
  <c r="H6" i="10"/>
  <c r="I6" i="10"/>
  <c r="F7" i="3"/>
  <c r="R6" i="3"/>
  <c r="S6" i="3" s="1"/>
  <c r="K9" i="7"/>
  <c r="W6" i="3"/>
  <c r="G8" i="2"/>
  <c r="AC5" i="8"/>
  <c r="AT5" i="8"/>
  <c r="AD5" i="8"/>
  <c r="I8" i="2"/>
  <c r="H8" i="2"/>
  <c r="Y10" i="7" l="1"/>
  <c r="E10" i="8"/>
  <c r="T9" i="7"/>
  <c r="D9" i="8" s="1"/>
  <c r="L9" i="7"/>
  <c r="V9" i="7" s="1"/>
  <c r="AA6" i="3"/>
  <c r="K6" i="10" s="1"/>
  <c r="Z6" i="3"/>
  <c r="T6" i="3"/>
  <c r="AL5" i="8"/>
  <c r="AE5" i="8"/>
  <c r="G7" i="3"/>
  <c r="M8" i="2"/>
  <c r="J8" i="2"/>
  <c r="G8" i="10"/>
  <c r="D8" i="3"/>
  <c r="Z9" i="7" l="1"/>
  <c r="AA9" i="7" s="1"/>
  <c r="B9" i="7" s="1"/>
  <c r="U9" i="7"/>
  <c r="E10" i="7"/>
  <c r="J6" i="10"/>
  <c r="AF5" i="8"/>
  <c r="AM5" i="8" s="1"/>
  <c r="AQ5" i="8" s="1"/>
  <c r="G6" i="8" s="1"/>
  <c r="AB6" i="3"/>
  <c r="L6" i="10" s="1"/>
  <c r="AP5" i="8"/>
  <c r="F6" i="8" s="1"/>
  <c r="H7" i="3"/>
  <c r="C8" i="3"/>
  <c r="F8" i="10"/>
  <c r="D8" i="10"/>
  <c r="B9" i="2"/>
  <c r="M10" i="7" l="1"/>
  <c r="X9" i="7"/>
  <c r="B9" i="8"/>
  <c r="AG5" i="8"/>
  <c r="AH5" i="8" s="1"/>
  <c r="AN5" i="8" s="1"/>
  <c r="AR5" i="8" s="1"/>
  <c r="H6" i="8" s="1"/>
  <c r="D10" i="7"/>
  <c r="I10" i="7"/>
  <c r="H10" i="7"/>
  <c r="I7" i="3"/>
  <c r="L7" i="3" s="1"/>
  <c r="C9" i="2"/>
  <c r="D9" i="2"/>
  <c r="K9" i="2"/>
  <c r="C9" i="10"/>
  <c r="M7" i="3"/>
  <c r="U9" i="8" l="1"/>
  <c r="W9" i="8" s="1"/>
  <c r="AB9" i="7"/>
  <c r="C10" i="7"/>
  <c r="AO5" i="8"/>
  <c r="N10" i="7"/>
  <c r="W10" i="7" s="1"/>
  <c r="F11" i="7" s="1"/>
  <c r="I6" i="8"/>
  <c r="R10" i="7"/>
  <c r="AS5" i="8"/>
  <c r="O11" i="7"/>
  <c r="O6" i="8"/>
  <c r="J10" i="7"/>
  <c r="L9" i="2"/>
  <c r="Q7" i="3"/>
  <c r="J7" i="3"/>
  <c r="K7" i="3" s="1"/>
  <c r="E9" i="2"/>
  <c r="J6" i="8" l="1"/>
  <c r="N6" i="8" s="1"/>
  <c r="S10" i="7"/>
  <c r="C10" i="8" s="1"/>
  <c r="P11" i="7"/>
  <c r="Q11" i="7" s="1"/>
  <c r="K10" i="7"/>
  <c r="T10" i="7"/>
  <c r="D10" i="8" s="1"/>
  <c r="K6" i="8"/>
  <c r="M6" i="8" s="1"/>
  <c r="B9" i="3"/>
  <c r="E9" i="10"/>
  <c r="U7" i="3"/>
  <c r="N7" i="3"/>
  <c r="F9" i="2"/>
  <c r="AC7" i="3"/>
  <c r="M7" i="10" s="1"/>
  <c r="R6" i="8" l="1"/>
  <c r="Y11" i="7"/>
  <c r="L10" i="7"/>
  <c r="V10" i="7" s="1"/>
  <c r="E11" i="8"/>
  <c r="X6" i="8"/>
  <c r="P6" i="8"/>
  <c r="Q6" i="8" s="1"/>
  <c r="L6" i="8"/>
  <c r="AI6" i="8"/>
  <c r="G9" i="2"/>
  <c r="H9" i="2" s="1"/>
  <c r="X7" i="3"/>
  <c r="V7" i="3"/>
  <c r="Y7" i="3" s="1"/>
  <c r="O7" i="3"/>
  <c r="Z10" i="7" l="1"/>
  <c r="AA10" i="7" s="1"/>
  <c r="B10" i="7" s="1"/>
  <c r="AU6" i="8"/>
  <c r="AJ6" i="8"/>
  <c r="E11" i="7"/>
  <c r="U10" i="7"/>
  <c r="Y6" i="8"/>
  <c r="AA6" i="8" s="1"/>
  <c r="S6" i="8"/>
  <c r="I9" i="2"/>
  <c r="G9" i="10"/>
  <c r="D9" i="3"/>
  <c r="P7" i="3"/>
  <c r="E8" i="3"/>
  <c r="H7" i="10"/>
  <c r="I7" i="10"/>
  <c r="F8" i="3"/>
  <c r="R7" i="3"/>
  <c r="S7" i="3" s="1"/>
  <c r="W7" i="3"/>
  <c r="Z7" i="3" s="1"/>
  <c r="B10" i="6" l="1"/>
  <c r="B10" i="8"/>
  <c r="M11" i="7"/>
  <c r="D11" i="7"/>
  <c r="X10" i="7"/>
  <c r="AK6" i="8"/>
  <c r="T6" i="8"/>
  <c r="V6" i="8" s="1"/>
  <c r="Z6" i="8"/>
  <c r="AB6" i="8" s="1"/>
  <c r="M9" i="2"/>
  <c r="J9" i="2"/>
  <c r="T7" i="3"/>
  <c r="J7" i="10"/>
  <c r="G8" i="3"/>
  <c r="AA7" i="3"/>
  <c r="K7" i="10" s="1"/>
  <c r="AB10" i="7" l="1"/>
  <c r="I11" i="7"/>
  <c r="C11" i="7"/>
  <c r="N11" i="7"/>
  <c r="W11" i="7" s="1"/>
  <c r="F12" i="7" s="1"/>
  <c r="U10" i="8"/>
  <c r="W10" i="8" s="1"/>
  <c r="H11" i="7"/>
  <c r="AC6" i="8"/>
  <c r="AT6" i="8"/>
  <c r="C9" i="3"/>
  <c r="F9" i="10"/>
  <c r="B10" i="2"/>
  <c r="D9" i="10"/>
  <c r="AB7" i="3"/>
  <c r="L7" i="10" s="1"/>
  <c r="H8" i="3"/>
  <c r="R11" i="7" l="1"/>
  <c r="S11" i="7" s="1"/>
  <c r="C11" i="8" s="1"/>
  <c r="O12" i="7"/>
  <c r="J11" i="7"/>
  <c r="M8" i="3"/>
  <c r="AD6" i="8"/>
  <c r="AL6" i="8" s="1"/>
  <c r="C10" i="10"/>
  <c r="C10" i="2"/>
  <c r="K10" i="2"/>
  <c r="D10" i="2"/>
  <c r="I8" i="3"/>
  <c r="L8" i="3" s="1"/>
  <c r="K11" i="7" l="1"/>
  <c r="P12" i="7"/>
  <c r="Q12" i="7" s="1"/>
  <c r="E10" i="2"/>
  <c r="T11" i="7"/>
  <c r="D11" i="8" s="1"/>
  <c r="L10" i="2"/>
  <c r="AP6" i="8"/>
  <c r="F7" i="8" s="1"/>
  <c r="AE6" i="8"/>
  <c r="Q8" i="3"/>
  <c r="J8" i="3"/>
  <c r="K8" i="3" s="1"/>
  <c r="E12" i="8" l="1"/>
  <c r="AF6" i="8"/>
  <c r="AM6" i="8" s="1"/>
  <c r="Y12" i="7"/>
  <c r="L11" i="7"/>
  <c r="V11" i="7" s="1"/>
  <c r="F10" i="2"/>
  <c r="E10" i="10"/>
  <c r="B10" i="3"/>
  <c r="U8" i="3"/>
  <c r="N8" i="3"/>
  <c r="AC8" i="3"/>
  <c r="M8" i="10" s="1"/>
  <c r="E12" i="7" l="1"/>
  <c r="U11" i="7"/>
  <c r="AG6" i="8"/>
  <c r="AH6" i="8" s="1"/>
  <c r="AN6" i="8" s="1"/>
  <c r="AR6" i="8" s="1"/>
  <c r="H7" i="8" s="1"/>
  <c r="AQ6" i="8"/>
  <c r="G7" i="8" s="1"/>
  <c r="Z11" i="7"/>
  <c r="AA11" i="7" s="1"/>
  <c r="B11" i="7" s="1"/>
  <c r="G10" i="2"/>
  <c r="H10" i="2" s="1"/>
  <c r="G10" i="10" s="1"/>
  <c r="X8" i="3"/>
  <c r="V8" i="3"/>
  <c r="Y8" i="3" s="1"/>
  <c r="O8" i="3"/>
  <c r="AO6" i="8" l="1"/>
  <c r="I10" i="2"/>
  <c r="M12" i="7"/>
  <c r="D12" i="7"/>
  <c r="X11" i="7"/>
  <c r="I7" i="8"/>
  <c r="B11" i="8"/>
  <c r="D10" i="3"/>
  <c r="P8" i="3"/>
  <c r="E9" i="3"/>
  <c r="H8" i="10"/>
  <c r="I8" i="10"/>
  <c r="F9" i="3"/>
  <c r="R8" i="3"/>
  <c r="S8" i="3" s="1"/>
  <c r="H12" i="7"/>
  <c r="I12" i="7"/>
  <c r="AB11" i="7"/>
  <c r="C12" i="7"/>
  <c r="J7" i="8"/>
  <c r="N7" i="8" s="1"/>
  <c r="W8" i="3"/>
  <c r="Z8" i="3" s="1"/>
  <c r="O7" i="8"/>
  <c r="N12" i="7" l="1"/>
  <c r="W12" i="7" s="1"/>
  <c r="F13" i="7" s="1"/>
  <c r="AS6" i="8"/>
  <c r="J10" i="2"/>
  <c r="M10" i="2"/>
  <c r="F10" i="10" s="1"/>
  <c r="U11" i="8"/>
  <c r="W11" i="8" s="1"/>
  <c r="C10" i="3"/>
  <c r="K7" i="8"/>
  <c r="M7" i="8" s="1"/>
  <c r="R12" i="7"/>
  <c r="S12" i="7" s="1"/>
  <c r="C12" i="8" s="1"/>
  <c r="R7" i="8"/>
  <c r="G9" i="3"/>
  <c r="J8" i="10"/>
  <c r="T8" i="3"/>
  <c r="J12" i="7"/>
  <c r="AA8" i="3"/>
  <c r="K8" i="10" s="1"/>
  <c r="O13" i="7" l="1"/>
  <c r="D10" i="10"/>
  <c r="B11" i="2"/>
  <c r="AI7" i="8"/>
  <c r="P7" i="8"/>
  <c r="Q7" i="8" s="1"/>
  <c r="X7" i="8"/>
  <c r="P13" i="7"/>
  <c r="Q13" i="7" s="1"/>
  <c r="L7" i="8"/>
  <c r="H9" i="3"/>
  <c r="K12" i="7"/>
  <c r="AB8" i="3"/>
  <c r="L8" i="10" s="1"/>
  <c r="D11" i="2" l="1"/>
  <c r="K11" i="2"/>
  <c r="C11" i="10"/>
  <c r="C11" i="2"/>
  <c r="E11" i="2" s="1"/>
  <c r="F11" i="2" s="1"/>
  <c r="M9" i="3"/>
  <c r="AJ7" i="8"/>
  <c r="S7" i="8"/>
  <c r="T7" i="8" s="1"/>
  <c r="V7" i="8" s="1"/>
  <c r="AU7" i="8"/>
  <c r="Y7" i="8"/>
  <c r="AA7" i="8" s="1"/>
  <c r="Y13" i="7"/>
  <c r="E13" i="8"/>
  <c r="I9" i="3"/>
  <c r="L9" i="3" s="1"/>
  <c r="L12" i="7"/>
  <c r="V12" i="7" s="1"/>
  <c r="T12" i="7"/>
  <c r="D12" i="8" s="1"/>
  <c r="L11" i="2" l="1"/>
  <c r="G11" i="2"/>
  <c r="AK7" i="8"/>
  <c r="AT7" i="8"/>
  <c r="Z7" i="8"/>
  <c r="AB7" i="8" s="1"/>
  <c r="Q9" i="3"/>
  <c r="E13" i="7"/>
  <c r="Z12" i="7"/>
  <c r="AA12" i="7" s="1"/>
  <c r="B12" i="7" s="1"/>
  <c r="J9" i="3"/>
  <c r="K9" i="3" s="1"/>
  <c r="U12" i="7"/>
  <c r="E11" i="10" l="1"/>
  <c r="B11" i="3"/>
  <c r="I11" i="2"/>
  <c r="H11" i="2"/>
  <c r="AC7" i="8"/>
  <c r="M13" i="7"/>
  <c r="B12" i="8"/>
  <c r="U9" i="3"/>
  <c r="N9" i="3"/>
  <c r="D13" i="7"/>
  <c r="X12" i="7"/>
  <c r="AC9" i="3"/>
  <c r="M9" i="10" s="1"/>
  <c r="J11" i="2" l="1"/>
  <c r="M11" i="2"/>
  <c r="D11" i="3"/>
  <c r="G11" i="10"/>
  <c r="AD7" i="8"/>
  <c r="X9" i="3"/>
  <c r="N13" i="7"/>
  <c r="W13" i="7" s="1"/>
  <c r="F14" i="7" s="1"/>
  <c r="U12" i="8"/>
  <c r="W12" i="8" s="1"/>
  <c r="V9" i="3"/>
  <c r="Y9" i="3" s="1"/>
  <c r="O9" i="3"/>
  <c r="H13" i="7"/>
  <c r="I13" i="7"/>
  <c r="AB12" i="7"/>
  <c r="C13" i="7"/>
  <c r="B12" i="2" l="1"/>
  <c r="D11" i="10"/>
  <c r="F11" i="10"/>
  <c r="C11" i="3"/>
  <c r="AL7" i="8"/>
  <c r="AE7" i="8"/>
  <c r="P9" i="3"/>
  <c r="H9" i="10"/>
  <c r="J13" i="7"/>
  <c r="E10" i="3"/>
  <c r="O14" i="7"/>
  <c r="I9" i="10"/>
  <c r="F10" i="3"/>
  <c r="R9" i="3"/>
  <c r="S9" i="3" s="1"/>
  <c r="R13" i="7"/>
  <c r="S13" i="7" s="1"/>
  <c r="C13" i="8" s="1"/>
  <c r="W9" i="3"/>
  <c r="Z9" i="3" s="1"/>
  <c r="D12" i="2" l="1"/>
  <c r="K12" i="2"/>
  <c r="C12" i="2"/>
  <c r="C12" i="10"/>
  <c r="AF7" i="8"/>
  <c r="AM7" i="8" s="1"/>
  <c r="AQ7" i="8" s="1"/>
  <c r="G8" i="8" s="1"/>
  <c r="AP7" i="8"/>
  <c r="F8" i="8" s="1"/>
  <c r="K13" i="7"/>
  <c r="T13" i="7" s="1"/>
  <c r="D13" i="8" s="1"/>
  <c r="P14" i="7"/>
  <c r="Q14" i="7" s="1"/>
  <c r="G10" i="3"/>
  <c r="J9" i="10"/>
  <c r="T9" i="3"/>
  <c r="AA9" i="3"/>
  <c r="K9" i="10" s="1"/>
  <c r="L12" i="2" l="1"/>
  <c r="E12" i="2"/>
  <c r="AG7" i="8"/>
  <c r="AH7" i="8" s="1"/>
  <c r="AN7" i="8" s="1"/>
  <c r="AR7" i="8" s="1"/>
  <c r="H8" i="8" s="1"/>
  <c r="L13" i="7"/>
  <c r="V13" i="7" s="1"/>
  <c r="E14" i="8"/>
  <c r="Z13" i="7"/>
  <c r="AA13" i="7" s="1"/>
  <c r="B13" i="7" s="1"/>
  <c r="Y14" i="7"/>
  <c r="H10" i="3"/>
  <c r="AB9" i="3"/>
  <c r="L9" i="10" s="1"/>
  <c r="E12" i="10" l="1"/>
  <c r="B12" i="3"/>
  <c r="F12" i="2"/>
  <c r="I8" i="8"/>
  <c r="J8" i="8" s="1"/>
  <c r="N8" i="8" s="1"/>
  <c r="AO7" i="8"/>
  <c r="E14" i="7"/>
  <c r="U13" i="7"/>
  <c r="AS7" i="8"/>
  <c r="B13" i="8"/>
  <c r="M10" i="3"/>
  <c r="I10" i="3"/>
  <c r="L10" i="3" s="1"/>
  <c r="G12" i="2" l="1"/>
  <c r="O8" i="8"/>
  <c r="R8" i="8"/>
  <c r="K8" i="8"/>
  <c r="M8" i="8" s="1"/>
  <c r="X13" i="7"/>
  <c r="D14" i="7"/>
  <c r="M14" i="7"/>
  <c r="U13" i="8"/>
  <c r="W13" i="8" s="1"/>
  <c r="J10" i="3"/>
  <c r="K10" i="3" s="1"/>
  <c r="Q10" i="3"/>
  <c r="I12" i="2" l="1"/>
  <c r="H12" i="2"/>
  <c r="X8" i="8"/>
  <c r="P8" i="8"/>
  <c r="Q8" i="8" s="1"/>
  <c r="L8" i="8"/>
  <c r="AI8" i="8"/>
  <c r="N14" i="7"/>
  <c r="W14" i="7" s="1"/>
  <c r="F15" i="7" s="1"/>
  <c r="O15" i="7" s="1"/>
  <c r="AB13" i="7"/>
  <c r="H14" i="7"/>
  <c r="C14" i="7"/>
  <c r="R14" i="7" s="1"/>
  <c r="I14" i="7"/>
  <c r="N10" i="3"/>
  <c r="U10" i="3"/>
  <c r="AC10" i="3"/>
  <c r="M10" i="10" s="1"/>
  <c r="J12" i="2" l="1"/>
  <c r="M12" i="2"/>
  <c r="G12" i="10"/>
  <c r="D12" i="3"/>
  <c r="Y8" i="8"/>
  <c r="AA8" i="8" s="1"/>
  <c r="S8" i="8"/>
  <c r="AJ8" i="8"/>
  <c r="AU8" i="8"/>
  <c r="S14" i="7"/>
  <c r="C14" i="8" s="1"/>
  <c r="P15" i="7"/>
  <c r="Q15" i="7" s="1"/>
  <c r="J14" i="7"/>
  <c r="O10" i="3"/>
  <c r="V10" i="3"/>
  <c r="Y10" i="3" s="1"/>
  <c r="X10" i="3"/>
  <c r="B13" i="2" l="1"/>
  <c r="D12" i="10"/>
  <c r="C12" i="3"/>
  <c r="F12" i="10"/>
  <c r="Z8" i="8"/>
  <c r="AB8" i="8" s="1"/>
  <c r="AK8" i="8"/>
  <c r="E15" i="8"/>
  <c r="T8" i="8"/>
  <c r="V8" i="8" s="1"/>
  <c r="AT8" i="8" s="1"/>
  <c r="K14" i="7"/>
  <c r="T14" i="7" s="1"/>
  <c r="D14" i="8" s="1"/>
  <c r="Y15" i="7"/>
  <c r="P10" i="3"/>
  <c r="W10" i="3"/>
  <c r="Z10" i="3" s="1"/>
  <c r="F11" i="3"/>
  <c r="I10" i="10"/>
  <c r="R10" i="3"/>
  <c r="S10" i="3" s="1"/>
  <c r="H10" i="10"/>
  <c r="E11" i="3"/>
  <c r="AC8" i="8" l="1"/>
  <c r="K13" i="2"/>
  <c r="C13" i="2"/>
  <c r="E13" i="2" s="1"/>
  <c r="F13" i="2" s="1"/>
  <c r="D13" i="2"/>
  <c r="C13" i="10"/>
  <c r="L14" i="7"/>
  <c r="V14" i="7" s="1"/>
  <c r="J10" i="10"/>
  <c r="G11" i="3"/>
  <c r="AA10" i="3"/>
  <c r="K10" i="10" s="1"/>
  <c r="T10" i="3"/>
  <c r="L13" i="2" l="1"/>
  <c r="Z14" i="7"/>
  <c r="AA14" i="7" s="1"/>
  <c r="B14" i="7" s="1"/>
  <c r="B14" i="8" s="1"/>
  <c r="U14" i="8" s="1"/>
  <c r="W14" i="8" s="1"/>
  <c r="AD8" i="8"/>
  <c r="AL8" i="8" s="1"/>
  <c r="U14" i="7"/>
  <c r="E13" i="10"/>
  <c r="B13" i="3"/>
  <c r="E15" i="7"/>
  <c r="G13" i="2"/>
  <c r="H13" i="2" s="1"/>
  <c r="D13" i="3" s="1"/>
  <c r="M15" i="7"/>
  <c r="H11" i="3"/>
  <c r="AB10" i="3"/>
  <c r="L10" i="10" s="1"/>
  <c r="N15" i="7"/>
  <c r="W15" i="7" s="1"/>
  <c r="F16" i="7" s="1"/>
  <c r="D15" i="7" l="1"/>
  <c r="AE8" i="8"/>
  <c r="AF8" i="8" s="1"/>
  <c r="AM8" i="8" s="1"/>
  <c r="AQ8" i="8" s="1"/>
  <c r="G9" i="8" s="1"/>
  <c r="AP8" i="8"/>
  <c r="F9" i="8" s="1"/>
  <c r="X14" i="7"/>
  <c r="AB14" i="7" s="1"/>
  <c r="I13" i="2"/>
  <c r="G13" i="10"/>
  <c r="C15" i="7"/>
  <c r="R15" i="7" s="1"/>
  <c r="M11" i="3"/>
  <c r="I11" i="3"/>
  <c r="L11" i="3" s="1"/>
  <c r="O16" i="7"/>
  <c r="H15" i="7" l="1"/>
  <c r="J15" i="7" s="1"/>
  <c r="I15" i="7"/>
  <c r="AG8" i="8"/>
  <c r="AH8" i="8" s="1"/>
  <c r="AN8" i="8" s="1"/>
  <c r="AR8" i="8" s="1"/>
  <c r="H9" i="8" s="1"/>
  <c r="J13" i="2"/>
  <c r="M13" i="2"/>
  <c r="S15" i="7"/>
  <c r="C15" i="8" s="1"/>
  <c r="Q11" i="3"/>
  <c r="J11" i="3"/>
  <c r="K11" i="3" s="1"/>
  <c r="P16" i="7"/>
  <c r="Q16" i="7" s="1"/>
  <c r="I9" i="8" l="1"/>
  <c r="K15" i="7"/>
  <c r="AO8" i="8"/>
  <c r="AS8" i="8"/>
  <c r="B14" i="2"/>
  <c r="D13" i="10"/>
  <c r="F13" i="10"/>
  <c r="C13" i="3"/>
  <c r="E16" i="8"/>
  <c r="N11" i="3"/>
  <c r="AC11" i="3"/>
  <c r="M11" i="10" s="1"/>
  <c r="U11" i="3"/>
  <c r="Y16" i="7"/>
  <c r="L15" i="7" l="1"/>
  <c r="V15" i="7" s="1"/>
  <c r="Z15" i="7" s="1"/>
  <c r="AA15" i="7" s="1"/>
  <c r="B15" i="7" s="1"/>
  <c r="T15" i="7"/>
  <c r="D15" i="8" s="1"/>
  <c r="U15" i="7"/>
  <c r="J9" i="8"/>
  <c r="N9" i="8" s="1"/>
  <c r="O9" i="8"/>
  <c r="D14" i="2"/>
  <c r="C14" i="10"/>
  <c r="K14" i="2"/>
  <c r="C14" i="2"/>
  <c r="E16" i="7"/>
  <c r="M16" i="7" s="1"/>
  <c r="X15" i="7"/>
  <c r="D16" i="7"/>
  <c r="B15" i="8"/>
  <c r="U15" i="8" s="1"/>
  <c r="W15" i="8" s="1"/>
  <c r="K9" i="8"/>
  <c r="M9" i="8" s="1"/>
  <c r="R9" i="8"/>
  <c r="AI9" i="8"/>
  <c r="L9" i="8"/>
  <c r="O11" i="3"/>
  <c r="V11" i="3"/>
  <c r="Y11" i="3" s="1"/>
  <c r="X11" i="3"/>
  <c r="AB15" i="7" l="1"/>
  <c r="H16" i="7"/>
  <c r="I16" i="7"/>
  <c r="N16" i="7"/>
  <c r="W16" i="7" s="1"/>
  <c r="F17" i="7" s="1"/>
  <c r="O17" i="7" s="1"/>
  <c r="P9" i="8"/>
  <c r="Q9" i="8" s="1"/>
  <c r="X9" i="8"/>
  <c r="L14" i="2"/>
  <c r="E14" i="2"/>
  <c r="C16" i="7"/>
  <c r="R16" i="7" s="1"/>
  <c r="P11" i="3"/>
  <c r="R11" i="3"/>
  <c r="S11" i="3" s="1"/>
  <c r="AJ9" i="8"/>
  <c r="AU9" i="8"/>
  <c r="F12" i="3"/>
  <c r="I11" i="10"/>
  <c r="E12" i="3"/>
  <c r="H11" i="10"/>
  <c r="W11" i="3"/>
  <c r="Z11" i="3" s="1"/>
  <c r="S9" i="8" l="1"/>
  <c r="Y9" i="8"/>
  <c r="AA9" i="8" s="1"/>
  <c r="Z9" i="8"/>
  <c r="AB9" i="8" s="1"/>
  <c r="S16" i="7"/>
  <c r="C16" i="8" s="1"/>
  <c r="J16" i="7"/>
  <c r="P17" i="7"/>
  <c r="Q17" i="7" s="1"/>
  <c r="E14" i="10"/>
  <c r="B14" i="3"/>
  <c r="F14" i="2"/>
  <c r="AK9" i="8"/>
  <c r="T11" i="3"/>
  <c r="T9" i="8"/>
  <c r="V9" i="8" s="1"/>
  <c r="K16" i="7"/>
  <c r="G12" i="3"/>
  <c r="H12" i="3" s="1"/>
  <c r="J11" i="10"/>
  <c r="AA11" i="3"/>
  <c r="K11" i="10" s="1"/>
  <c r="E17" i="8"/>
  <c r="Y17" i="7"/>
  <c r="AC9" i="8" l="1"/>
  <c r="G14" i="2"/>
  <c r="AB11" i="3"/>
  <c r="L11" i="10" s="1"/>
  <c r="AT9" i="8"/>
  <c r="AD9" i="8"/>
  <c r="L16" i="7"/>
  <c r="V16" i="7" s="1"/>
  <c r="Z16" i="7" s="1"/>
  <c r="AA16" i="7" s="1"/>
  <c r="B16" i="7" s="1"/>
  <c r="M12" i="3"/>
  <c r="I12" i="3"/>
  <c r="L12" i="3" s="1"/>
  <c r="T16" i="7"/>
  <c r="D16" i="8" s="1"/>
  <c r="I14" i="2" l="1"/>
  <c r="H14" i="2"/>
  <c r="AL9" i="8"/>
  <c r="AE9" i="8"/>
  <c r="E17" i="7"/>
  <c r="M17" i="7" s="1"/>
  <c r="U16" i="7"/>
  <c r="B16" i="8"/>
  <c r="Q12" i="3"/>
  <c r="J12" i="3"/>
  <c r="K12" i="3" s="1"/>
  <c r="J14" i="2" l="1"/>
  <c r="M14" i="2"/>
  <c r="G14" i="10"/>
  <c r="D14" i="3"/>
  <c r="AP9" i="8"/>
  <c r="F10" i="8" s="1"/>
  <c r="AF9" i="8"/>
  <c r="AM9" i="8" s="1"/>
  <c r="AQ9" i="8" s="1"/>
  <c r="G10" i="8" s="1"/>
  <c r="AC12" i="3"/>
  <c r="M12" i="10" s="1"/>
  <c r="U16" i="8"/>
  <c r="W16" i="8" s="1"/>
  <c r="N12" i="3"/>
  <c r="X16" i="7"/>
  <c r="D17" i="7"/>
  <c r="N17" i="7"/>
  <c r="W17" i="7" s="1"/>
  <c r="F18" i="7" s="1"/>
  <c r="U12" i="3"/>
  <c r="D14" i="10" l="1"/>
  <c r="B15" i="2"/>
  <c r="C14" i="3"/>
  <c r="F14" i="10"/>
  <c r="AG9" i="8"/>
  <c r="AH9" i="8" s="1"/>
  <c r="AN9" i="8" s="1"/>
  <c r="AR9" i="8" s="1"/>
  <c r="H10" i="8" s="1"/>
  <c r="O12" i="3"/>
  <c r="C17" i="7"/>
  <c r="R17" i="7" s="1"/>
  <c r="AB16" i="7"/>
  <c r="I17" i="7"/>
  <c r="H17" i="7"/>
  <c r="X12" i="3"/>
  <c r="O18" i="7"/>
  <c r="P18" i="7"/>
  <c r="Q18" i="7" s="1"/>
  <c r="V12" i="3"/>
  <c r="Y12" i="3" s="1"/>
  <c r="B12" i="4" l="1"/>
  <c r="E13" i="3"/>
  <c r="C15" i="2"/>
  <c r="C15" i="10"/>
  <c r="K15" i="2"/>
  <c r="D15" i="2"/>
  <c r="L15" i="2" s="1"/>
  <c r="AO9" i="8"/>
  <c r="I10" i="8"/>
  <c r="W12" i="3"/>
  <c r="Z12" i="3" s="1"/>
  <c r="F13" i="3"/>
  <c r="I12" i="10"/>
  <c r="P12" i="3"/>
  <c r="R12" i="3"/>
  <c r="S12" i="3" s="1"/>
  <c r="H12" i="10"/>
  <c r="J17" i="7"/>
  <c r="S17" i="7"/>
  <c r="C17" i="8" s="1"/>
  <c r="E18" i="8"/>
  <c r="Y18" i="7"/>
  <c r="J10" i="8" l="1"/>
  <c r="N10" i="8" s="1"/>
  <c r="B15" i="3"/>
  <c r="E15" i="10"/>
  <c r="AS9" i="8"/>
  <c r="O10" i="8"/>
  <c r="AA12" i="3"/>
  <c r="K12" i="10" s="1"/>
  <c r="E15" i="2"/>
  <c r="J12" i="10"/>
  <c r="G13" i="3"/>
  <c r="R10" i="8"/>
  <c r="K10" i="8"/>
  <c r="M10" i="8" s="1"/>
  <c r="H13" i="3"/>
  <c r="T12" i="3"/>
  <c r="AB12" i="3" s="1"/>
  <c r="L12" i="10" s="1"/>
  <c r="K17" i="7"/>
  <c r="F15" i="2" l="1"/>
  <c r="L10" i="8"/>
  <c r="X10" i="8"/>
  <c r="P10" i="8"/>
  <c r="Q10" i="8" s="1"/>
  <c r="AI10" i="8"/>
  <c r="M13" i="3"/>
  <c r="I13" i="3"/>
  <c r="L13" i="3" s="1"/>
  <c r="T17" i="7"/>
  <c r="D17" i="8" s="1"/>
  <c r="L17" i="7"/>
  <c r="G15" i="2" l="1"/>
  <c r="H15" i="2" s="1"/>
  <c r="AU10" i="8"/>
  <c r="Y10" i="8"/>
  <c r="AA10" i="8" s="1"/>
  <c r="J13" i="3"/>
  <c r="K13" i="3" s="1"/>
  <c r="S10" i="8"/>
  <c r="AJ10" i="8"/>
  <c r="Q13" i="3"/>
  <c r="U17" i="7"/>
  <c r="V17" i="7"/>
  <c r="D15" i="3" l="1"/>
  <c r="G15" i="10"/>
  <c r="I15" i="2"/>
  <c r="AC13" i="3"/>
  <c r="M13" i="10" s="1"/>
  <c r="Z10" i="8"/>
  <c r="AB10" i="8" s="1"/>
  <c r="N13" i="3"/>
  <c r="U13" i="3"/>
  <c r="V13" i="3" s="1"/>
  <c r="Y13" i="3" s="1"/>
  <c r="AK10" i="8"/>
  <c r="T10" i="8"/>
  <c r="V10" i="8" s="1"/>
  <c r="X17" i="7"/>
  <c r="D18" i="7"/>
  <c r="E18" i="7"/>
  <c r="Z17" i="7"/>
  <c r="AA17" i="7" s="1"/>
  <c r="B17" i="7" s="1"/>
  <c r="B17" i="8" s="1"/>
  <c r="U17" i="8" s="1"/>
  <c r="W17" i="8" s="1"/>
  <c r="J15" i="2" l="1"/>
  <c r="M15" i="2"/>
  <c r="O13" i="3"/>
  <c r="AC10" i="8"/>
  <c r="AT10" i="8"/>
  <c r="I13" i="10"/>
  <c r="X13" i="3"/>
  <c r="W13" i="3"/>
  <c r="Z13" i="3" s="1"/>
  <c r="F14" i="3"/>
  <c r="C18" i="7"/>
  <c r="R18" i="7" s="1"/>
  <c r="AB17" i="7"/>
  <c r="H18" i="7"/>
  <c r="I18" i="7"/>
  <c r="M18" i="7"/>
  <c r="B16" i="2" l="1"/>
  <c r="D15" i="10"/>
  <c r="C15" i="3"/>
  <c r="F15" i="10"/>
  <c r="P13" i="3"/>
  <c r="AD10" i="8"/>
  <c r="R13" i="3"/>
  <c r="S13" i="3" s="1"/>
  <c r="J13" i="10"/>
  <c r="H13" i="10"/>
  <c r="E14" i="3"/>
  <c r="G14" i="3"/>
  <c r="AA13" i="3"/>
  <c r="K13" i="10" s="1"/>
  <c r="N18" i="7"/>
  <c r="W18" i="7" s="1"/>
  <c r="F19" i="7" s="1"/>
  <c r="S18" i="7"/>
  <c r="C18" i="8" s="1"/>
  <c r="J18" i="7"/>
  <c r="C16" i="10" l="1"/>
  <c r="K16" i="2"/>
  <c r="D16" i="2"/>
  <c r="L16" i="2" s="1"/>
  <c r="C16" i="2"/>
  <c r="E16" i="2" s="1"/>
  <c r="AL10" i="8"/>
  <c r="AE10" i="8"/>
  <c r="T13" i="3"/>
  <c r="H14" i="3"/>
  <c r="O19" i="7"/>
  <c r="K18" i="7"/>
  <c r="AF10" i="8"/>
  <c r="AM10" i="8" s="1"/>
  <c r="AQ10" i="8" s="1"/>
  <c r="G11" i="8" s="1"/>
  <c r="AP10" i="8"/>
  <c r="F11" i="8" s="1"/>
  <c r="P19" i="7" l="1"/>
  <c r="Q19" i="7" s="1"/>
  <c r="AB13" i="3"/>
  <c r="L13" i="10" s="1"/>
  <c r="I14" i="3"/>
  <c r="L14" i="3" s="1"/>
  <c r="B16" i="3"/>
  <c r="E16" i="10"/>
  <c r="F16" i="2"/>
  <c r="M14" i="3"/>
  <c r="AG10" i="8"/>
  <c r="AH10" i="8" s="1"/>
  <c r="AN10" i="8" s="1"/>
  <c r="AR10" i="8" s="1"/>
  <c r="H11" i="8" s="1"/>
  <c r="L18" i="7"/>
  <c r="T18" i="7"/>
  <c r="D18" i="8" s="1"/>
  <c r="AO10" i="8"/>
  <c r="Q14" i="3" l="1"/>
  <c r="E19" i="8"/>
  <c r="Y19" i="7"/>
  <c r="J14" i="3"/>
  <c r="K14" i="3" s="1"/>
  <c r="G16" i="2"/>
  <c r="I11" i="8"/>
  <c r="U18" i="7"/>
  <c r="V18" i="7"/>
  <c r="AS10" i="8"/>
  <c r="N14" i="3" l="1"/>
  <c r="U14" i="3"/>
  <c r="AC14" i="3"/>
  <c r="M14" i="10" s="1"/>
  <c r="I16" i="2"/>
  <c r="H16" i="2"/>
  <c r="J11" i="8"/>
  <c r="N11" i="8" s="1"/>
  <c r="O11" i="8"/>
  <c r="D19" i="7"/>
  <c r="X18" i="7"/>
  <c r="E19" i="7"/>
  <c r="Z18" i="7"/>
  <c r="AA18" i="7" s="1"/>
  <c r="B18" i="7" s="1"/>
  <c r="B18" i="8" s="1"/>
  <c r="U18" i="8" s="1"/>
  <c r="W18" i="8" s="1"/>
  <c r="V14" i="3" l="1"/>
  <c r="Y14" i="3" s="1"/>
  <c r="O14" i="3"/>
  <c r="X14" i="3"/>
  <c r="M16" i="2"/>
  <c r="J16" i="2"/>
  <c r="G16" i="10"/>
  <c r="D16" i="3"/>
  <c r="K11" i="8"/>
  <c r="M11" i="8" s="1"/>
  <c r="R11" i="8"/>
  <c r="I19" i="7"/>
  <c r="H19" i="7"/>
  <c r="AB18" i="7"/>
  <c r="C19" i="7"/>
  <c r="R19" i="7" s="1"/>
  <c r="M19" i="7"/>
  <c r="L11" i="8"/>
  <c r="AI11" i="8"/>
  <c r="AJ11" i="8" s="1"/>
  <c r="P14" i="3" l="1"/>
  <c r="I14" i="10"/>
  <c r="F15" i="3"/>
  <c r="R14" i="3"/>
  <c r="S14" i="3" s="1"/>
  <c r="H14" i="10"/>
  <c r="E15" i="3"/>
  <c r="W14" i="3"/>
  <c r="Z14" i="3" s="1"/>
  <c r="F16" i="10"/>
  <c r="C16" i="3"/>
  <c r="D16" i="10"/>
  <c r="B17" i="2"/>
  <c r="J19" i="7"/>
  <c r="P11" i="8"/>
  <c r="Q11" i="8" s="1"/>
  <c r="X11" i="8"/>
  <c r="Y11" i="8" s="1"/>
  <c r="AA11" i="8" s="1"/>
  <c r="S19" i="7"/>
  <c r="C19" i="8" s="1"/>
  <c r="AU11" i="8"/>
  <c r="N19" i="7"/>
  <c r="W19" i="7" s="1"/>
  <c r="F20" i="7" s="1"/>
  <c r="AK11" i="8"/>
  <c r="AA14" i="3"/>
  <c r="K14" i="10" s="1"/>
  <c r="G15" i="3"/>
  <c r="J14" i="10"/>
  <c r="T14" i="3" l="1"/>
  <c r="K17" i="2"/>
  <c r="D17" i="2"/>
  <c r="L17" i="2" s="1"/>
  <c r="C17" i="10"/>
  <c r="C17" i="2"/>
  <c r="S11" i="8"/>
  <c r="K19" i="7"/>
  <c r="T19" i="7" s="1"/>
  <c r="D19" i="8" s="1"/>
  <c r="Z11" i="8"/>
  <c r="AB11" i="8" s="1"/>
  <c r="T11" i="8"/>
  <c r="V11" i="8" s="1"/>
  <c r="O20" i="7"/>
  <c r="L19" i="7"/>
  <c r="V19" i="7" s="1"/>
  <c r="H15" i="3"/>
  <c r="E17" i="2" l="1"/>
  <c r="AB14" i="3"/>
  <c r="L14" i="10" s="1"/>
  <c r="B17" i="3"/>
  <c r="E17" i="10"/>
  <c r="AC11" i="8"/>
  <c r="AT11" i="8"/>
  <c r="U19" i="7"/>
  <c r="Z19" i="7"/>
  <c r="AA19" i="7" s="1"/>
  <c r="B19" i="7" s="1"/>
  <c r="B19" i="8" s="1"/>
  <c r="U19" i="8" s="1"/>
  <c r="W19" i="8" s="1"/>
  <c r="E20" i="7"/>
  <c r="P20" i="7"/>
  <c r="Q20" i="7" s="1"/>
  <c r="M15" i="3"/>
  <c r="I15" i="3"/>
  <c r="L15" i="3" s="1"/>
  <c r="F17" i="2" l="1"/>
  <c r="G17" i="2"/>
  <c r="AD11" i="8"/>
  <c r="X19" i="7"/>
  <c r="D20" i="7"/>
  <c r="M20" i="7"/>
  <c r="Y20" i="7"/>
  <c r="E20" i="8"/>
  <c r="Q15" i="3"/>
  <c r="J15" i="3"/>
  <c r="K15" i="3" s="1"/>
  <c r="AL11" i="8" l="1"/>
  <c r="AE11" i="8"/>
  <c r="I17" i="2"/>
  <c r="H17" i="2"/>
  <c r="AB19" i="7"/>
  <c r="C20" i="7"/>
  <c r="R20" i="7" s="1"/>
  <c r="I20" i="7"/>
  <c r="H20" i="7"/>
  <c r="J20" i="7" s="1"/>
  <c r="AP11" i="8"/>
  <c r="F12" i="8" s="1"/>
  <c r="AF11" i="8"/>
  <c r="AM11" i="8" s="1"/>
  <c r="AQ11" i="8" s="1"/>
  <c r="G12" i="8" s="1"/>
  <c r="N20" i="7"/>
  <c r="W20" i="7" s="1"/>
  <c r="F21" i="7" s="1"/>
  <c r="U15" i="3"/>
  <c r="N15" i="3"/>
  <c r="AC15" i="3"/>
  <c r="M15" i="10" s="1"/>
  <c r="J17" i="2" l="1"/>
  <c r="M17" i="2"/>
  <c r="G17" i="10"/>
  <c r="D17" i="3"/>
  <c r="S20" i="7"/>
  <c r="C20" i="8" s="1"/>
  <c r="K20" i="7"/>
  <c r="AG11" i="8"/>
  <c r="AH11" i="8" s="1"/>
  <c r="AN11" i="8" s="1"/>
  <c r="AR11" i="8" s="1"/>
  <c r="H12" i="8" s="1"/>
  <c r="O21" i="7"/>
  <c r="V15" i="3"/>
  <c r="Y15" i="3" s="1"/>
  <c r="O15" i="3"/>
  <c r="X15" i="3"/>
  <c r="D17" i="10" l="1"/>
  <c r="B18" i="2"/>
  <c r="C17" i="3"/>
  <c r="F17" i="10"/>
  <c r="L20" i="7"/>
  <c r="V20" i="7" s="1"/>
  <c r="T20" i="7"/>
  <c r="D20" i="8" s="1"/>
  <c r="I12" i="8"/>
  <c r="J12" i="8" s="1"/>
  <c r="N12" i="8" s="1"/>
  <c r="U20" i="7"/>
  <c r="X20" i="7" s="1"/>
  <c r="AO11" i="8"/>
  <c r="P21" i="7"/>
  <c r="Q21" i="7" s="1"/>
  <c r="P15" i="3"/>
  <c r="I15" i="10"/>
  <c r="F16" i="3"/>
  <c r="R15" i="3"/>
  <c r="S15" i="3" s="1"/>
  <c r="H15" i="10"/>
  <c r="E16" i="3"/>
  <c r="W15" i="3"/>
  <c r="Z15" i="3" s="1"/>
  <c r="K18" i="2" l="1"/>
  <c r="D18" i="2"/>
  <c r="L18" i="2" s="1"/>
  <c r="C18" i="10"/>
  <c r="C18" i="2"/>
  <c r="E18" i="2" s="1"/>
  <c r="O12" i="8"/>
  <c r="Z20" i="7"/>
  <c r="AA20" i="7" s="1"/>
  <c r="B20" i="7" s="1"/>
  <c r="B20" i="8" s="1"/>
  <c r="U20" i="8" s="1"/>
  <c r="W20" i="8" s="1"/>
  <c r="E21" i="7"/>
  <c r="AS11" i="8"/>
  <c r="D21" i="7"/>
  <c r="C21" i="7"/>
  <c r="AB20" i="7"/>
  <c r="K12" i="8"/>
  <c r="M12" i="8" s="1"/>
  <c r="R12" i="8"/>
  <c r="Y21" i="7"/>
  <c r="E21" i="8"/>
  <c r="AA15" i="3"/>
  <c r="K15" i="10" s="1"/>
  <c r="G16" i="3"/>
  <c r="J15" i="10"/>
  <c r="T15" i="3"/>
  <c r="M21" i="7" l="1"/>
  <c r="I21" i="7"/>
  <c r="H21" i="7"/>
  <c r="J21" i="7" s="1"/>
  <c r="B18" i="3"/>
  <c r="E18" i="10"/>
  <c r="F18" i="2"/>
  <c r="R21" i="7"/>
  <c r="L12" i="8"/>
  <c r="AI12" i="8"/>
  <c r="P12" i="8"/>
  <c r="Q12" i="8" s="1"/>
  <c r="X12" i="8"/>
  <c r="H16" i="3"/>
  <c r="AB15" i="3"/>
  <c r="L15" i="10" s="1"/>
  <c r="S21" i="7" l="1"/>
  <c r="C21" i="8" s="1"/>
  <c r="G18" i="2"/>
  <c r="H18" i="2" s="1"/>
  <c r="N21" i="7"/>
  <c r="W21" i="7" s="1"/>
  <c r="F22" i="7" s="1"/>
  <c r="K21" i="7"/>
  <c r="T21" i="7" s="1"/>
  <c r="D21" i="8" s="1"/>
  <c r="AU12" i="8"/>
  <c r="G18" i="10"/>
  <c r="D18" i="3"/>
  <c r="I18" i="2"/>
  <c r="AJ12" i="8"/>
  <c r="S12" i="8"/>
  <c r="Y12" i="8"/>
  <c r="AA12" i="8" s="1"/>
  <c r="O22" i="7"/>
  <c r="AK12" i="8"/>
  <c r="Z12" i="8"/>
  <c r="AB12" i="8" s="1"/>
  <c r="T12" i="8"/>
  <c r="V12" i="8" s="1"/>
  <c r="AC12" i="8"/>
  <c r="AD12" i="8" s="1"/>
  <c r="I16" i="3"/>
  <c r="L16" i="3" s="1"/>
  <c r="M16" i="3"/>
  <c r="L21" i="7" l="1"/>
  <c r="M18" i="2"/>
  <c r="J18" i="2"/>
  <c r="U21" i="7"/>
  <c r="V21" i="7"/>
  <c r="P22" i="7"/>
  <c r="Q22" i="7" s="1"/>
  <c r="X21" i="7"/>
  <c r="D22" i="7"/>
  <c r="AT12" i="8"/>
  <c r="AL12" i="8"/>
  <c r="AE12" i="8"/>
  <c r="Q16" i="3"/>
  <c r="J16" i="3"/>
  <c r="K16" i="3" s="1"/>
  <c r="F18" i="10" l="1"/>
  <c r="C18" i="3"/>
  <c r="B19" i="2"/>
  <c r="D18" i="10"/>
  <c r="Y22" i="7"/>
  <c r="E22" i="8"/>
  <c r="E22" i="7"/>
  <c r="Z21" i="7"/>
  <c r="AA21" i="7" s="1"/>
  <c r="B21" i="7" s="1"/>
  <c r="B21" i="8" s="1"/>
  <c r="U21" i="8" s="1"/>
  <c r="W21" i="8" s="1"/>
  <c r="C22" i="7"/>
  <c r="R22" i="7" s="1"/>
  <c r="I22" i="7"/>
  <c r="S22" i="7" s="1"/>
  <c r="C22" i="8" s="1"/>
  <c r="AB21" i="7"/>
  <c r="H22" i="7"/>
  <c r="AC16" i="3"/>
  <c r="M16" i="10" s="1"/>
  <c r="AF12" i="8"/>
  <c r="AM12" i="8" s="1"/>
  <c r="AQ12" i="8" s="1"/>
  <c r="G13" i="8" s="1"/>
  <c r="AP12" i="8"/>
  <c r="F13" i="8" s="1"/>
  <c r="U16" i="3"/>
  <c r="N16" i="3"/>
  <c r="D19" i="2" l="1"/>
  <c r="L19" i="2" s="1"/>
  <c r="C19" i="10"/>
  <c r="K19" i="2"/>
  <c r="C19" i="2"/>
  <c r="E19" i="2" s="1"/>
  <c r="M22" i="7"/>
  <c r="AG12" i="8"/>
  <c r="AH12" i="8" s="1"/>
  <c r="AN12" i="8" s="1"/>
  <c r="AR12" i="8" s="1"/>
  <c r="H13" i="8" s="1"/>
  <c r="J22" i="7"/>
  <c r="X16" i="3"/>
  <c r="V16" i="3"/>
  <c r="Y16" i="3" s="1"/>
  <c r="O16" i="3"/>
  <c r="B19" i="3" l="1"/>
  <c r="E19" i="10"/>
  <c r="F19" i="2"/>
  <c r="AO12" i="8"/>
  <c r="N22" i="7"/>
  <c r="W22" i="7" s="1"/>
  <c r="F23" i="7" s="1"/>
  <c r="O23" i="7" s="1"/>
  <c r="I13" i="8"/>
  <c r="K22" i="7"/>
  <c r="P16" i="3"/>
  <c r="E17" i="3"/>
  <c r="H16" i="10"/>
  <c r="W16" i="3"/>
  <c r="Z16" i="3" s="1"/>
  <c r="I16" i="10"/>
  <c r="F17" i="3"/>
  <c r="R16" i="3"/>
  <c r="S16" i="3" s="1"/>
  <c r="G19" i="2" l="1"/>
  <c r="J13" i="8"/>
  <c r="N13" i="8" s="1"/>
  <c r="O13" i="8"/>
  <c r="AS12" i="8"/>
  <c r="P23" i="7"/>
  <c r="Q23" i="7" s="1"/>
  <c r="T22" i="7"/>
  <c r="D22" i="8" s="1"/>
  <c r="L22" i="7"/>
  <c r="V22" i="7" s="1"/>
  <c r="G17" i="3"/>
  <c r="J16" i="10"/>
  <c r="T16" i="3"/>
  <c r="AA16" i="3"/>
  <c r="K16" i="10" s="1"/>
  <c r="K13" i="8" l="1"/>
  <c r="M13" i="8" s="1"/>
  <c r="R13" i="8"/>
  <c r="I19" i="2"/>
  <c r="H19" i="2"/>
  <c r="U22" i="7"/>
  <c r="E23" i="8"/>
  <c r="Y23" i="7"/>
  <c r="Z22" i="7"/>
  <c r="AA22" i="7" s="1"/>
  <c r="B22" i="7" s="1"/>
  <c r="B22" i="8" s="1"/>
  <c r="E23" i="7"/>
  <c r="M23" i="7" s="1"/>
  <c r="H17" i="3"/>
  <c r="AB16" i="3"/>
  <c r="L16" i="10" s="1"/>
  <c r="AI13" i="8" l="1"/>
  <c r="X13" i="8"/>
  <c r="P13" i="8"/>
  <c r="Q13" i="8" s="1"/>
  <c r="L13" i="8"/>
  <c r="M19" i="2"/>
  <c r="J19" i="2"/>
  <c r="G19" i="10"/>
  <c r="D19" i="3"/>
  <c r="D23" i="7"/>
  <c r="X22" i="7"/>
  <c r="M17" i="3"/>
  <c r="U22" i="8"/>
  <c r="W22" i="8" s="1"/>
  <c r="N23" i="7"/>
  <c r="W23" i="7" s="1"/>
  <c r="F24" i="7" s="1"/>
  <c r="O24" i="7" s="1"/>
  <c r="I17" i="3"/>
  <c r="L17" i="3" s="1"/>
  <c r="S13" i="8" l="1"/>
  <c r="AJ13" i="8"/>
  <c r="Y13" i="8"/>
  <c r="AA13" i="8" s="1"/>
  <c r="I23" i="7"/>
  <c r="H23" i="7"/>
  <c r="C23" i="7"/>
  <c r="R23" i="7" s="1"/>
  <c r="AB22" i="7"/>
  <c r="AU13" i="8"/>
  <c r="F19" i="10"/>
  <c r="C19" i="3"/>
  <c r="D19" i="10"/>
  <c r="B20" i="2"/>
  <c r="P24" i="7"/>
  <c r="Q24" i="7" s="1"/>
  <c r="J17" i="3"/>
  <c r="K17" i="3" s="1"/>
  <c r="Q17" i="3"/>
  <c r="T13" i="8" l="1"/>
  <c r="V13" i="8" s="1"/>
  <c r="AT13" i="8" s="1"/>
  <c r="J23" i="7"/>
  <c r="Z13" i="8"/>
  <c r="AB13" i="8" s="1"/>
  <c r="AK13" i="8"/>
  <c r="S23" i="7"/>
  <c r="C23" i="8" s="1"/>
  <c r="K20" i="2"/>
  <c r="C20" i="2"/>
  <c r="C20" i="10"/>
  <c r="D20" i="2"/>
  <c r="L20" i="2" s="1"/>
  <c r="K23" i="7"/>
  <c r="E24" i="8"/>
  <c r="Y24" i="7"/>
  <c r="AC13" i="8"/>
  <c r="AD13" i="8" s="1"/>
  <c r="N17" i="3"/>
  <c r="U17" i="3"/>
  <c r="AC17" i="3"/>
  <c r="M17" i="10" s="1"/>
  <c r="B20" i="3" l="1"/>
  <c r="E20" i="10"/>
  <c r="E20" i="2"/>
  <c r="L23" i="7"/>
  <c r="V23" i="7" s="1"/>
  <c r="T23" i="7"/>
  <c r="D23" i="8" s="1"/>
  <c r="AE13" i="8"/>
  <c r="AF13" i="8" s="1"/>
  <c r="AM13" i="8" s="1"/>
  <c r="AQ13" i="8" s="1"/>
  <c r="G14" i="8" s="1"/>
  <c r="AL13" i="8"/>
  <c r="AP13" i="8"/>
  <c r="F14" i="8" s="1"/>
  <c r="V17" i="3"/>
  <c r="Y17" i="3" s="1"/>
  <c r="O17" i="3"/>
  <c r="X17" i="3"/>
  <c r="F20" i="2" l="1"/>
  <c r="U23" i="7"/>
  <c r="Z23" i="7"/>
  <c r="AA23" i="7" s="1"/>
  <c r="B23" i="7" s="1"/>
  <c r="E24" i="7"/>
  <c r="AG13" i="8"/>
  <c r="AH13" i="8" s="1"/>
  <c r="AN13" i="8" s="1"/>
  <c r="AR13" i="8" s="1"/>
  <c r="H14" i="8" s="1"/>
  <c r="I17" i="10"/>
  <c r="F18" i="3"/>
  <c r="E18" i="3"/>
  <c r="W17" i="3"/>
  <c r="Z17" i="3" s="1"/>
  <c r="R17" i="3"/>
  <c r="S17" i="3" s="1"/>
  <c r="H17" i="10"/>
  <c r="P17" i="3"/>
  <c r="X23" i="7" l="1"/>
  <c r="D24" i="7"/>
  <c r="M24" i="7"/>
  <c r="B23" i="8"/>
  <c r="U23" i="8" s="1"/>
  <c r="W23" i="8" s="1"/>
  <c r="G20" i="2"/>
  <c r="H20" i="2" s="1"/>
  <c r="I14" i="8"/>
  <c r="J14" i="8" s="1"/>
  <c r="N14" i="8" s="1"/>
  <c r="AO13" i="8"/>
  <c r="T17" i="3"/>
  <c r="G18" i="3"/>
  <c r="J17" i="10"/>
  <c r="AA17" i="3"/>
  <c r="K17" i="10" s="1"/>
  <c r="I24" i="7" l="1"/>
  <c r="H24" i="7"/>
  <c r="J24" i="7" s="1"/>
  <c r="G20" i="10"/>
  <c r="D20" i="3"/>
  <c r="AB23" i="7"/>
  <c r="C24" i="7"/>
  <c r="R24" i="7" s="1"/>
  <c r="N24" i="7"/>
  <c r="W24" i="7" s="1"/>
  <c r="F25" i="7" s="1"/>
  <c r="I20" i="2"/>
  <c r="AS13" i="8"/>
  <c r="O14" i="8"/>
  <c r="R14" i="8"/>
  <c r="K14" i="8"/>
  <c r="M14" i="8" s="1"/>
  <c r="AB17" i="3"/>
  <c r="L17" i="10" s="1"/>
  <c r="H18" i="3"/>
  <c r="K24" i="7" l="1"/>
  <c r="T24" i="7" s="1"/>
  <c r="D24" i="8" s="1"/>
  <c r="S24" i="7"/>
  <c r="C24" i="8" s="1"/>
  <c r="M20" i="2"/>
  <c r="J20" i="2"/>
  <c r="O25" i="7"/>
  <c r="L24" i="7"/>
  <c r="V24" i="7" s="1"/>
  <c r="P25" i="7"/>
  <c r="L14" i="8"/>
  <c r="X14" i="8"/>
  <c r="P14" i="8"/>
  <c r="Q14" i="8" s="1"/>
  <c r="AI14" i="8"/>
  <c r="M18" i="3"/>
  <c r="I18" i="3"/>
  <c r="L18" i="3" s="1"/>
  <c r="E25" i="7" l="1"/>
  <c r="M25" i="7" s="1"/>
  <c r="Z24" i="7"/>
  <c r="AA24" i="7" s="1"/>
  <c r="B24" i="7" s="1"/>
  <c r="B24" i="8" s="1"/>
  <c r="U24" i="7"/>
  <c r="F20" i="10"/>
  <c r="C20" i="3"/>
  <c r="B21" i="2"/>
  <c r="D20" i="10"/>
  <c r="Q25" i="7"/>
  <c r="AU14" i="8"/>
  <c r="Y14" i="8"/>
  <c r="AA14" i="8" s="1"/>
  <c r="S14" i="8"/>
  <c r="AJ14" i="8"/>
  <c r="D25" i="7"/>
  <c r="X24" i="7"/>
  <c r="Q18" i="3"/>
  <c r="J18" i="3"/>
  <c r="K18" i="3" s="1"/>
  <c r="N25" i="7" l="1"/>
  <c r="W25" i="7" s="1"/>
  <c r="F26" i="7" s="1"/>
  <c r="U24" i="8"/>
  <c r="W24" i="8" s="1"/>
  <c r="C21" i="10"/>
  <c r="K21" i="2"/>
  <c r="D21" i="2"/>
  <c r="L21" i="2" s="1"/>
  <c r="C21" i="2"/>
  <c r="Y25" i="7"/>
  <c r="T14" i="8"/>
  <c r="V14" i="8" s="1"/>
  <c r="E25" i="8"/>
  <c r="AK14" i="8"/>
  <c r="O26" i="7"/>
  <c r="Z14" i="8"/>
  <c r="AB14" i="8" s="1"/>
  <c r="H25" i="7"/>
  <c r="I25" i="7"/>
  <c r="C25" i="7"/>
  <c r="R25" i="7" s="1"/>
  <c r="AB24" i="7"/>
  <c r="N18" i="3"/>
  <c r="U18" i="3"/>
  <c r="AC18" i="3"/>
  <c r="M18" i="10" s="1"/>
  <c r="B21" i="3" l="1"/>
  <c r="E21" i="10"/>
  <c r="E21" i="2"/>
  <c r="P26" i="7"/>
  <c r="Q26" i="7" s="1"/>
  <c r="E26" i="8" s="1"/>
  <c r="AT14" i="8"/>
  <c r="AC14" i="8"/>
  <c r="J25" i="7"/>
  <c r="S25" i="7"/>
  <c r="C25" i="8" s="1"/>
  <c r="X18" i="3"/>
  <c r="V18" i="3"/>
  <c r="Y18" i="3" s="1"/>
  <c r="O18" i="3"/>
  <c r="F21" i="2" l="1"/>
  <c r="Y26" i="7"/>
  <c r="AD14" i="8"/>
  <c r="K25" i="7"/>
  <c r="H18" i="10"/>
  <c r="I18" i="10"/>
  <c r="E19" i="3"/>
  <c r="F19" i="3"/>
  <c r="R18" i="3"/>
  <c r="S18" i="3" s="1"/>
  <c r="P18" i="3"/>
  <c r="W18" i="3"/>
  <c r="Z18" i="3" s="1"/>
  <c r="G21" i="2" l="1"/>
  <c r="H21" i="2" s="1"/>
  <c r="I21" i="2"/>
  <c r="D21" i="3"/>
  <c r="G21" i="10"/>
  <c r="AE14" i="8"/>
  <c r="AL14" i="8"/>
  <c r="T25" i="7"/>
  <c r="D25" i="8" s="1"/>
  <c r="L25" i="7"/>
  <c r="AF14" i="8"/>
  <c r="AM14" i="8" s="1"/>
  <c r="AQ14" i="8" s="1"/>
  <c r="G15" i="8" s="1"/>
  <c r="G19" i="3"/>
  <c r="J18" i="10"/>
  <c r="T18" i="3"/>
  <c r="AB18" i="3" s="1"/>
  <c r="L18" i="10" s="1"/>
  <c r="AA18" i="3"/>
  <c r="K18" i="10" s="1"/>
  <c r="J21" i="2" l="1"/>
  <c r="M21" i="2"/>
  <c r="AP14" i="8"/>
  <c r="F15" i="8" s="1"/>
  <c r="U25" i="7"/>
  <c r="V25" i="7"/>
  <c r="AG14" i="8"/>
  <c r="AH14" i="8" s="1"/>
  <c r="AN14" i="8" s="1"/>
  <c r="AR14" i="8" s="1"/>
  <c r="H15" i="8" s="1"/>
  <c r="H19" i="3"/>
  <c r="D21" i="10" l="1"/>
  <c r="B22" i="2"/>
  <c r="C21" i="3"/>
  <c r="F21" i="10"/>
  <c r="M19" i="3"/>
  <c r="I19" i="3"/>
  <c r="L19" i="3" s="1"/>
  <c r="X25" i="7"/>
  <c r="D26" i="7"/>
  <c r="Z25" i="7"/>
  <c r="AA25" i="7" s="1"/>
  <c r="B25" i="7" s="1"/>
  <c r="B25" i="8" s="1"/>
  <c r="U25" i="8" s="1"/>
  <c r="W25" i="8" s="1"/>
  <c r="E26" i="7"/>
  <c r="I15" i="8"/>
  <c r="AO14" i="8"/>
  <c r="C22" i="10" l="1"/>
  <c r="K22" i="2"/>
  <c r="D22" i="2"/>
  <c r="L22" i="2" s="1"/>
  <c r="C22" i="2"/>
  <c r="Q19" i="3"/>
  <c r="J19" i="3"/>
  <c r="K19" i="3" s="1"/>
  <c r="J15" i="8"/>
  <c r="N15" i="8" s="1"/>
  <c r="AB25" i="7"/>
  <c r="C26" i="7"/>
  <c r="R26" i="7" s="1"/>
  <c r="I26" i="7"/>
  <c r="H26" i="7"/>
  <c r="M26" i="7"/>
  <c r="O15" i="8"/>
  <c r="AS14" i="8"/>
  <c r="U19" i="3" l="1"/>
  <c r="B22" i="3"/>
  <c r="E22" i="10"/>
  <c r="E22" i="2"/>
  <c r="N19" i="3"/>
  <c r="AC19" i="3"/>
  <c r="M19" i="10" s="1"/>
  <c r="R15" i="8"/>
  <c r="K15" i="8"/>
  <c r="M15" i="8" s="1"/>
  <c r="J26" i="7"/>
  <c r="S26" i="7"/>
  <c r="C26" i="8" s="1"/>
  <c r="N26" i="7"/>
  <c r="W26" i="7" s="1"/>
  <c r="F27" i="7" s="1"/>
  <c r="K26" i="7" l="1"/>
  <c r="T26" i="7" s="1"/>
  <c r="D26" i="8" s="1"/>
  <c r="X19" i="3"/>
  <c r="V19" i="3"/>
  <c r="Y19" i="3" s="1"/>
  <c r="F22" i="2"/>
  <c r="O19" i="3"/>
  <c r="L15" i="8"/>
  <c r="X15" i="8"/>
  <c r="P15" i="8"/>
  <c r="Q15" i="8" s="1"/>
  <c r="AI15" i="8"/>
  <c r="L26" i="7"/>
  <c r="O27" i="7"/>
  <c r="E20" i="3" l="1"/>
  <c r="H19" i="10"/>
  <c r="I19" i="10"/>
  <c r="F20" i="3"/>
  <c r="W19" i="3"/>
  <c r="Z19" i="3" s="1"/>
  <c r="P19" i="3"/>
  <c r="R19" i="3"/>
  <c r="S19" i="3" s="1"/>
  <c r="G22" i="2"/>
  <c r="H22" i="2" s="1"/>
  <c r="AU15" i="8"/>
  <c r="Y15" i="8"/>
  <c r="AA15" i="8" s="1"/>
  <c r="S15" i="8"/>
  <c r="AJ15" i="8"/>
  <c r="U26" i="7"/>
  <c r="V26" i="7"/>
  <c r="X26" i="7"/>
  <c r="D27" i="7"/>
  <c r="E27" i="7"/>
  <c r="Z26" i="7"/>
  <c r="AA26" i="7" s="1"/>
  <c r="B26" i="7" s="1"/>
  <c r="B26" i="8" s="1"/>
  <c r="U26" i="8" s="1"/>
  <c r="W26" i="8" s="1"/>
  <c r="P27" i="7"/>
  <c r="Q27" i="7" s="1"/>
  <c r="AA19" i="3" l="1"/>
  <c r="K19" i="10" s="1"/>
  <c r="G20" i="3"/>
  <c r="J19" i="10"/>
  <c r="D22" i="3"/>
  <c r="G22" i="10"/>
  <c r="Z15" i="8"/>
  <c r="AB15" i="8" s="1"/>
  <c r="T19" i="3"/>
  <c r="I22" i="2"/>
  <c r="AK15" i="8"/>
  <c r="T15" i="8"/>
  <c r="V15" i="8" s="1"/>
  <c r="AB26" i="7"/>
  <c r="C27" i="7"/>
  <c r="R27" i="7" s="1"/>
  <c r="I27" i="7"/>
  <c r="H27" i="7"/>
  <c r="J27" i="7" s="1"/>
  <c r="M27" i="7"/>
  <c r="E27" i="8"/>
  <c r="Y27" i="7"/>
  <c r="H20" i="3" l="1"/>
  <c r="AB19" i="3"/>
  <c r="L19" i="10" s="1"/>
  <c r="M22" i="2"/>
  <c r="J22" i="2"/>
  <c r="AC15" i="8"/>
  <c r="AT15" i="8"/>
  <c r="K27" i="7"/>
  <c r="S27" i="7"/>
  <c r="C27" i="8" s="1"/>
  <c r="N27" i="7"/>
  <c r="W27" i="7" s="1"/>
  <c r="F28" i="7" s="1"/>
  <c r="I20" i="3" l="1"/>
  <c r="L20" i="3" s="1"/>
  <c r="M20" i="3"/>
  <c r="C22" i="3"/>
  <c r="F22" i="10"/>
  <c r="B23" i="2"/>
  <c r="D22" i="10"/>
  <c r="AD15" i="8"/>
  <c r="L27" i="7"/>
  <c r="T27" i="7"/>
  <c r="D27" i="8" s="1"/>
  <c r="O28" i="7"/>
  <c r="J20" i="3"/>
  <c r="K20" i="3" s="1"/>
  <c r="Q20" i="3" l="1"/>
  <c r="C23" i="10"/>
  <c r="D23" i="2"/>
  <c r="L23" i="2" s="1"/>
  <c r="K23" i="2"/>
  <c r="C23" i="2"/>
  <c r="AE15" i="8"/>
  <c r="AL15" i="8"/>
  <c r="U27" i="7"/>
  <c r="V27" i="7"/>
  <c r="P28" i="7"/>
  <c r="Q28" i="7" s="1"/>
  <c r="U20" i="3"/>
  <c r="N20" i="3"/>
  <c r="AC20" i="3"/>
  <c r="M20" i="10" s="1"/>
  <c r="E23" i="10" l="1"/>
  <c r="B23" i="3"/>
  <c r="E23" i="2"/>
  <c r="AP15" i="8"/>
  <c r="F16" i="8" s="1"/>
  <c r="AF15" i="8"/>
  <c r="AM15" i="8" s="1"/>
  <c r="AQ15" i="8" s="1"/>
  <c r="G16" i="8" s="1"/>
  <c r="X27" i="7"/>
  <c r="D28" i="7"/>
  <c r="Z27" i="7"/>
  <c r="AA27" i="7" s="1"/>
  <c r="B27" i="7" s="1"/>
  <c r="B27" i="8" s="1"/>
  <c r="U27" i="8" s="1"/>
  <c r="W27" i="8" s="1"/>
  <c r="E28" i="7"/>
  <c r="E28" i="8"/>
  <c r="Y28" i="7"/>
  <c r="V20" i="3"/>
  <c r="Y20" i="3" s="1"/>
  <c r="O20" i="3"/>
  <c r="X20" i="3"/>
  <c r="F23" i="2" l="1"/>
  <c r="G23" i="2"/>
  <c r="H23" i="2" s="1"/>
  <c r="AG15" i="8"/>
  <c r="AH15" i="8" s="1"/>
  <c r="AN15" i="8" s="1"/>
  <c r="AR15" i="8" s="1"/>
  <c r="H16" i="8" s="1"/>
  <c r="C28" i="7"/>
  <c r="R28" i="7" s="1"/>
  <c r="AB27" i="7"/>
  <c r="I28" i="7"/>
  <c r="H28" i="7"/>
  <c r="M28" i="7"/>
  <c r="P20" i="3"/>
  <c r="W20" i="3"/>
  <c r="Z20" i="3" s="1"/>
  <c r="I20" i="10"/>
  <c r="F21" i="3"/>
  <c r="R20" i="3"/>
  <c r="S20" i="3" s="1"/>
  <c r="H20" i="10"/>
  <c r="E21" i="3"/>
  <c r="G23" i="10" l="1"/>
  <c r="D23" i="3"/>
  <c r="I16" i="8"/>
  <c r="I23" i="2"/>
  <c r="AO15" i="8"/>
  <c r="J28" i="7"/>
  <c r="S28" i="7"/>
  <c r="C28" i="8" s="1"/>
  <c r="N28" i="7"/>
  <c r="W28" i="7" s="1"/>
  <c r="F29" i="7" s="1"/>
  <c r="J20" i="10"/>
  <c r="G21" i="3"/>
  <c r="AA20" i="3"/>
  <c r="K20" i="10" s="1"/>
  <c r="T20" i="3"/>
  <c r="M23" i="2" l="1"/>
  <c r="J23" i="2"/>
  <c r="AS15" i="8"/>
  <c r="O16" i="8"/>
  <c r="J16" i="8"/>
  <c r="N16" i="8" s="1"/>
  <c r="K28" i="7"/>
  <c r="L28" i="7"/>
  <c r="V28" i="7" s="1"/>
  <c r="O29" i="7"/>
  <c r="H21" i="3"/>
  <c r="AB20" i="3"/>
  <c r="L20" i="10" s="1"/>
  <c r="F23" i="10" l="1"/>
  <c r="C23" i="3"/>
  <c r="B24" i="2"/>
  <c r="D23" i="10"/>
  <c r="R16" i="8"/>
  <c r="K16" i="8"/>
  <c r="Z28" i="7"/>
  <c r="AA28" i="7" s="1"/>
  <c r="B28" i="7" s="1"/>
  <c r="B28" i="8" s="1"/>
  <c r="U28" i="8" s="1"/>
  <c r="T28" i="7"/>
  <c r="D28" i="8" s="1"/>
  <c r="P29" i="7"/>
  <c r="Q29" i="7" s="1"/>
  <c r="E29" i="7"/>
  <c r="U28" i="7"/>
  <c r="I21" i="3"/>
  <c r="L21" i="3" s="1"/>
  <c r="M21" i="3"/>
  <c r="K24" i="2" l="1"/>
  <c r="C24" i="10"/>
  <c r="C24" i="2"/>
  <c r="D24" i="2"/>
  <c r="L24" i="2" s="1"/>
  <c r="L16" i="8"/>
  <c r="M16" i="8"/>
  <c r="M29" i="7"/>
  <c r="D29" i="7"/>
  <c r="X28" i="7"/>
  <c r="Y29" i="7"/>
  <c r="W28" i="8"/>
  <c r="E29" i="8"/>
  <c r="AB28" i="7"/>
  <c r="C29" i="7"/>
  <c r="R29" i="7" s="1"/>
  <c r="Q21" i="3"/>
  <c r="J21" i="3"/>
  <c r="K21" i="3" s="1"/>
  <c r="E24" i="10" l="1"/>
  <c r="B24" i="3"/>
  <c r="E24" i="2"/>
  <c r="H29" i="7"/>
  <c r="AU16" i="8"/>
  <c r="X16" i="8"/>
  <c r="P16" i="8"/>
  <c r="Q16" i="8" s="1"/>
  <c r="I29" i="7"/>
  <c r="AI16" i="8"/>
  <c r="N29" i="7"/>
  <c r="W29" i="7" s="1"/>
  <c r="F30" i="7" s="1"/>
  <c r="U21" i="3"/>
  <c r="N21" i="3"/>
  <c r="AC21" i="3"/>
  <c r="M21" i="10" s="1"/>
  <c r="X21" i="3"/>
  <c r="F24" i="2" l="1"/>
  <c r="AJ16" i="8"/>
  <c r="S29" i="7"/>
  <c r="C29" i="8" s="1"/>
  <c r="Y16" i="8"/>
  <c r="AA16" i="8" s="1"/>
  <c r="J29" i="7"/>
  <c r="S16" i="8"/>
  <c r="O30" i="7"/>
  <c r="V21" i="3"/>
  <c r="Y21" i="3" s="1"/>
  <c r="O21" i="3"/>
  <c r="E22" i="3"/>
  <c r="H21" i="10"/>
  <c r="AK16" i="8" l="1"/>
  <c r="P30" i="7"/>
  <c r="Q30" i="7" s="1"/>
  <c r="T16" i="8"/>
  <c r="V16" i="8" s="1"/>
  <c r="K29" i="7"/>
  <c r="Z16" i="8"/>
  <c r="AB16" i="8" s="1"/>
  <c r="AC16" i="8" s="1"/>
  <c r="G24" i="2"/>
  <c r="AT16" i="8"/>
  <c r="P21" i="3"/>
  <c r="I21" i="10"/>
  <c r="F22" i="3"/>
  <c r="R21" i="3"/>
  <c r="S21" i="3" s="1"/>
  <c r="W21" i="3"/>
  <c r="Z21" i="3" s="1"/>
  <c r="E30" i="8" l="1"/>
  <c r="Y30" i="7"/>
  <c r="I24" i="2"/>
  <c r="H24" i="2"/>
  <c r="AD16" i="8"/>
  <c r="AL16" i="8" s="1"/>
  <c r="L29" i="7"/>
  <c r="V29" i="7" s="1"/>
  <c r="Z29" i="7" s="1"/>
  <c r="AA29" i="7" s="1"/>
  <c r="B29" i="7" s="1"/>
  <c r="B29" i="8" s="1"/>
  <c r="U29" i="8" s="1"/>
  <c r="T29" i="7"/>
  <c r="D29" i="8" s="1"/>
  <c r="J21" i="10"/>
  <c r="G22" i="3"/>
  <c r="AA21" i="3"/>
  <c r="K21" i="10" s="1"/>
  <c r="T21" i="3"/>
  <c r="M24" i="2" l="1"/>
  <c r="J24" i="2"/>
  <c r="G24" i="10"/>
  <c r="D24" i="3"/>
  <c r="W29" i="8"/>
  <c r="U29" i="7"/>
  <c r="AP16" i="8"/>
  <c r="F17" i="8" s="1"/>
  <c r="E30" i="7"/>
  <c r="M30" i="7" s="1"/>
  <c r="AE16" i="8"/>
  <c r="AF16" i="8" s="1"/>
  <c r="AM16" i="8" s="1"/>
  <c r="AQ16" i="8" s="1"/>
  <c r="G17" i="8" s="1"/>
  <c r="H22" i="3"/>
  <c r="AB21" i="3"/>
  <c r="L21" i="10" s="1"/>
  <c r="AG16" i="8" l="1"/>
  <c r="AH16" i="8" s="1"/>
  <c r="AN16" i="8" s="1"/>
  <c r="AR16" i="8" s="1"/>
  <c r="H17" i="8" s="1"/>
  <c r="N30" i="7"/>
  <c r="W30" i="7" s="1"/>
  <c r="F31" i="7" s="1"/>
  <c r="C24" i="3"/>
  <c r="F24" i="10"/>
  <c r="B25" i="2"/>
  <c r="D24" i="10"/>
  <c r="X29" i="7"/>
  <c r="D30" i="7"/>
  <c r="M22" i="3"/>
  <c r="I22" i="3"/>
  <c r="L22" i="3" s="1"/>
  <c r="O31" i="7" l="1"/>
  <c r="AO16" i="8"/>
  <c r="I17" i="8"/>
  <c r="J22" i="3"/>
  <c r="C25" i="2"/>
  <c r="D25" i="2"/>
  <c r="K25" i="2"/>
  <c r="C25" i="10"/>
  <c r="H30" i="7"/>
  <c r="I30" i="7"/>
  <c r="AB29" i="7"/>
  <c r="C30" i="7"/>
  <c r="R30" i="7" s="1"/>
  <c r="Q22" i="3"/>
  <c r="AC22" i="3"/>
  <c r="M22" i="10" s="1"/>
  <c r="K22" i="3"/>
  <c r="P31" i="7" l="1"/>
  <c r="Q31" i="7" s="1"/>
  <c r="AS16" i="8"/>
  <c r="O17" i="8"/>
  <c r="J17" i="8"/>
  <c r="N17" i="8" s="1"/>
  <c r="S30" i="7"/>
  <c r="C30" i="8" s="1"/>
  <c r="E25" i="2"/>
  <c r="L25" i="2"/>
  <c r="J30" i="7"/>
  <c r="K30" i="7" s="1"/>
  <c r="U22" i="3"/>
  <c r="N22" i="3"/>
  <c r="Y31" i="7" l="1"/>
  <c r="E31" i="8"/>
  <c r="R17" i="8"/>
  <c r="K17" i="8"/>
  <c r="M17" i="8" s="1"/>
  <c r="F25" i="2"/>
  <c r="G25" i="2"/>
  <c r="H25" i="2" s="1"/>
  <c r="I25" i="2"/>
  <c r="B25" i="3"/>
  <c r="E25" i="10"/>
  <c r="T30" i="7"/>
  <c r="D30" i="8" s="1"/>
  <c r="L30" i="7"/>
  <c r="V30" i="7" s="1"/>
  <c r="AI17" i="8"/>
  <c r="L17" i="8"/>
  <c r="X17" i="8"/>
  <c r="P17" i="8"/>
  <c r="Q17" i="8" s="1"/>
  <c r="Z30" i="7"/>
  <c r="AA30" i="7" s="1"/>
  <c r="B30" i="7" s="1"/>
  <c r="B30" i="8" s="1"/>
  <c r="U30" i="8" s="1"/>
  <c r="W30" i="8" s="1"/>
  <c r="X22" i="3"/>
  <c r="V22" i="3"/>
  <c r="Y22" i="3" s="1"/>
  <c r="O22" i="3"/>
  <c r="E31" i="7" l="1"/>
  <c r="M31" i="7" s="1"/>
  <c r="U30" i="7"/>
  <c r="X30" i="7" s="1"/>
  <c r="Y17" i="8"/>
  <c r="AA17" i="8" s="1"/>
  <c r="S17" i="8"/>
  <c r="AJ17" i="8"/>
  <c r="AU17" i="8"/>
  <c r="D25" i="3"/>
  <c r="G25" i="10"/>
  <c r="M25" i="2"/>
  <c r="J25" i="2"/>
  <c r="D31" i="7"/>
  <c r="N31" i="7"/>
  <c r="W31" i="7" s="1"/>
  <c r="F32" i="7" s="1"/>
  <c r="I31" i="7"/>
  <c r="H31" i="7"/>
  <c r="J31" i="7" s="1"/>
  <c r="P22" i="3"/>
  <c r="E23" i="3"/>
  <c r="Z17" i="8"/>
  <c r="AB17" i="8" s="1"/>
  <c r="H22" i="10"/>
  <c r="I22" i="10"/>
  <c r="F23" i="3"/>
  <c r="R22" i="3"/>
  <c r="S22" i="3" s="1"/>
  <c r="W22" i="3"/>
  <c r="T17" i="8"/>
  <c r="V17" i="8" s="1"/>
  <c r="AT17" i="8" s="1"/>
  <c r="AK17" i="8"/>
  <c r="C31" i="7" l="1"/>
  <c r="R31" i="7" s="1"/>
  <c r="AB30" i="7"/>
  <c r="C25" i="3"/>
  <c r="F25" i="10"/>
  <c r="D25" i="10"/>
  <c r="B26" i="2"/>
  <c r="O32" i="7"/>
  <c r="K31" i="7"/>
  <c r="AC17" i="8"/>
  <c r="AA22" i="3"/>
  <c r="K22" i="10" s="1"/>
  <c r="Z22" i="3"/>
  <c r="T22" i="3"/>
  <c r="S31" i="7" l="1"/>
  <c r="C31" i="8" s="1"/>
  <c r="C26" i="2"/>
  <c r="D26" i="2"/>
  <c r="K26" i="2"/>
  <c r="C26" i="10"/>
  <c r="P32" i="7"/>
  <c r="Q32" i="7" s="1"/>
  <c r="AD17" i="8"/>
  <c r="E32" i="8"/>
  <c r="T31" i="7"/>
  <c r="D31" i="8" s="1"/>
  <c r="L31" i="7"/>
  <c r="V31" i="7" s="1"/>
  <c r="G23" i="3"/>
  <c r="J22" i="10"/>
  <c r="AB22" i="3"/>
  <c r="L22" i="10" s="1"/>
  <c r="E26" i="2" l="1"/>
  <c r="L26" i="2"/>
  <c r="Y32" i="7"/>
  <c r="AL17" i="8"/>
  <c r="AE17" i="8"/>
  <c r="U31" i="7"/>
  <c r="E32" i="7"/>
  <c r="Z31" i="7"/>
  <c r="AA31" i="7" s="1"/>
  <c r="B31" i="7" s="1"/>
  <c r="B31" i="8" s="1"/>
  <c r="H23" i="3"/>
  <c r="F26" i="2" l="1"/>
  <c r="E26" i="10"/>
  <c r="B26" i="3"/>
  <c r="AP17" i="8"/>
  <c r="F18" i="8" s="1"/>
  <c r="AF17" i="8"/>
  <c r="AM17" i="8" s="1"/>
  <c r="AQ17" i="8" s="1"/>
  <c r="G18" i="8" s="1"/>
  <c r="D32" i="7"/>
  <c r="X31" i="7"/>
  <c r="M32" i="7"/>
  <c r="U31" i="8"/>
  <c r="W31" i="8" s="1"/>
  <c r="I23" i="3"/>
  <c r="L23" i="3" s="1"/>
  <c r="M23" i="3"/>
  <c r="I32" i="7" l="1"/>
  <c r="H32" i="7"/>
  <c r="G26" i="2"/>
  <c r="H26" i="2" s="1"/>
  <c r="AG17" i="8"/>
  <c r="AH17" i="8" s="1"/>
  <c r="AN17" i="8" s="1"/>
  <c r="AR17" i="8" s="1"/>
  <c r="H18" i="8" s="1"/>
  <c r="C32" i="7"/>
  <c r="R32" i="7" s="1"/>
  <c r="AB31" i="7"/>
  <c r="N32" i="7"/>
  <c r="W32" i="7" s="1"/>
  <c r="F33" i="7" s="1"/>
  <c r="Q23" i="3"/>
  <c r="J23" i="3"/>
  <c r="K23" i="3" s="1"/>
  <c r="J32" i="7" l="1"/>
  <c r="S32" i="7"/>
  <c r="C32" i="8" s="1"/>
  <c r="I18" i="8"/>
  <c r="AO17" i="8"/>
  <c r="D26" i="3"/>
  <c r="G26" i="10"/>
  <c r="I26" i="2"/>
  <c r="O33" i="7"/>
  <c r="U23" i="3"/>
  <c r="N23" i="3"/>
  <c r="AC23" i="3"/>
  <c r="M23" i="10" s="1"/>
  <c r="K32" i="7" l="1"/>
  <c r="T32" i="7" s="1"/>
  <c r="D32" i="8" s="1"/>
  <c r="O18" i="8"/>
  <c r="AS17" i="8"/>
  <c r="J18" i="8"/>
  <c r="N18" i="8" s="1"/>
  <c r="M26" i="2"/>
  <c r="J26" i="2"/>
  <c r="P33" i="7"/>
  <c r="Q33" i="7" s="1"/>
  <c r="V23" i="3"/>
  <c r="Y23" i="3" s="1"/>
  <c r="O23" i="3"/>
  <c r="X23" i="3"/>
  <c r="L32" i="7" l="1"/>
  <c r="V32" i="7" s="1"/>
  <c r="K18" i="8"/>
  <c r="M18" i="8" s="1"/>
  <c r="R18" i="8"/>
  <c r="C26" i="3"/>
  <c r="F26" i="10"/>
  <c r="B27" i="2"/>
  <c r="D26" i="10"/>
  <c r="E33" i="8"/>
  <c r="Y33" i="7"/>
  <c r="AI18" i="8"/>
  <c r="L18" i="8"/>
  <c r="AU18" i="8" s="1"/>
  <c r="P23" i="3"/>
  <c r="I23" i="10"/>
  <c r="F24" i="3"/>
  <c r="R23" i="3"/>
  <c r="S23" i="3" s="1"/>
  <c r="H23" i="10"/>
  <c r="E24" i="3"/>
  <c r="W23" i="3"/>
  <c r="Z23" i="3" s="1"/>
  <c r="Z32" i="7" l="1"/>
  <c r="AA32" i="7" s="1"/>
  <c r="B32" i="7" s="1"/>
  <c r="B32" i="8" s="1"/>
  <c r="E33" i="7"/>
  <c r="M33" i="7" s="1"/>
  <c r="U32" i="7"/>
  <c r="U32" i="8"/>
  <c r="W32" i="8" s="1"/>
  <c r="X18" i="8"/>
  <c r="P18" i="8"/>
  <c r="Q18" i="8" s="1"/>
  <c r="K27" i="2"/>
  <c r="C27" i="10"/>
  <c r="D27" i="2"/>
  <c r="L27" i="2" s="1"/>
  <c r="C27" i="2"/>
  <c r="E27" i="2" s="1"/>
  <c r="N33" i="7"/>
  <c r="W33" i="7" s="1"/>
  <c r="F34" i="7" s="1"/>
  <c r="AJ18" i="8"/>
  <c r="S18" i="8"/>
  <c r="Y18" i="8"/>
  <c r="AA18" i="8" s="1"/>
  <c r="J23" i="10"/>
  <c r="G24" i="3"/>
  <c r="T23" i="3"/>
  <c r="AA23" i="3"/>
  <c r="K23" i="10" s="1"/>
  <c r="X32" i="7" l="1"/>
  <c r="D33" i="7"/>
  <c r="B27" i="3"/>
  <c r="E27" i="10"/>
  <c r="F27" i="2"/>
  <c r="O34" i="7"/>
  <c r="AK18" i="8"/>
  <c r="Z18" i="8"/>
  <c r="AB18" i="8" s="1"/>
  <c r="T18" i="8"/>
  <c r="V18" i="8" s="1"/>
  <c r="H24" i="3"/>
  <c r="AB23" i="3"/>
  <c r="L23" i="10" s="1"/>
  <c r="AB32" i="7" l="1"/>
  <c r="C33" i="7"/>
  <c r="R33" i="7" s="1"/>
  <c r="H33" i="7"/>
  <c r="J33" i="7" s="1"/>
  <c r="I33" i="7"/>
  <c r="S33" i="7" s="1"/>
  <c r="C33" i="8" s="1"/>
  <c r="G27" i="2"/>
  <c r="P34" i="7"/>
  <c r="Q34" i="7" s="1"/>
  <c r="AT18" i="8"/>
  <c r="AC18" i="8"/>
  <c r="M24" i="3"/>
  <c r="I24" i="3"/>
  <c r="L24" i="3" s="1"/>
  <c r="K33" i="7" l="1"/>
  <c r="I27" i="2"/>
  <c r="H27" i="2"/>
  <c r="E34" i="8"/>
  <c r="Y34" i="7"/>
  <c r="AD18" i="8"/>
  <c r="Q24" i="3"/>
  <c r="J24" i="3"/>
  <c r="K24" i="3" s="1"/>
  <c r="T33" i="7" l="1"/>
  <c r="D33" i="8" s="1"/>
  <c r="L33" i="7"/>
  <c r="V33" i="7" s="1"/>
  <c r="AL18" i="8"/>
  <c r="M27" i="2"/>
  <c r="J27" i="2"/>
  <c r="D27" i="3"/>
  <c r="G27" i="10"/>
  <c r="AE18" i="8"/>
  <c r="U24" i="3"/>
  <c r="N24" i="3"/>
  <c r="AC24" i="3"/>
  <c r="M24" i="10" s="1"/>
  <c r="E34" i="7" l="1"/>
  <c r="Z33" i="7"/>
  <c r="AA33" i="7" s="1"/>
  <c r="B33" i="7" s="1"/>
  <c r="B33" i="8" s="1"/>
  <c r="U33" i="8" s="1"/>
  <c r="W33" i="8" s="1"/>
  <c r="U33" i="7"/>
  <c r="AP18" i="8"/>
  <c r="F19" i="8" s="1"/>
  <c r="F27" i="10"/>
  <c r="C27" i="3"/>
  <c r="D27" i="10"/>
  <c r="B28" i="2"/>
  <c r="AF18" i="8"/>
  <c r="AM18" i="8" s="1"/>
  <c r="AQ18" i="8" s="1"/>
  <c r="G19" i="8" s="1"/>
  <c r="X24" i="3"/>
  <c r="V24" i="3"/>
  <c r="Y24" i="3" s="1"/>
  <c r="O24" i="3"/>
  <c r="M34" i="7" l="1"/>
  <c r="D34" i="7"/>
  <c r="X33" i="7"/>
  <c r="K28" i="2"/>
  <c r="C28" i="2"/>
  <c r="D28" i="2"/>
  <c r="C28" i="10"/>
  <c r="AG18" i="8"/>
  <c r="AH18" i="8" s="1"/>
  <c r="AN18" i="8" s="1"/>
  <c r="AR18" i="8" s="1"/>
  <c r="H19" i="8" s="1"/>
  <c r="E25" i="3"/>
  <c r="H24" i="10"/>
  <c r="W24" i="3"/>
  <c r="Z24" i="3" s="1"/>
  <c r="P24" i="3"/>
  <c r="I24" i="10"/>
  <c r="F25" i="3"/>
  <c r="R24" i="3"/>
  <c r="S24" i="3" s="1"/>
  <c r="I34" i="7" l="1"/>
  <c r="H34" i="7"/>
  <c r="C34" i="7"/>
  <c r="R34" i="7" s="1"/>
  <c r="S34" i="7" s="1"/>
  <c r="C34" i="8" s="1"/>
  <c r="AB33" i="7"/>
  <c r="L28" i="2"/>
  <c r="N34" i="7"/>
  <c r="W34" i="7" s="1"/>
  <c r="F35" i="7" s="1"/>
  <c r="I19" i="8"/>
  <c r="AO18" i="8"/>
  <c r="E28" i="2"/>
  <c r="J24" i="10"/>
  <c r="G25" i="3"/>
  <c r="AA24" i="3"/>
  <c r="K24" i="10" s="1"/>
  <c r="T24" i="3"/>
  <c r="O35" i="7" l="1"/>
  <c r="B28" i="3"/>
  <c r="E28" i="10"/>
  <c r="AS18" i="8"/>
  <c r="J19" i="8"/>
  <c r="N19" i="8" s="1"/>
  <c r="J34" i="7"/>
  <c r="F28" i="2"/>
  <c r="G28" i="2"/>
  <c r="H28" i="2" s="1"/>
  <c r="I28" i="2"/>
  <c r="O19" i="8"/>
  <c r="R19" i="8"/>
  <c r="K19" i="8"/>
  <c r="M19" i="8" s="1"/>
  <c r="H25" i="3"/>
  <c r="AB24" i="3"/>
  <c r="L24" i="10" s="1"/>
  <c r="K34" i="7" l="1"/>
  <c r="T34" i="7" s="1"/>
  <c r="D34" i="8" s="1"/>
  <c r="P35" i="7"/>
  <c r="Q35" i="7" s="1"/>
  <c r="G28" i="10"/>
  <c r="D28" i="3"/>
  <c r="J28" i="2"/>
  <c r="M28" i="2"/>
  <c r="X19" i="8"/>
  <c r="P19" i="8"/>
  <c r="Q19" i="8" s="1"/>
  <c r="AI19" i="8"/>
  <c r="L19" i="8"/>
  <c r="I25" i="3"/>
  <c r="L25" i="3" s="1"/>
  <c r="AU19" i="8"/>
  <c r="M25" i="3"/>
  <c r="E35" i="8" l="1"/>
  <c r="Y35" i="7"/>
  <c r="L34" i="7"/>
  <c r="V34" i="7" s="1"/>
  <c r="D28" i="10"/>
  <c r="B29" i="2"/>
  <c r="F28" i="10"/>
  <c r="C28" i="3"/>
  <c r="AJ19" i="8"/>
  <c r="Y19" i="8"/>
  <c r="AA19" i="8" s="1"/>
  <c r="S19" i="8"/>
  <c r="Q25" i="3"/>
  <c r="J25" i="3"/>
  <c r="K25" i="3" s="1"/>
  <c r="E35" i="7" l="1"/>
  <c r="Z34" i="7"/>
  <c r="AA34" i="7" s="1"/>
  <c r="B34" i="7" s="1"/>
  <c r="B34" i="8" s="1"/>
  <c r="U34" i="8" s="1"/>
  <c r="W34" i="8" s="1"/>
  <c r="U34" i="7"/>
  <c r="C29" i="10"/>
  <c r="K29" i="2"/>
  <c r="D29" i="2"/>
  <c r="L29" i="2" s="1"/>
  <c r="C29" i="2"/>
  <c r="E29" i="2" s="1"/>
  <c r="T19" i="8"/>
  <c r="V19" i="8" s="1"/>
  <c r="AK19" i="8"/>
  <c r="Z19" i="8"/>
  <c r="AB19" i="8" s="1"/>
  <c r="U25" i="3"/>
  <c r="N25" i="3"/>
  <c r="AC25" i="3"/>
  <c r="M25" i="10" s="1"/>
  <c r="AC19" i="8"/>
  <c r="AD19" i="8" s="1"/>
  <c r="N35" i="7" l="1"/>
  <c r="W35" i="7" s="1"/>
  <c r="F36" i="7" s="1"/>
  <c r="M35" i="7"/>
  <c r="X34" i="7"/>
  <c r="D35" i="7"/>
  <c r="E29" i="10"/>
  <c r="B29" i="3"/>
  <c r="F29" i="2"/>
  <c r="AT19" i="8"/>
  <c r="X25" i="3"/>
  <c r="V25" i="3"/>
  <c r="Y25" i="3" s="1"/>
  <c r="O25" i="3"/>
  <c r="AL19" i="8"/>
  <c r="AE19" i="8"/>
  <c r="O36" i="7" l="1"/>
  <c r="C35" i="7"/>
  <c r="R35" i="7" s="1"/>
  <c r="AB34" i="7"/>
  <c r="H35" i="7"/>
  <c r="J35" i="7" s="1"/>
  <c r="I35" i="7"/>
  <c r="S35" i="7" s="1"/>
  <c r="C35" i="8" s="1"/>
  <c r="H25" i="10"/>
  <c r="G29" i="2"/>
  <c r="E26" i="3"/>
  <c r="P25" i="3"/>
  <c r="I25" i="10"/>
  <c r="F26" i="3"/>
  <c r="R25" i="3"/>
  <c r="S25" i="3" s="1"/>
  <c r="W25" i="3"/>
  <c r="Z25" i="3" s="1"/>
  <c r="AP19" i="8"/>
  <c r="F20" i="8" s="1"/>
  <c r="AF19" i="8"/>
  <c r="AM19" i="8" s="1"/>
  <c r="AQ19" i="8" s="1"/>
  <c r="G20" i="8" s="1"/>
  <c r="L35" i="7" l="1"/>
  <c r="V35" i="7" s="1"/>
  <c r="T35" i="7"/>
  <c r="D35" i="8" s="1"/>
  <c r="P36" i="7"/>
  <c r="Q36" i="7" s="1"/>
  <c r="K35" i="7"/>
  <c r="I29" i="2"/>
  <c r="H29" i="2"/>
  <c r="J25" i="10"/>
  <c r="AA25" i="3"/>
  <c r="K25" i="10" s="1"/>
  <c r="T25" i="3"/>
  <c r="G26" i="3"/>
  <c r="AG19" i="8"/>
  <c r="AH19" i="8" s="1"/>
  <c r="AN19" i="8" s="1"/>
  <c r="AR19" i="8" s="1"/>
  <c r="H20" i="8" s="1"/>
  <c r="Z35" i="7" l="1"/>
  <c r="AA35" i="7" s="1"/>
  <c r="B35" i="7" s="1"/>
  <c r="B35" i="8" s="1"/>
  <c r="U35" i="8" s="1"/>
  <c r="W35" i="8" s="1"/>
  <c r="E36" i="7"/>
  <c r="Y36" i="7"/>
  <c r="E36" i="8"/>
  <c r="U35" i="7"/>
  <c r="M29" i="2"/>
  <c r="J29" i="2"/>
  <c r="G29" i="10"/>
  <c r="D29" i="3"/>
  <c r="AB25" i="3"/>
  <c r="L25" i="10" s="1"/>
  <c r="H26" i="3"/>
  <c r="I20" i="8"/>
  <c r="AO19" i="8"/>
  <c r="M36" i="7" l="1"/>
  <c r="X35" i="7"/>
  <c r="D36" i="7"/>
  <c r="C29" i="3"/>
  <c r="F29" i="10"/>
  <c r="D29" i="10"/>
  <c r="B30" i="2"/>
  <c r="I26" i="3"/>
  <c r="L26" i="3" s="1"/>
  <c r="M26" i="3"/>
  <c r="AS19" i="8"/>
  <c r="O20" i="8"/>
  <c r="J20" i="8"/>
  <c r="N20" i="8" s="1"/>
  <c r="C36" i="7" l="1"/>
  <c r="R36" i="7" s="1"/>
  <c r="AB35" i="7"/>
  <c r="I36" i="7"/>
  <c r="H36" i="7"/>
  <c r="J36" i="7" s="1"/>
  <c r="N36" i="7"/>
  <c r="W36" i="7" s="1"/>
  <c r="F37" i="7" s="1"/>
  <c r="C30" i="2"/>
  <c r="D30" i="2"/>
  <c r="K30" i="2"/>
  <c r="C30" i="10"/>
  <c r="Q26" i="3"/>
  <c r="J26" i="3"/>
  <c r="K26" i="3" s="1"/>
  <c r="R20" i="8"/>
  <c r="K20" i="8"/>
  <c r="M20" i="8" s="1"/>
  <c r="O37" i="7" l="1"/>
  <c r="S36" i="7"/>
  <c r="C36" i="8" s="1"/>
  <c r="K36" i="7"/>
  <c r="E30" i="2"/>
  <c r="L30" i="2"/>
  <c r="L20" i="8"/>
  <c r="U26" i="3"/>
  <c r="N26" i="3"/>
  <c r="P20" i="8"/>
  <c r="Q20" i="8" s="1"/>
  <c r="AC26" i="3"/>
  <c r="M26" i="10" s="1"/>
  <c r="X20" i="8"/>
  <c r="AI20" i="8"/>
  <c r="L36" i="7" l="1"/>
  <c r="T36" i="7"/>
  <c r="D36" i="8" s="1"/>
  <c r="P37" i="7"/>
  <c r="Q37" i="7" s="1"/>
  <c r="F30" i="2"/>
  <c r="B30" i="3"/>
  <c r="E30" i="10"/>
  <c r="AU20" i="8"/>
  <c r="X26" i="3"/>
  <c r="Y20" i="8"/>
  <c r="AA20" i="8" s="1"/>
  <c r="S20" i="8"/>
  <c r="V26" i="3"/>
  <c r="Y26" i="3" s="1"/>
  <c r="O26" i="3"/>
  <c r="AJ20" i="8"/>
  <c r="U36" i="7" l="1"/>
  <c r="V36" i="7"/>
  <c r="Y37" i="7"/>
  <c r="E37" i="8"/>
  <c r="Z20" i="8"/>
  <c r="AB20" i="8" s="1"/>
  <c r="P26" i="3"/>
  <c r="I26" i="10"/>
  <c r="G30" i="2"/>
  <c r="E27" i="3"/>
  <c r="H26" i="10"/>
  <c r="F27" i="3"/>
  <c r="R26" i="3"/>
  <c r="S26" i="3" s="1"/>
  <c r="W26" i="3"/>
  <c r="Z26" i="3" s="1"/>
  <c r="T20" i="8"/>
  <c r="V20" i="8" s="1"/>
  <c r="AK20" i="8"/>
  <c r="X36" i="7" l="1"/>
  <c r="D37" i="7"/>
  <c r="Z36" i="7"/>
  <c r="AA36" i="7" s="1"/>
  <c r="B36" i="7" s="1"/>
  <c r="B36" i="8" s="1"/>
  <c r="U36" i="8" s="1"/>
  <c r="W36" i="8" s="1"/>
  <c r="E37" i="7"/>
  <c r="AC20" i="8"/>
  <c r="I30" i="2"/>
  <c r="H30" i="2"/>
  <c r="AD20" i="8"/>
  <c r="AA26" i="3"/>
  <c r="K26" i="10" s="1"/>
  <c r="J26" i="10"/>
  <c r="G27" i="3"/>
  <c r="AT20" i="8"/>
  <c r="T26" i="3"/>
  <c r="AB36" i="7" l="1"/>
  <c r="C37" i="7"/>
  <c r="R37" i="7" s="1"/>
  <c r="I37" i="7"/>
  <c r="S37" i="7" s="1"/>
  <c r="C37" i="8" s="1"/>
  <c r="H37" i="7"/>
  <c r="J37" i="7" s="1"/>
  <c r="N37" i="7"/>
  <c r="W37" i="7" s="1"/>
  <c r="F38" i="7" s="1"/>
  <c r="M37" i="7"/>
  <c r="AE20" i="8"/>
  <c r="M30" i="2"/>
  <c r="J30" i="2"/>
  <c r="G30" i="10"/>
  <c r="D30" i="3"/>
  <c r="H27" i="3"/>
  <c r="AL20" i="8"/>
  <c r="AB26" i="3"/>
  <c r="L26" i="10" s="1"/>
  <c r="AF20" i="8"/>
  <c r="AM20" i="8" s="1"/>
  <c r="AQ20" i="8" s="1"/>
  <c r="G21" i="8" s="1"/>
  <c r="O38" i="7" l="1"/>
  <c r="K37" i="7"/>
  <c r="T37" i="7" s="1"/>
  <c r="D37" i="8" s="1"/>
  <c r="L37" i="7"/>
  <c r="V37" i="7" s="1"/>
  <c r="C30" i="3"/>
  <c r="F30" i="10"/>
  <c r="B31" i="2"/>
  <c r="D30" i="10"/>
  <c r="I27" i="3"/>
  <c r="L27" i="3" s="1"/>
  <c r="AP20" i="8"/>
  <c r="F21" i="8" s="1"/>
  <c r="M27" i="3"/>
  <c r="AG20" i="8"/>
  <c r="AH20" i="8" s="1"/>
  <c r="AN20" i="8" s="1"/>
  <c r="AR20" i="8" s="1"/>
  <c r="H21" i="8" s="1"/>
  <c r="U37" i="7" l="1"/>
  <c r="E38" i="7"/>
  <c r="Z37" i="7"/>
  <c r="AA37" i="7" s="1"/>
  <c r="B37" i="7" s="1"/>
  <c r="B37" i="8" s="1"/>
  <c r="U37" i="8" s="1"/>
  <c r="W37" i="8" s="1"/>
  <c r="P38" i="7"/>
  <c r="Q38" i="7" s="1"/>
  <c r="C31" i="10"/>
  <c r="K31" i="2"/>
  <c r="D31" i="2"/>
  <c r="C31" i="2"/>
  <c r="E31" i="2" s="1"/>
  <c r="Q27" i="3"/>
  <c r="J27" i="3"/>
  <c r="K27" i="3" s="1"/>
  <c r="X37" i="7"/>
  <c r="I21" i="8"/>
  <c r="AO20" i="8"/>
  <c r="E38" i="8" l="1"/>
  <c r="Y38" i="7"/>
  <c r="D38" i="7"/>
  <c r="M38" i="7"/>
  <c r="N27" i="3"/>
  <c r="AC27" i="3"/>
  <c r="M27" i="10" s="1"/>
  <c r="L31" i="2"/>
  <c r="U27" i="3"/>
  <c r="F31" i="2"/>
  <c r="C38" i="7"/>
  <c r="R38" i="7" s="1"/>
  <c r="AB37" i="7"/>
  <c r="J21" i="8"/>
  <c r="N21" i="8" s="1"/>
  <c r="AS20" i="8"/>
  <c r="O21" i="8"/>
  <c r="O27" i="3"/>
  <c r="H38" i="7" l="1"/>
  <c r="I38" i="7"/>
  <c r="S38" i="7" s="1"/>
  <c r="C38" i="8" s="1"/>
  <c r="N38" i="7"/>
  <c r="W38" i="7" s="1"/>
  <c r="F39" i="7" s="1"/>
  <c r="E31" i="10"/>
  <c r="B31" i="3"/>
  <c r="V27" i="3"/>
  <c r="Y27" i="3" s="1"/>
  <c r="X27" i="3"/>
  <c r="G31" i="2"/>
  <c r="R21" i="8"/>
  <c r="O39" i="7"/>
  <c r="K21" i="8"/>
  <c r="M21" i="8" s="1"/>
  <c r="P27" i="3"/>
  <c r="R27" i="3"/>
  <c r="S27" i="3" s="1"/>
  <c r="J38" i="7" l="1"/>
  <c r="K38" i="7" s="1"/>
  <c r="I31" i="2"/>
  <c r="H31" i="2"/>
  <c r="I27" i="10"/>
  <c r="F28" i="3"/>
  <c r="H27" i="10"/>
  <c r="E28" i="3"/>
  <c r="W27" i="3"/>
  <c r="P39" i="7"/>
  <c r="Q39" i="7" s="1"/>
  <c r="AI21" i="8"/>
  <c r="P21" i="8"/>
  <c r="Q21" i="8" s="1"/>
  <c r="X21" i="8"/>
  <c r="L21" i="8"/>
  <c r="T27" i="3"/>
  <c r="T38" i="7" l="1"/>
  <c r="D38" i="8" s="1"/>
  <c r="L38" i="7"/>
  <c r="V38" i="7" s="1"/>
  <c r="Z38" i="7" s="1"/>
  <c r="AA38" i="7" s="1"/>
  <c r="B38" i="7" s="1"/>
  <c r="M31" i="2"/>
  <c r="J31" i="2"/>
  <c r="G31" i="10"/>
  <c r="D31" i="3"/>
  <c r="AA27" i="3"/>
  <c r="K27" i="10" s="1"/>
  <c r="Z27" i="3"/>
  <c r="E39" i="8"/>
  <c r="Y39" i="7"/>
  <c r="AJ21" i="8"/>
  <c r="S21" i="8"/>
  <c r="Y21" i="8"/>
  <c r="AA21" i="8" s="1"/>
  <c r="AU21" i="8"/>
  <c r="J27" i="10"/>
  <c r="G28" i="3"/>
  <c r="AB27" i="3"/>
  <c r="L27" i="10" s="1"/>
  <c r="E39" i="7" l="1"/>
  <c r="U38" i="7"/>
  <c r="B38" i="8"/>
  <c r="F31" i="10"/>
  <c r="C31" i="3"/>
  <c r="D31" i="10"/>
  <c r="B32" i="2"/>
  <c r="X38" i="7"/>
  <c r="D39" i="7"/>
  <c r="M39" i="7"/>
  <c r="N39" i="7" s="1"/>
  <c r="W39" i="7" s="1"/>
  <c r="F40" i="7" s="1"/>
  <c r="T21" i="8"/>
  <c r="V21" i="8" s="1"/>
  <c r="U38" i="8"/>
  <c r="W38" i="8" s="1"/>
  <c r="H39" i="7"/>
  <c r="AK21" i="8"/>
  <c r="Z21" i="8"/>
  <c r="AB21" i="8" s="1"/>
  <c r="H28" i="3"/>
  <c r="C32" i="2" l="1"/>
  <c r="C32" i="10"/>
  <c r="K32" i="2"/>
  <c r="D32" i="2"/>
  <c r="L32" i="2" s="1"/>
  <c r="C39" i="7"/>
  <c r="R39" i="7" s="1"/>
  <c r="AB38" i="7"/>
  <c r="O40" i="7"/>
  <c r="I39" i="7"/>
  <c r="J39" i="7" s="1"/>
  <c r="AT21" i="8"/>
  <c r="AC21" i="8"/>
  <c r="M28" i="3"/>
  <c r="I28" i="3"/>
  <c r="L28" i="3" s="1"/>
  <c r="E32" i="10" l="1"/>
  <c r="B32" i="3"/>
  <c r="K39" i="7"/>
  <c r="S39" i="7"/>
  <c r="C39" i="8" s="1"/>
  <c r="P40" i="7"/>
  <c r="Q40" i="7" s="1"/>
  <c r="E32" i="2"/>
  <c r="AD21" i="8"/>
  <c r="AL21" i="8" s="1"/>
  <c r="AP21" i="8" s="1"/>
  <c r="F22" i="8" s="1"/>
  <c r="J28" i="3"/>
  <c r="K28" i="3" s="1"/>
  <c r="Q28" i="3"/>
  <c r="F32" i="2" l="1"/>
  <c r="L39" i="7"/>
  <c r="V39" i="7" s="1"/>
  <c r="E40" i="8"/>
  <c r="Y40" i="7"/>
  <c r="T39" i="7"/>
  <c r="D39" i="8" s="1"/>
  <c r="AE21" i="8"/>
  <c r="U28" i="3"/>
  <c r="N28" i="3"/>
  <c r="AC28" i="3"/>
  <c r="M28" i="10" s="1"/>
  <c r="U39" i="7" l="1"/>
  <c r="X39" i="7" s="1"/>
  <c r="Z39" i="7"/>
  <c r="AA39" i="7" s="1"/>
  <c r="B39" i="7" s="1"/>
  <c r="B39" i="8" s="1"/>
  <c r="E40" i="7"/>
  <c r="M40" i="7" s="1"/>
  <c r="G32" i="2"/>
  <c r="H32" i="2" s="1"/>
  <c r="D40" i="7"/>
  <c r="H40" i="7" s="1"/>
  <c r="AF21" i="8"/>
  <c r="AM21" i="8" s="1"/>
  <c r="X28" i="3"/>
  <c r="V28" i="3"/>
  <c r="Y28" i="3" s="1"/>
  <c r="O28" i="3"/>
  <c r="U39" i="8" l="1"/>
  <c r="W39" i="8" s="1"/>
  <c r="R28" i="3"/>
  <c r="S28" i="3" s="1"/>
  <c r="D32" i="3"/>
  <c r="G32" i="10"/>
  <c r="AB39" i="7"/>
  <c r="C40" i="7"/>
  <c r="N40" i="7"/>
  <c r="W40" i="7" s="1"/>
  <c r="F41" i="7" s="1"/>
  <c r="O41" i="7" s="1"/>
  <c r="I32" i="2"/>
  <c r="I40" i="7"/>
  <c r="P41" i="7"/>
  <c r="Q41" i="7" s="1"/>
  <c r="H28" i="10"/>
  <c r="E29" i="3"/>
  <c r="I28" i="10"/>
  <c r="AQ21" i="8"/>
  <c r="G22" i="8" s="1"/>
  <c r="AG21" i="8"/>
  <c r="AH21" i="8" s="1"/>
  <c r="AN21" i="8" s="1"/>
  <c r="F29" i="3"/>
  <c r="W28" i="3"/>
  <c r="Z28" i="3" s="1"/>
  <c r="P28" i="3"/>
  <c r="R40" i="7" l="1"/>
  <c r="S40" i="7" s="1"/>
  <c r="C40" i="8" s="1"/>
  <c r="T28" i="3"/>
  <c r="J32" i="2"/>
  <c r="M32" i="2"/>
  <c r="J40" i="7"/>
  <c r="K40" i="7" s="1"/>
  <c r="E41" i="8"/>
  <c r="Y41" i="7"/>
  <c r="AR21" i="8"/>
  <c r="H22" i="8" s="1"/>
  <c r="G29" i="3"/>
  <c r="J28" i="10"/>
  <c r="AO21" i="8"/>
  <c r="AA28" i="3"/>
  <c r="K28" i="10" s="1"/>
  <c r="AB28" i="3" l="1"/>
  <c r="L28" i="10" s="1"/>
  <c r="D32" i="10"/>
  <c r="B33" i="2"/>
  <c r="C32" i="3"/>
  <c r="F32" i="10"/>
  <c r="T40" i="7"/>
  <c r="D40" i="8" s="1"/>
  <c r="L40" i="7"/>
  <c r="V40" i="7" s="1"/>
  <c r="Z40" i="7"/>
  <c r="AA40" i="7" s="1"/>
  <c r="B40" i="7" s="1"/>
  <c r="U40" i="7"/>
  <c r="I22" i="8"/>
  <c r="AS21" i="8"/>
  <c r="H29" i="3"/>
  <c r="C33" i="2" l="1"/>
  <c r="D33" i="2"/>
  <c r="K33" i="2"/>
  <c r="C33" i="10"/>
  <c r="E41" i="7"/>
  <c r="X40" i="7"/>
  <c r="D41" i="7"/>
  <c r="M41" i="7"/>
  <c r="B40" i="8"/>
  <c r="M29" i="3"/>
  <c r="I29" i="3"/>
  <c r="L29" i="3" s="1"/>
  <c r="J22" i="8"/>
  <c r="N22" i="8" s="1"/>
  <c r="R22" i="8" s="1"/>
  <c r="O22" i="8"/>
  <c r="H41" i="7" l="1"/>
  <c r="C41" i="7"/>
  <c r="E33" i="2"/>
  <c r="L33" i="2"/>
  <c r="AB40" i="7"/>
  <c r="I41" i="7"/>
  <c r="N41" i="7"/>
  <c r="W41" i="7" s="1"/>
  <c r="F42" i="7" s="1"/>
  <c r="O42" i="7" s="1"/>
  <c r="U40" i="8"/>
  <c r="W40" i="8" s="1"/>
  <c r="Q29" i="3"/>
  <c r="J29" i="3"/>
  <c r="K29" i="3" s="1"/>
  <c r="K22" i="8"/>
  <c r="M22" i="8" s="1"/>
  <c r="F33" i="2" l="1"/>
  <c r="G33" i="2"/>
  <c r="H33" i="2" s="1"/>
  <c r="I33" i="2"/>
  <c r="E33" i="10"/>
  <c r="B33" i="3"/>
  <c r="R41" i="7"/>
  <c r="J41" i="7"/>
  <c r="S41" i="7"/>
  <c r="C41" i="8" s="1"/>
  <c r="P42" i="7"/>
  <c r="Q42" i="7" s="1"/>
  <c r="K41" i="7"/>
  <c r="T41" i="7" s="1"/>
  <c r="D41" i="8" s="1"/>
  <c r="U29" i="3"/>
  <c r="N29" i="3"/>
  <c r="AC29" i="3"/>
  <c r="M29" i="10" s="1"/>
  <c r="X22" i="8"/>
  <c r="AI22" i="8"/>
  <c r="P22" i="8"/>
  <c r="Q22" i="8" s="1"/>
  <c r="L22" i="8"/>
  <c r="G33" i="10" l="1"/>
  <c r="D33" i="3"/>
  <c r="J33" i="2"/>
  <c r="M33" i="2"/>
  <c r="E42" i="8"/>
  <c r="Y42" i="7"/>
  <c r="X29" i="3"/>
  <c r="V29" i="3"/>
  <c r="Y29" i="3" s="1"/>
  <c r="O29" i="3"/>
  <c r="L41" i="7"/>
  <c r="V41" i="7" s="1"/>
  <c r="Y22" i="8"/>
  <c r="AA22" i="8" s="1"/>
  <c r="AJ22" i="8"/>
  <c r="S22" i="8"/>
  <c r="AU22" i="8"/>
  <c r="D33" i="10" l="1"/>
  <c r="B34" i="2"/>
  <c r="C33" i="3"/>
  <c r="F33" i="10"/>
  <c r="H29" i="10"/>
  <c r="P29" i="3"/>
  <c r="E30" i="3"/>
  <c r="Z41" i="7"/>
  <c r="AA41" i="7" s="1"/>
  <c r="B41" i="7" s="1"/>
  <c r="W29" i="3"/>
  <c r="Z29" i="3" s="1"/>
  <c r="E42" i="7"/>
  <c r="I29" i="10"/>
  <c r="F30" i="3"/>
  <c r="R29" i="3"/>
  <c r="S29" i="3" s="1"/>
  <c r="U41" i="7"/>
  <c r="T22" i="8"/>
  <c r="V22" i="8" s="1"/>
  <c r="AT22" i="8" s="1"/>
  <c r="Z22" i="8"/>
  <c r="AB22" i="8" s="1"/>
  <c r="AK22" i="8"/>
  <c r="C34" i="2" l="1"/>
  <c r="K34" i="2"/>
  <c r="D34" i="2"/>
  <c r="L34" i="2" s="1"/>
  <c r="C34" i="10"/>
  <c r="G30" i="3"/>
  <c r="J29" i="10"/>
  <c r="B41" i="8"/>
  <c r="AA29" i="3"/>
  <c r="K29" i="10" s="1"/>
  <c r="M42" i="7"/>
  <c r="T29" i="3"/>
  <c r="D42" i="7"/>
  <c r="I42" i="7" s="1"/>
  <c r="X41" i="7"/>
  <c r="AB41" i="7" s="1"/>
  <c r="AC22" i="8"/>
  <c r="E34" i="2" l="1"/>
  <c r="E34" i="10"/>
  <c r="B34" i="3"/>
  <c r="F34" i="2"/>
  <c r="C42" i="7"/>
  <c r="AB29" i="3"/>
  <c r="L29" i="10" s="1"/>
  <c r="N42" i="7"/>
  <c r="W42" i="7" s="1"/>
  <c r="F43" i="7" s="1"/>
  <c r="O43" i="7" s="1"/>
  <c r="H30" i="3"/>
  <c r="U41" i="8"/>
  <c r="W41" i="8" s="1"/>
  <c r="H42" i="7"/>
  <c r="AD22" i="8"/>
  <c r="AL22" i="8" s="1"/>
  <c r="G34" i="2" l="1"/>
  <c r="R42" i="7"/>
  <c r="S42" i="7" s="1"/>
  <c r="C42" i="8" s="1"/>
  <c r="M30" i="3"/>
  <c r="I30" i="3"/>
  <c r="L30" i="3" s="1"/>
  <c r="P43" i="7"/>
  <c r="Q43" i="7" s="1"/>
  <c r="J42" i="7"/>
  <c r="AE22" i="8"/>
  <c r="AP22" i="8"/>
  <c r="F23" i="8" s="1"/>
  <c r="AF22" i="8"/>
  <c r="AM22" i="8" s="1"/>
  <c r="AQ22" i="8" s="1"/>
  <c r="G23" i="8" s="1"/>
  <c r="I34" i="2" l="1"/>
  <c r="H34" i="2"/>
  <c r="E43" i="8"/>
  <c r="J30" i="3"/>
  <c r="K30" i="3" s="1"/>
  <c r="Q30" i="3"/>
  <c r="Y43" i="7"/>
  <c r="K42" i="7"/>
  <c r="AG22" i="8"/>
  <c r="AH22" i="8" s="1"/>
  <c r="AN22" i="8" s="1"/>
  <c r="M34" i="2" l="1"/>
  <c r="J34" i="2"/>
  <c r="G34" i="10"/>
  <c r="D34" i="3"/>
  <c r="N30" i="3"/>
  <c r="O30" i="3" s="1"/>
  <c r="U30" i="3"/>
  <c r="V30" i="3" s="1"/>
  <c r="Y30" i="3" s="1"/>
  <c r="T42" i="7"/>
  <c r="D42" i="8" s="1"/>
  <c r="L42" i="7"/>
  <c r="V42" i="7" s="1"/>
  <c r="AC30" i="3"/>
  <c r="M30" i="10" s="1"/>
  <c r="AR22" i="8"/>
  <c r="H23" i="8" s="1"/>
  <c r="AO22" i="8"/>
  <c r="F34" i="10" l="1"/>
  <c r="C34" i="3"/>
  <c r="D34" i="10"/>
  <c r="B35" i="2"/>
  <c r="U42" i="7"/>
  <c r="Z42" i="7"/>
  <c r="AA42" i="7" s="1"/>
  <c r="B42" i="7" s="1"/>
  <c r="X30" i="3"/>
  <c r="P30" i="3"/>
  <c r="R30" i="3"/>
  <c r="S30" i="3" s="1"/>
  <c r="W30" i="3"/>
  <c r="Z30" i="3" s="1"/>
  <c r="F31" i="3"/>
  <c r="I30" i="10"/>
  <c r="E43" i="7"/>
  <c r="I23" i="8"/>
  <c r="AS22" i="8"/>
  <c r="C35" i="10" l="1"/>
  <c r="K35" i="2"/>
  <c r="C35" i="2"/>
  <c r="E35" i="2" s="1"/>
  <c r="D35" i="2"/>
  <c r="L35" i="2" s="1"/>
  <c r="AA30" i="3"/>
  <c r="K30" i="10" s="1"/>
  <c r="X42" i="7"/>
  <c r="D43" i="7"/>
  <c r="G31" i="3"/>
  <c r="J30" i="10"/>
  <c r="M43" i="7"/>
  <c r="B42" i="8"/>
  <c r="E31" i="3"/>
  <c r="H30" i="10"/>
  <c r="T30" i="3"/>
  <c r="H31" i="3"/>
  <c r="J23" i="8"/>
  <c r="N23" i="8" s="1"/>
  <c r="R23" i="8" s="1"/>
  <c r="O23" i="8"/>
  <c r="AB42" i="7"/>
  <c r="F35" i="2" l="1"/>
  <c r="E35" i="10"/>
  <c r="B35" i="3"/>
  <c r="H43" i="7"/>
  <c r="I43" i="7"/>
  <c r="C43" i="7"/>
  <c r="G35" i="2"/>
  <c r="H35" i="2" s="1"/>
  <c r="AB30" i="3"/>
  <c r="L30" i="10" s="1"/>
  <c r="N43" i="7"/>
  <c r="W43" i="7" s="1"/>
  <c r="F44" i="7" s="1"/>
  <c r="U42" i="8"/>
  <c r="W42" i="8" s="1"/>
  <c r="M31" i="3"/>
  <c r="I31" i="3"/>
  <c r="L31" i="3" s="1"/>
  <c r="K23" i="8"/>
  <c r="M23" i="8" s="1"/>
  <c r="G35" i="10" l="1"/>
  <c r="D35" i="3"/>
  <c r="J43" i="7"/>
  <c r="R43" i="7"/>
  <c r="S43" i="7" s="1"/>
  <c r="C43" i="8" s="1"/>
  <c r="I35" i="2"/>
  <c r="O44" i="7"/>
  <c r="Q31" i="3"/>
  <c r="J31" i="3"/>
  <c r="K31" i="3" s="1"/>
  <c r="X23" i="8"/>
  <c r="P23" i="8"/>
  <c r="Q23" i="8" s="1"/>
  <c r="AI23" i="8"/>
  <c r="K43" i="7"/>
  <c r="T43" i="7" s="1"/>
  <c r="D43" i="8" s="1"/>
  <c r="L23" i="8"/>
  <c r="M35" i="2" l="1"/>
  <c r="J35" i="2"/>
  <c r="P44" i="7"/>
  <c r="Q44" i="7" s="1"/>
  <c r="U31" i="3"/>
  <c r="N31" i="3"/>
  <c r="AC31" i="3"/>
  <c r="M31" i="10" s="1"/>
  <c r="Y23" i="8"/>
  <c r="AA23" i="8" s="1"/>
  <c r="S23" i="8"/>
  <c r="AJ23" i="8"/>
  <c r="L43" i="7"/>
  <c r="V43" i="7" s="1"/>
  <c r="AU23" i="8"/>
  <c r="F35" i="10" l="1"/>
  <c r="C35" i="3"/>
  <c r="D35" i="10"/>
  <c r="B36" i="2"/>
  <c r="Y44" i="7"/>
  <c r="E44" i="8"/>
  <c r="X31" i="3"/>
  <c r="V31" i="3"/>
  <c r="Y31" i="3" s="1"/>
  <c r="O31" i="3"/>
  <c r="E44" i="7"/>
  <c r="AK23" i="8"/>
  <c r="Z43" i="7"/>
  <c r="AA43" i="7" s="1"/>
  <c r="B43" i="7" s="1"/>
  <c r="B43" i="8" s="1"/>
  <c r="U43" i="7"/>
  <c r="Z23" i="8"/>
  <c r="AB23" i="8" s="1"/>
  <c r="T23" i="8"/>
  <c r="V23" i="8" s="1"/>
  <c r="C36" i="10" l="1"/>
  <c r="C36" i="2"/>
  <c r="E36" i="2" s="1"/>
  <c r="K36" i="2"/>
  <c r="D36" i="2"/>
  <c r="L36" i="2" s="1"/>
  <c r="P31" i="3"/>
  <c r="E32" i="3"/>
  <c r="I31" i="10"/>
  <c r="H31" i="10"/>
  <c r="W31" i="3"/>
  <c r="Z31" i="3" s="1"/>
  <c r="F32" i="3"/>
  <c r="R31" i="3"/>
  <c r="S31" i="3" s="1"/>
  <c r="AT23" i="8"/>
  <c r="M44" i="7"/>
  <c r="D44" i="7"/>
  <c r="X43" i="7"/>
  <c r="U43" i="8"/>
  <c r="W43" i="8" s="1"/>
  <c r="AC23" i="8"/>
  <c r="J31" i="10" l="1"/>
  <c r="B36" i="3"/>
  <c r="E36" i="10"/>
  <c r="F36" i="2"/>
  <c r="G32" i="3"/>
  <c r="I44" i="7"/>
  <c r="H44" i="7"/>
  <c r="J44" i="7" s="1"/>
  <c r="AA31" i="3"/>
  <c r="K31" i="10" s="1"/>
  <c r="C44" i="7"/>
  <c r="R44" i="7" s="1"/>
  <c r="AB43" i="7"/>
  <c r="T31" i="3"/>
  <c r="N44" i="7"/>
  <c r="W44" i="7" s="1"/>
  <c r="F45" i="7" s="1"/>
  <c r="AD23" i="8"/>
  <c r="AL23" i="8" s="1"/>
  <c r="G36" i="2" l="1"/>
  <c r="H36" i="2" s="1"/>
  <c r="H32" i="3"/>
  <c r="K44" i="7"/>
  <c r="S44" i="7"/>
  <c r="C44" i="8" s="1"/>
  <c r="AB31" i="3"/>
  <c r="L31" i="10" s="1"/>
  <c r="O45" i="7"/>
  <c r="AP23" i="8"/>
  <c r="F24" i="8" s="1"/>
  <c r="AE23" i="8"/>
  <c r="G36" i="10" l="1"/>
  <c r="I36" i="2"/>
  <c r="D36" i="3"/>
  <c r="I32" i="3"/>
  <c r="L32" i="3" s="1"/>
  <c r="M32" i="3"/>
  <c r="T44" i="7"/>
  <c r="D44" i="8" s="1"/>
  <c r="L44" i="7"/>
  <c r="V44" i="7" s="1"/>
  <c r="P45" i="7"/>
  <c r="Q45" i="7" s="1"/>
  <c r="AF23" i="8"/>
  <c r="AM23" i="8" s="1"/>
  <c r="J36" i="2" l="1"/>
  <c r="M36" i="2"/>
  <c r="D36" i="10"/>
  <c r="B37" i="2"/>
  <c r="C36" i="3"/>
  <c r="F36" i="10"/>
  <c r="Q32" i="3"/>
  <c r="J32" i="3"/>
  <c r="K32" i="3" s="1"/>
  <c r="E45" i="7"/>
  <c r="Z44" i="7"/>
  <c r="AA44" i="7" s="1"/>
  <c r="B44" i="7" s="1"/>
  <c r="B44" i="8" s="1"/>
  <c r="U44" i="7"/>
  <c r="Y45" i="7"/>
  <c r="E45" i="8"/>
  <c r="AQ23" i="8"/>
  <c r="G24" i="8" s="1"/>
  <c r="AG23" i="8"/>
  <c r="AH23" i="8" s="1"/>
  <c r="AN23" i="8" s="1"/>
  <c r="AR23" i="8" s="1"/>
  <c r="H24" i="8" s="1"/>
  <c r="C37" i="2" l="1"/>
  <c r="D37" i="2"/>
  <c r="C37" i="10"/>
  <c r="K37" i="2"/>
  <c r="X44" i="7"/>
  <c r="D45" i="7"/>
  <c r="U44" i="8"/>
  <c r="W44" i="8" s="1"/>
  <c r="AC32" i="3"/>
  <c r="M32" i="10" s="1"/>
  <c r="U32" i="3"/>
  <c r="N32" i="3"/>
  <c r="M45" i="7"/>
  <c r="I24" i="8"/>
  <c r="AO23" i="8"/>
  <c r="E37" i="2" l="1"/>
  <c r="V32" i="3"/>
  <c r="Y32" i="3" s="1"/>
  <c r="F37" i="2"/>
  <c r="L37" i="2"/>
  <c r="G37" i="2"/>
  <c r="H37" i="2" s="1"/>
  <c r="X32" i="3"/>
  <c r="E33" i="3" s="1"/>
  <c r="O24" i="8"/>
  <c r="C45" i="7"/>
  <c r="R45" i="7" s="1"/>
  <c r="AB44" i="7"/>
  <c r="I45" i="7"/>
  <c r="H45" i="7"/>
  <c r="J45" i="7" s="1"/>
  <c r="O32" i="3"/>
  <c r="N45" i="7"/>
  <c r="W45" i="7" s="1"/>
  <c r="F46" i="7" s="1"/>
  <c r="O46" i="7" s="1"/>
  <c r="F33" i="3"/>
  <c r="W32" i="3"/>
  <c r="Z32" i="3" s="1"/>
  <c r="J24" i="8"/>
  <c r="N24" i="8" s="1"/>
  <c r="R24" i="8" s="1"/>
  <c r="AS23" i="8"/>
  <c r="I32" i="10" l="1"/>
  <c r="E37" i="10"/>
  <c r="B37" i="3"/>
  <c r="D37" i="3"/>
  <c r="G37" i="10"/>
  <c r="H32" i="10"/>
  <c r="I37" i="2"/>
  <c r="K45" i="7"/>
  <c r="T45" i="7" s="1"/>
  <c r="D45" i="8" s="1"/>
  <c r="S45" i="7"/>
  <c r="C45" i="8" s="1"/>
  <c r="R32" i="3"/>
  <c r="S32" i="3" s="1"/>
  <c r="P32" i="3"/>
  <c r="P46" i="7"/>
  <c r="Q46" i="7" s="1"/>
  <c r="E46" i="8"/>
  <c r="G33" i="3"/>
  <c r="J32" i="10"/>
  <c r="AA32" i="3"/>
  <c r="K32" i="10" s="1"/>
  <c r="K24" i="8"/>
  <c r="M24" i="8" s="1"/>
  <c r="Y46" i="7" l="1"/>
  <c r="J37" i="2"/>
  <c r="M37" i="2"/>
  <c r="T32" i="3"/>
  <c r="L45" i="7"/>
  <c r="V45" i="7" s="1"/>
  <c r="H33" i="3"/>
  <c r="X24" i="8"/>
  <c r="P24" i="8"/>
  <c r="Q24" i="8" s="1"/>
  <c r="AI24" i="8"/>
  <c r="L24" i="8"/>
  <c r="AB32" i="3" l="1"/>
  <c r="L32" i="10" s="1"/>
  <c r="B38" i="2"/>
  <c r="D37" i="10"/>
  <c r="F37" i="10"/>
  <c r="C37" i="3"/>
  <c r="U45" i="7"/>
  <c r="E46" i="7"/>
  <c r="Z45" i="7"/>
  <c r="AA45" i="7" s="1"/>
  <c r="B45" i="7" s="1"/>
  <c r="B45" i="8" s="1"/>
  <c r="U45" i="8" s="1"/>
  <c r="W45" i="8" s="1"/>
  <c r="I33" i="3"/>
  <c r="L33" i="3" s="1"/>
  <c r="M33" i="3"/>
  <c r="Y24" i="8"/>
  <c r="AA24" i="8" s="1"/>
  <c r="S24" i="8"/>
  <c r="AJ24" i="8"/>
  <c r="AU24" i="8"/>
  <c r="D38" i="2" l="1"/>
  <c r="C38" i="10"/>
  <c r="K38" i="2"/>
  <c r="C38" i="2"/>
  <c r="E38" i="2" s="1"/>
  <c r="D46" i="7"/>
  <c r="X45" i="7"/>
  <c r="M46" i="7"/>
  <c r="J33" i="3"/>
  <c r="K33" i="3" s="1"/>
  <c r="Q33" i="3"/>
  <c r="T24" i="8"/>
  <c r="V24" i="8" s="1"/>
  <c r="AK24" i="8"/>
  <c r="Z24" i="8"/>
  <c r="AB24" i="8" s="1"/>
  <c r="H46" i="7"/>
  <c r="AB45" i="7"/>
  <c r="C46" i="7"/>
  <c r="R46" i="7" s="1"/>
  <c r="N46" i="7" l="1"/>
  <c r="W46" i="7" s="1"/>
  <c r="F47" i="7" s="1"/>
  <c r="N33" i="3"/>
  <c r="AC33" i="3"/>
  <c r="M33" i="10" s="1"/>
  <c r="F38" i="2"/>
  <c r="L38" i="2"/>
  <c r="I46" i="7"/>
  <c r="U33" i="3"/>
  <c r="AT24" i="8"/>
  <c r="AC24" i="8"/>
  <c r="O47" i="7"/>
  <c r="O33" i="3"/>
  <c r="J46" i="7" l="1"/>
  <c r="S46" i="7"/>
  <c r="C46" i="8" s="1"/>
  <c r="X33" i="3"/>
  <c r="G38" i="2"/>
  <c r="H38" i="2" s="1"/>
  <c r="B38" i="3"/>
  <c r="E38" i="10"/>
  <c r="V33" i="3"/>
  <c r="Y33" i="3" s="1"/>
  <c r="AD24" i="8"/>
  <c r="P47" i="7"/>
  <c r="Q47" i="7" s="1"/>
  <c r="K46" i="7"/>
  <c r="P33" i="3"/>
  <c r="R33" i="3"/>
  <c r="S33" i="3" s="1"/>
  <c r="H33" i="10"/>
  <c r="E34" i="3"/>
  <c r="W33" i="3"/>
  <c r="Z33" i="3" s="1"/>
  <c r="I33" i="10" l="1"/>
  <c r="F34" i="3"/>
  <c r="G38" i="10"/>
  <c r="D38" i="3"/>
  <c r="I38" i="2"/>
  <c r="AL24" i="8"/>
  <c r="AE24" i="8"/>
  <c r="E47" i="8"/>
  <c r="Y47" i="7"/>
  <c r="L46" i="7"/>
  <c r="T46" i="7"/>
  <c r="D46" i="8" s="1"/>
  <c r="J33" i="10"/>
  <c r="G34" i="3"/>
  <c r="T33" i="3"/>
  <c r="AA33" i="3"/>
  <c r="K33" i="10" s="1"/>
  <c r="M38" i="2" l="1"/>
  <c r="J38" i="2"/>
  <c r="AP24" i="8"/>
  <c r="F25" i="8" s="1"/>
  <c r="AF24" i="8"/>
  <c r="AM24" i="8" s="1"/>
  <c r="AQ24" i="8" s="1"/>
  <c r="G25" i="8" s="1"/>
  <c r="U46" i="7"/>
  <c r="V46" i="7"/>
  <c r="H34" i="3"/>
  <c r="AB33" i="3"/>
  <c r="L33" i="10" s="1"/>
  <c r="C38" i="3" l="1"/>
  <c r="F38" i="10"/>
  <c r="B39" i="2"/>
  <c r="D38" i="10"/>
  <c r="M34" i="3"/>
  <c r="AG24" i="8"/>
  <c r="AH24" i="8" s="1"/>
  <c r="AN24" i="8" s="1"/>
  <c r="AR24" i="8" s="1"/>
  <c r="H25" i="8" s="1"/>
  <c r="X46" i="7"/>
  <c r="D47" i="7"/>
  <c r="E47" i="7"/>
  <c r="Z46" i="7"/>
  <c r="AA46" i="7" s="1"/>
  <c r="B46" i="7" s="1"/>
  <c r="B46" i="8" s="1"/>
  <c r="U46" i="8" s="1"/>
  <c r="W46" i="8" s="1"/>
  <c r="I34" i="3"/>
  <c r="L34" i="3" s="1"/>
  <c r="C39" i="10" l="1"/>
  <c r="K39" i="2"/>
  <c r="D39" i="2"/>
  <c r="C39" i="2"/>
  <c r="E39" i="2" s="1"/>
  <c r="AO24" i="8"/>
  <c r="AS24" i="8" s="1"/>
  <c r="I25" i="8"/>
  <c r="J25" i="8"/>
  <c r="N25" i="8" s="1"/>
  <c r="R25" i="8" s="1"/>
  <c r="O25" i="8"/>
  <c r="AB46" i="7"/>
  <c r="C47" i="7"/>
  <c r="R47" i="7" s="1"/>
  <c r="H47" i="7"/>
  <c r="I47" i="7"/>
  <c r="M47" i="7"/>
  <c r="J34" i="3"/>
  <c r="K34" i="3" s="1"/>
  <c r="Q34" i="3"/>
  <c r="L39" i="2" l="1"/>
  <c r="F39" i="2"/>
  <c r="K25" i="8"/>
  <c r="M25" i="8" s="1"/>
  <c r="J47" i="7"/>
  <c r="S47" i="7"/>
  <c r="C47" i="8" s="1"/>
  <c r="N47" i="7"/>
  <c r="W47" i="7" s="1"/>
  <c r="F48" i="7" s="1"/>
  <c r="N34" i="3"/>
  <c r="U34" i="3"/>
  <c r="AC34" i="3"/>
  <c r="M34" i="10" s="1"/>
  <c r="E39" i="10" l="1"/>
  <c r="B39" i="3"/>
  <c r="G39" i="2"/>
  <c r="H39" i="2" s="1"/>
  <c r="P25" i="8"/>
  <c r="Q25" i="8" s="1"/>
  <c r="X25" i="8"/>
  <c r="AI25" i="8"/>
  <c r="L25" i="8"/>
  <c r="Y25" i="8"/>
  <c r="AA25" i="8" s="1"/>
  <c r="K47" i="7"/>
  <c r="O48" i="7"/>
  <c r="O34" i="3"/>
  <c r="V34" i="3"/>
  <c r="Y34" i="3" s="1"/>
  <c r="X34" i="3"/>
  <c r="G39" i="10" l="1"/>
  <c r="D39" i="3"/>
  <c r="I39" i="2"/>
  <c r="S25" i="8"/>
  <c r="AJ25" i="8"/>
  <c r="AU25" i="8"/>
  <c r="I34" i="10"/>
  <c r="Z25" i="8"/>
  <c r="AB25" i="8" s="1"/>
  <c r="L47" i="7"/>
  <c r="V47" i="7" s="1"/>
  <c r="T47" i="7"/>
  <c r="D47" i="8" s="1"/>
  <c r="F35" i="3"/>
  <c r="E35" i="3"/>
  <c r="W34" i="3"/>
  <c r="Z34" i="3" s="1"/>
  <c r="P48" i="7"/>
  <c r="Q48" i="7" s="1"/>
  <c r="R34" i="3"/>
  <c r="S34" i="3" s="1"/>
  <c r="P34" i="3"/>
  <c r="H34" i="10"/>
  <c r="J39" i="2" l="1"/>
  <c r="M39" i="2"/>
  <c r="T25" i="8"/>
  <c r="V25" i="8" s="1"/>
  <c r="AK25" i="8"/>
  <c r="U47" i="7"/>
  <c r="AA34" i="3"/>
  <c r="K34" i="10" s="1"/>
  <c r="AC25" i="8"/>
  <c r="Z47" i="7"/>
  <c r="AA47" i="7" s="1"/>
  <c r="B47" i="7" s="1"/>
  <c r="B47" i="8" s="1"/>
  <c r="U47" i="8" s="1"/>
  <c r="W47" i="8" s="1"/>
  <c r="E48" i="7"/>
  <c r="E48" i="8"/>
  <c r="Y48" i="7"/>
  <c r="G35" i="3"/>
  <c r="J34" i="10"/>
  <c r="T34" i="3"/>
  <c r="D39" i="10" l="1"/>
  <c r="B40" i="2"/>
  <c r="F39" i="10"/>
  <c r="C39" i="3"/>
  <c r="AT25" i="8"/>
  <c r="H35" i="3"/>
  <c r="X47" i="7"/>
  <c r="D48" i="7"/>
  <c r="AD25" i="8"/>
  <c r="AL25" i="8" s="1"/>
  <c r="AB34" i="3"/>
  <c r="L34" i="10" s="1"/>
  <c r="M48" i="7"/>
  <c r="K40" i="2" l="1"/>
  <c r="D40" i="2"/>
  <c r="L40" i="2" s="1"/>
  <c r="C40" i="10"/>
  <c r="C40" i="2"/>
  <c r="E40" i="2" s="1"/>
  <c r="F40" i="2" s="1"/>
  <c r="M35" i="3"/>
  <c r="AE25" i="8"/>
  <c r="I35" i="3"/>
  <c r="L35" i="3" s="1"/>
  <c r="H48" i="7"/>
  <c r="I48" i="7"/>
  <c r="C48" i="7"/>
  <c r="R48" i="7" s="1"/>
  <c r="AB47" i="7"/>
  <c r="AP25" i="8"/>
  <c r="F26" i="8" s="1"/>
  <c r="N48" i="7"/>
  <c r="W48" i="7" s="1"/>
  <c r="F49" i="7" s="1"/>
  <c r="B40" i="3" l="1"/>
  <c r="E40" i="10"/>
  <c r="G40" i="2"/>
  <c r="H40" i="2" s="1"/>
  <c r="AF25" i="8"/>
  <c r="AM25" i="8" s="1"/>
  <c r="AQ25" i="8" s="1"/>
  <c r="G26" i="8" s="1"/>
  <c r="S48" i="7"/>
  <c r="C48" i="8" s="1"/>
  <c r="J35" i="3"/>
  <c r="K35" i="3" s="1"/>
  <c r="Q35" i="3"/>
  <c r="J48" i="7"/>
  <c r="O49" i="7"/>
  <c r="G40" i="10" l="1"/>
  <c r="D40" i="3"/>
  <c r="I40" i="2"/>
  <c r="AG25" i="8"/>
  <c r="AH25" i="8" s="1"/>
  <c r="AN25" i="8" s="1"/>
  <c r="AR25" i="8" s="1"/>
  <c r="H26" i="8" s="1"/>
  <c r="K48" i="7"/>
  <c r="N35" i="3"/>
  <c r="AC35" i="3"/>
  <c r="M35" i="10" s="1"/>
  <c r="U35" i="3"/>
  <c r="P49" i="7"/>
  <c r="Q49" i="7" s="1"/>
  <c r="AO25" i="8" l="1"/>
  <c r="I26" i="8"/>
  <c r="J40" i="2"/>
  <c r="M40" i="2"/>
  <c r="L48" i="7"/>
  <c r="V48" i="7" s="1"/>
  <c r="T48" i="7"/>
  <c r="D48" i="8" s="1"/>
  <c r="O35" i="3"/>
  <c r="V35" i="3"/>
  <c r="Y35" i="3" s="1"/>
  <c r="X35" i="3"/>
  <c r="E49" i="8"/>
  <c r="Y49" i="7"/>
  <c r="AS25" i="8" l="1"/>
  <c r="J26" i="8"/>
  <c r="N26" i="8" s="1"/>
  <c r="R26" i="8" s="1"/>
  <c r="O26" i="8"/>
  <c r="B41" i="2"/>
  <c r="D40" i="10"/>
  <c r="C40" i="3"/>
  <c r="F40" i="10"/>
  <c r="U48" i="7"/>
  <c r="E49" i="7"/>
  <c r="Z48" i="7"/>
  <c r="AA48" i="7" s="1"/>
  <c r="B48" i="7" s="1"/>
  <c r="B48" i="8" s="1"/>
  <c r="U48" i="8" s="1"/>
  <c r="W48" i="8" s="1"/>
  <c r="P35" i="3"/>
  <c r="I35" i="10"/>
  <c r="F36" i="3"/>
  <c r="R35" i="3"/>
  <c r="S35" i="3" s="1"/>
  <c r="H35" i="10"/>
  <c r="E36" i="3"/>
  <c r="W35" i="3"/>
  <c r="Z35" i="3" s="1"/>
  <c r="K26" i="8"/>
  <c r="M26" i="8" s="1"/>
  <c r="C41" i="2" l="1"/>
  <c r="K41" i="2"/>
  <c r="D41" i="2"/>
  <c r="C41" i="10"/>
  <c r="AA35" i="3"/>
  <c r="K35" i="10" s="1"/>
  <c r="M49" i="7"/>
  <c r="D49" i="7"/>
  <c r="I49" i="7" s="1"/>
  <c r="X48" i="7"/>
  <c r="L26" i="8"/>
  <c r="G36" i="3"/>
  <c r="J35" i="10"/>
  <c r="T35" i="3"/>
  <c r="AB35" i="3" s="1"/>
  <c r="L35" i="10" s="1"/>
  <c r="AI26" i="8"/>
  <c r="P26" i="8"/>
  <c r="Q26" i="8" s="1"/>
  <c r="X26" i="8"/>
  <c r="E41" i="2" l="1"/>
  <c r="L41" i="2"/>
  <c r="F41" i="2"/>
  <c r="AU26" i="8"/>
  <c r="H36" i="3"/>
  <c r="I36" i="3" s="1"/>
  <c r="L36" i="3" s="1"/>
  <c r="C49" i="7"/>
  <c r="R49" i="7" s="1"/>
  <c r="AB48" i="7"/>
  <c r="N49" i="7"/>
  <c r="W49" i="7" s="1"/>
  <c r="F50" i="7" s="1"/>
  <c r="H49" i="7"/>
  <c r="AJ26" i="8"/>
  <c r="S26" i="8"/>
  <c r="Y26" i="8"/>
  <c r="AA26" i="8" s="1"/>
  <c r="B41" i="3" l="1"/>
  <c r="E41" i="10"/>
  <c r="G41" i="2"/>
  <c r="O50" i="7"/>
  <c r="M36" i="3"/>
  <c r="Q36" i="3"/>
  <c r="J36" i="3"/>
  <c r="K36" i="3" s="1"/>
  <c r="S49" i="7"/>
  <c r="C49" i="8" s="1"/>
  <c r="J49" i="7"/>
  <c r="AK26" i="8"/>
  <c r="T26" i="8"/>
  <c r="V26" i="8" s="1"/>
  <c r="AT26" i="8" s="1"/>
  <c r="Z26" i="8"/>
  <c r="AB26" i="8" s="1"/>
  <c r="I41" i="2" l="1"/>
  <c r="H41" i="2"/>
  <c r="G41" i="10" s="1"/>
  <c r="P50" i="7"/>
  <c r="Q50" i="7" s="1"/>
  <c r="K49" i="7"/>
  <c r="AC36" i="3"/>
  <c r="M36" i="10" s="1"/>
  <c r="U36" i="3"/>
  <c r="N36" i="3"/>
  <c r="D41" i="3"/>
  <c r="E50" i="8"/>
  <c r="AC26" i="8"/>
  <c r="M41" i="2"/>
  <c r="J41" i="2"/>
  <c r="Y50" i="7"/>
  <c r="L49" i="7"/>
  <c r="V49" i="7" s="1"/>
  <c r="T49" i="7" l="1"/>
  <c r="D49" i="8" s="1"/>
  <c r="X36" i="3"/>
  <c r="V36" i="3"/>
  <c r="Y36" i="3" s="1"/>
  <c r="O36" i="3"/>
  <c r="AD26" i="8"/>
  <c r="AL26" i="8" s="1"/>
  <c r="F41" i="10"/>
  <c r="C41" i="3"/>
  <c r="D41" i="10"/>
  <c r="B42" i="2"/>
  <c r="U49" i="7"/>
  <c r="Z49" i="7"/>
  <c r="AA49" i="7" s="1"/>
  <c r="B49" i="7" s="1"/>
  <c r="B49" i="8" s="1"/>
  <c r="U49" i="8" s="1"/>
  <c r="W49" i="8" s="1"/>
  <c r="E50" i="7"/>
  <c r="W36" i="3" l="1"/>
  <c r="Z36" i="3" s="1"/>
  <c r="E37" i="3"/>
  <c r="H36" i="10"/>
  <c r="I36" i="10"/>
  <c r="F37" i="3"/>
  <c r="R36" i="3"/>
  <c r="S36" i="3" s="1"/>
  <c r="P36" i="3"/>
  <c r="AP26" i="8"/>
  <c r="F27" i="8" s="1"/>
  <c r="AE26" i="8"/>
  <c r="M50" i="7"/>
  <c r="C42" i="2"/>
  <c r="D42" i="2"/>
  <c r="K42" i="2"/>
  <c r="C42" i="10"/>
  <c r="D50" i="7"/>
  <c r="X49" i="7"/>
  <c r="J36" i="10" l="1"/>
  <c r="G37" i="3"/>
  <c r="AA36" i="3"/>
  <c r="K36" i="10" s="1"/>
  <c r="T36" i="3"/>
  <c r="AF26" i="8"/>
  <c r="AM26" i="8" s="1"/>
  <c r="N50" i="7"/>
  <c r="W50" i="7" s="1"/>
  <c r="F51" i="7" s="1"/>
  <c r="L42" i="2"/>
  <c r="E42" i="2"/>
  <c r="AB49" i="7"/>
  <c r="C50" i="7"/>
  <c r="R50" i="7" s="1"/>
  <c r="H50" i="7"/>
  <c r="I50" i="7"/>
  <c r="H37" i="3"/>
  <c r="AB36" i="3" l="1"/>
  <c r="L36" i="10" s="1"/>
  <c r="AG26" i="8"/>
  <c r="AH26" i="8" s="1"/>
  <c r="AN26" i="8" s="1"/>
  <c r="AR26" i="8" s="1"/>
  <c r="H27" i="8" s="1"/>
  <c r="AQ26" i="8"/>
  <c r="G27" i="8" s="1"/>
  <c r="O51" i="7"/>
  <c r="F42" i="2"/>
  <c r="E42" i="10"/>
  <c r="B42" i="3"/>
  <c r="S50" i="7"/>
  <c r="C50" i="8" s="1"/>
  <c r="J50" i="7"/>
  <c r="K50" i="7" s="1"/>
  <c r="T50" i="7" s="1"/>
  <c r="D50" i="8" s="1"/>
  <c r="M37" i="3"/>
  <c r="I37" i="3"/>
  <c r="L37" i="3" s="1"/>
  <c r="I27" i="8" l="1"/>
  <c r="AO26" i="8"/>
  <c r="L50" i="7"/>
  <c r="V50" i="7" s="1"/>
  <c r="P51" i="7"/>
  <c r="Q51" i="7" s="1"/>
  <c r="G42" i="2"/>
  <c r="J37" i="3"/>
  <c r="K37" i="3" s="1"/>
  <c r="Q37" i="3"/>
  <c r="Z50" i="7" l="1"/>
  <c r="AA50" i="7" s="1"/>
  <c r="B50" i="7" s="1"/>
  <c r="B50" i="8" s="1"/>
  <c r="U50" i="8" s="1"/>
  <c r="W50" i="8" s="1"/>
  <c r="E51" i="7"/>
  <c r="M51" i="7" s="1"/>
  <c r="J27" i="8"/>
  <c r="N27" i="8" s="1"/>
  <c r="R27" i="8" s="1"/>
  <c r="O27" i="8"/>
  <c r="U50" i="7"/>
  <c r="AS26" i="8"/>
  <c r="E51" i="8"/>
  <c r="Y51" i="7"/>
  <c r="I42" i="2"/>
  <c r="H42" i="2"/>
  <c r="U37" i="3"/>
  <c r="N37" i="3"/>
  <c r="O37" i="3" s="1"/>
  <c r="AC37" i="3"/>
  <c r="M37" i="10" s="1"/>
  <c r="D42" i="3"/>
  <c r="G42" i="10"/>
  <c r="K27" i="8" l="1"/>
  <c r="X50" i="7"/>
  <c r="D51" i="7"/>
  <c r="N51" i="7"/>
  <c r="M42" i="2"/>
  <c r="J42" i="2"/>
  <c r="M27" i="8"/>
  <c r="L27" i="8"/>
  <c r="AU27" i="8" s="1"/>
  <c r="V37" i="3"/>
  <c r="Y37" i="3" s="1"/>
  <c r="X37" i="3"/>
  <c r="P37" i="3"/>
  <c r="R37" i="3"/>
  <c r="S37" i="3" s="1"/>
  <c r="W51" i="7" l="1"/>
  <c r="F52" i="7" s="1"/>
  <c r="C51" i="7"/>
  <c r="R51" i="7" s="1"/>
  <c r="AB50" i="7"/>
  <c r="H51" i="7"/>
  <c r="I51" i="7"/>
  <c r="C42" i="3"/>
  <c r="X27" i="8"/>
  <c r="F42" i="10"/>
  <c r="D42" i="10"/>
  <c r="B43" i="2"/>
  <c r="AI27" i="8"/>
  <c r="P27" i="8"/>
  <c r="Q27" i="8" s="1"/>
  <c r="F38" i="3"/>
  <c r="E38" i="3"/>
  <c r="I37" i="10"/>
  <c r="H37" i="10"/>
  <c r="W37" i="3"/>
  <c r="T37" i="3"/>
  <c r="C43" i="2"/>
  <c r="C43" i="10"/>
  <c r="O52" i="7" l="1"/>
  <c r="J51" i="7"/>
  <c r="S51" i="7"/>
  <c r="C51" i="8" s="1"/>
  <c r="AJ27" i="8"/>
  <c r="S27" i="8"/>
  <c r="D43" i="2"/>
  <c r="K43" i="2"/>
  <c r="Y27" i="8"/>
  <c r="AA27" i="8" s="1"/>
  <c r="AA37" i="3"/>
  <c r="K37" i="10" s="1"/>
  <c r="Z37" i="3"/>
  <c r="AB37" i="3"/>
  <c r="L37" i="10" s="1"/>
  <c r="P52" i="7" l="1"/>
  <c r="Q52" i="7" s="1"/>
  <c r="K51" i="7"/>
  <c r="AK27" i="8"/>
  <c r="T27" i="8"/>
  <c r="V27" i="8" s="1"/>
  <c r="J37" i="10"/>
  <c r="L43" i="2"/>
  <c r="G38" i="3"/>
  <c r="E43" i="2"/>
  <c r="Z27" i="8"/>
  <c r="AB27" i="8" s="1"/>
  <c r="Y52" i="7" l="1"/>
  <c r="E52" i="8"/>
  <c r="T51" i="7"/>
  <c r="D51" i="8" s="1"/>
  <c r="H38" i="3"/>
  <c r="AT27" i="8"/>
  <c r="L51" i="7"/>
  <c r="V51" i="7" s="1"/>
  <c r="F43" i="2"/>
  <c r="E43" i="10"/>
  <c r="B43" i="3"/>
  <c r="AC27" i="8"/>
  <c r="AD27" i="8" s="1"/>
  <c r="AL27" i="8" s="1"/>
  <c r="AP27" i="8"/>
  <c r="F28" i="8" s="1"/>
  <c r="I38" i="3"/>
  <c r="L38" i="3" s="1"/>
  <c r="Z51" i="7"/>
  <c r="AA51" i="7" s="1"/>
  <c r="B51" i="7" s="1"/>
  <c r="B51" i="8" s="1"/>
  <c r="U51" i="8" s="1"/>
  <c r="W51" i="8" s="1"/>
  <c r="AE27" i="8" l="1"/>
  <c r="M38" i="3"/>
  <c r="U51" i="7"/>
  <c r="G43" i="2"/>
  <c r="H43" i="2" s="1"/>
  <c r="E52" i="7"/>
  <c r="J38" i="3"/>
  <c r="AF27" i="8"/>
  <c r="AM27" i="8" s="1"/>
  <c r="I43" i="2"/>
  <c r="Q38" i="3"/>
  <c r="D52" i="7" l="1"/>
  <c r="I52" i="7" s="1"/>
  <c r="X51" i="7"/>
  <c r="M52" i="7"/>
  <c r="D43" i="3"/>
  <c r="G43" i="10"/>
  <c r="AQ27" i="8"/>
  <c r="G28" i="8" s="1"/>
  <c r="AG27" i="8"/>
  <c r="AH27" i="8" s="1"/>
  <c r="AN27" i="8" s="1"/>
  <c r="AR27" i="8" s="1"/>
  <c r="H28" i="8" s="1"/>
  <c r="AC38" i="3"/>
  <c r="M38" i="10" s="1"/>
  <c r="K38" i="3"/>
  <c r="M43" i="2"/>
  <c r="J43" i="2"/>
  <c r="H52" i="7" l="1"/>
  <c r="J52" i="7" s="1"/>
  <c r="K52" i="7" s="1"/>
  <c r="T52" i="7" s="1"/>
  <c r="D52" i="8" s="1"/>
  <c r="AB51" i="7"/>
  <c r="C52" i="7"/>
  <c r="R52" i="7" s="1"/>
  <c r="N52" i="7"/>
  <c r="S52" i="7"/>
  <c r="C52" i="8" s="1"/>
  <c r="I28" i="8"/>
  <c r="AO27" i="8"/>
  <c r="U38" i="3"/>
  <c r="N38" i="3"/>
  <c r="F43" i="10"/>
  <c r="D43" i="10"/>
  <c r="C43" i="3"/>
  <c r="B44" i="2"/>
  <c r="L52" i="7" l="1"/>
  <c r="U52" i="7"/>
  <c r="V52" i="7"/>
  <c r="D53" i="7"/>
  <c r="I53" i="7" s="1"/>
  <c r="W52" i="7"/>
  <c r="F53" i="7" s="1"/>
  <c r="AS27" i="8"/>
  <c r="X38" i="3"/>
  <c r="V38" i="3"/>
  <c r="Y38" i="3" s="1"/>
  <c r="O38" i="3"/>
  <c r="O28" i="8"/>
  <c r="J28" i="8"/>
  <c r="N28" i="8" s="1"/>
  <c r="R28" i="8" s="1"/>
  <c r="C44" i="2"/>
  <c r="D44" i="2"/>
  <c r="K44" i="2"/>
  <c r="C44" i="10"/>
  <c r="O53" i="7"/>
  <c r="H53" i="7" l="1"/>
  <c r="J53" i="7" s="1"/>
  <c r="Z52" i="7"/>
  <c r="AA52" i="7" s="1"/>
  <c r="B52" i="7" s="1"/>
  <c r="B52" i="8" s="1"/>
  <c r="U52" i="8" s="1"/>
  <c r="W52" i="8" s="1"/>
  <c r="X52" i="7"/>
  <c r="E53" i="7"/>
  <c r="P38" i="3"/>
  <c r="H38" i="10"/>
  <c r="E39" i="3"/>
  <c r="I38" i="10"/>
  <c r="F39" i="3"/>
  <c r="R38" i="3"/>
  <c r="S38" i="3" s="1"/>
  <c r="W38" i="3"/>
  <c r="Z38" i="3" s="1"/>
  <c r="K28" i="8"/>
  <c r="L44" i="2"/>
  <c r="E44" i="2"/>
  <c r="AB52" i="7"/>
  <c r="C53" i="7"/>
  <c r="R53" i="7" s="1"/>
  <c r="S53" i="7" s="1"/>
  <c r="C53" i="8" s="1"/>
  <c r="M53" i="7"/>
  <c r="P53" i="7"/>
  <c r="Q53" i="7" s="1"/>
  <c r="K53" i="7" l="1"/>
  <c r="AA38" i="3"/>
  <c r="K38" i="10" s="1"/>
  <c r="G39" i="3"/>
  <c r="J38" i="10"/>
  <c r="T38" i="3"/>
  <c r="AB38" i="3" s="1"/>
  <c r="L38" i="10" s="1"/>
  <c r="B44" i="3"/>
  <c r="E44" i="10"/>
  <c r="L28" i="8"/>
  <c r="AU28" i="8" s="1"/>
  <c r="M28" i="8"/>
  <c r="F44" i="2"/>
  <c r="E53" i="8"/>
  <c r="Y53" i="7"/>
  <c r="N53" i="7"/>
  <c r="L53" i="7" l="1"/>
  <c r="T53" i="7"/>
  <c r="D53" i="8" s="1"/>
  <c r="H39" i="3"/>
  <c r="X28" i="8"/>
  <c r="P28" i="8"/>
  <c r="Q28" i="8" s="1"/>
  <c r="AI28" i="8"/>
  <c r="G44" i="2"/>
  <c r="W53" i="7"/>
  <c r="F54" i="7" s="1"/>
  <c r="U53" i="7" l="1"/>
  <c r="D54" i="7" s="1"/>
  <c r="V53" i="7"/>
  <c r="I39" i="3"/>
  <c r="L39" i="3" s="1"/>
  <c r="M39" i="3"/>
  <c r="Y28" i="8"/>
  <c r="AA28" i="8" s="1"/>
  <c r="S28" i="8"/>
  <c r="AJ28" i="8"/>
  <c r="I44" i="2"/>
  <c r="H44" i="2"/>
  <c r="O54" i="7"/>
  <c r="I54" i="7" l="1"/>
  <c r="H54" i="7"/>
  <c r="E54" i="7"/>
  <c r="M54" i="7" s="1"/>
  <c r="Z53" i="7"/>
  <c r="AA53" i="7" s="1"/>
  <c r="B53" i="7" s="1"/>
  <c r="B53" i="8" s="1"/>
  <c r="U53" i="8" s="1"/>
  <c r="W53" i="8" s="1"/>
  <c r="X53" i="7"/>
  <c r="Q39" i="3"/>
  <c r="J39" i="3"/>
  <c r="K39" i="3" s="1"/>
  <c r="Z28" i="8"/>
  <c r="AB28" i="8" s="1"/>
  <c r="T28" i="8"/>
  <c r="V28" i="8" s="1"/>
  <c r="AK28" i="8"/>
  <c r="M44" i="2"/>
  <c r="J44" i="2"/>
  <c r="D44" i="3"/>
  <c r="G44" i="10"/>
  <c r="J54" i="7"/>
  <c r="P54" i="7"/>
  <c r="Q54" i="7" s="1"/>
  <c r="AB53" i="7" l="1"/>
  <c r="C54" i="7"/>
  <c r="R54" i="7" s="1"/>
  <c r="S54" i="7" s="1"/>
  <c r="C54" i="8" s="1"/>
  <c r="N54" i="7"/>
  <c r="AC39" i="3"/>
  <c r="M39" i="10" s="1"/>
  <c r="AC28" i="8"/>
  <c r="U39" i="3"/>
  <c r="N39" i="3"/>
  <c r="AT28" i="8"/>
  <c r="F44" i="10"/>
  <c r="C44" i="3"/>
  <c r="D44" i="10"/>
  <c r="B45" i="2"/>
  <c r="W54" i="7"/>
  <c r="F55" i="7" s="1"/>
  <c r="O55" i="7" s="1"/>
  <c r="K54" i="7"/>
  <c r="T54" i="7" s="1"/>
  <c r="D54" i="8" s="1"/>
  <c r="Y54" i="7"/>
  <c r="E54" i="8"/>
  <c r="O39" i="3" l="1"/>
  <c r="X39" i="3"/>
  <c r="V39" i="3"/>
  <c r="Y39" i="3" s="1"/>
  <c r="AD28" i="8"/>
  <c r="AL28" i="8" s="1"/>
  <c r="AP28" i="8" s="1"/>
  <c r="F29" i="8" s="1"/>
  <c r="C45" i="2"/>
  <c r="D45" i="2"/>
  <c r="K45" i="2"/>
  <c r="C45" i="10"/>
  <c r="L54" i="7"/>
  <c r="V54" i="7" s="1"/>
  <c r="P55" i="7"/>
  <c r="Q55" i="7" s="1"/>
  <c r="E40" i="3" l="1"/>
  <c r="H39" i="10"/>
  <c r="I39" i="10"/>
  <c r="R39" i="3"/>
  <c r="S39" i="3" s="1"/>
  <c r="P39" i="3"/>
  <c r="F40" i="3"/>
  <c r="W39" i="3"/>
  <c r="Z39" i="3" s="1"/>
  <c r="AE28" i="8"/>
  <c r="AF28" i="8" s="1"/>
  <c r="AM28" i="8" s="1"/>
  <c r="Y55" i="7"/>
  <c r="U54" i="7"/>
  <c r="D55" i="7" s="1"/>
  <c r="E45" i="2"/>
  <c r="L45" i="2"/>
  <c r="E55" i="7"/>
  <c r="M55" i="7" s="1"/>
  <c r="Z54" i="7"/>
  <c r="AA54" i="7" s="1"/>
  <c r="B54" i="7" s="1"/>
  <c r="B54" i="8" s="1"/>
  <c r="U54" i="8" s="1"/>
  <c r="W54" i="8" s="1"/>
  <c r="E55" i="8"/>
  <c r="T39" i="3" l="1"/>
  <c r="J39" i="10"/>
  <c r="G40" i="3"/>
  <c r="AA39" i="3"/>
  <c r="K39" i="10" s="1"/>
  <c r="AQ28" i="8"/>
  <c r="G29" i="8" s="1"/>
  <c r="AG28" i="8"/>
  <c r="AH28" i="8" s="1"/>
  <c r="AN28" i="8" s="1"/>
  <c r="AR28" i="8" s="1"/>
  <c r="H29" i="8" s="1"/>
  <c r="F45" i="2"/>
  <c r="X54" i="7"/>
  <c r="B45" i="3"/>
  <c r="E45" i="10"/>
  <c r="H55" i="7"/>
  <c r="I55" i="7"/>
  <c r="N55" i="7"/>
  <c r="W55" i="7" s="1"/>
  <c r="F56" i="7" s="1"/>
  <c r="AB39" i="3" l="1"/>
  <c r="L39" i="10" s="1"/>
  <c r="G45" i="2"/>
  <c r="H45" i="2" s="1"/>
  <c r="H40" i="3"/>
  <c r="I29" i="8"/>
  <c r="J29" i="8" s="1"/>
  <c r="AO28" i="8"/>
  <c r="AS28" i="8" s="1"/>
  <c r="C55" i="7"/>
  <c r="R55" i="7" s="1"/>
  <c r="S55" i="7" s="1"/>
  <c r="C55" i="8" s="1"/>
  <c r="AB54" i="7"/>
  <c r="O56" i="7"/>
  <c r="J55" i="7"/>
  <c r="K55" i="7"/>
  <c r="T55" i="7" s="1"/>
  <c r="D55" i="8" s="1"/>
  <c r="P56" i="7" l="1"/>
  <c r="Q56" i="7" s="1"/>
  <c r="D45" i="3"/>
  <c r="I45" i="2"/>
  <c r="G45" i="10"/>
  <c r="K29" i="8"/>
  <c r="N29" i="8"/>
  <c r="R29" i="8" s="1"/>
  <c r="M40" i="3"/>
  <c r="O29" i="8"/>
  <c r="I40" i="3"/>
  <c r="L40" i="3" s="1"/>
  <c r="L55" i="7"/>
  <c r="V55" i="7" s="1"/>
  <c r="U55" i="7"/>
  <c r="E56" i="8" l="1"/>
  <c r="Y56" i="7"/>
  <c r="J45" i="2"/>
  <c r="M45" i="2"/>
  <c r="M29" i="8"/>
  <c r="L29" i="8"/>
  <c r="Q40" i="3"/>
  <c r="J40" i="3"/>
  <c r="K40" i="3" s="1"/>
  <c r="Z55" i="7"/>
  <c r="AA55" i="7" s="1"/>
  <c r="B55" i="7" s="1"/>
  <c r="B55" i="8" s="1"/>
  <c r="U55" i="8" s="1"/>
  <c r="W55" i="8" s="1"/>
  <c r="X29" i="8"/>
  <c r="P29" i="8"/>
  <c r="Q29" i="8" s="1"/>
  <c r="AI29" i="8"/>
  <c r="E56" i="7"/>
  <c r="D56" i="7"/>
  <c r="X55" i="7"/>
  <c r="D45" i="10" l="1"/>
  <c r="B46" i="2"/>
  <c r="F45" i="10"/>
  <c r="C45" i="3"/>
  <c r="AU29" i="8"/>
  <c r="M56" i="7"/>
  <c r="N40" i="3"/>
  <c r="I56" i="7"/>
  <c r="H56" i="7"/>
  <c r="J56" i="7" s="1"/>
  <c r="AB55" i="7"/>
  <c r="AC40" i="3"/>
  <c r="M40" i="10" s="1"/>
  <c r="U40" i="3"/>
  <c r="C56" i="7"/>
  <c r="R56" i="7" s="1"/>
  <c r="Y29" i="8"/>
  <c r="AA29" i="8" s="1"/>
  <c r="S29" i="8"/>
  <c r="AJ29" i="8"/>
  <c r="D46" i="2" l="1"/>
  <c r="C46" i="10"/>
  <c r="K46" i="2"/>
  <c r="C46" i="2"/>
  <c r="E46" i="2" s="1"/>
  <c r="F46" i="2" s="1"/>
  <c r="N56" i="7"/>
  <c r="W56" i="7" s="1"/>
  <c r="F57" i="7" s="1"/>
  <c r="V40" i="3"/>
  <c r="Y40" i="3" s="1"/>
  <c r="O40" i="3"/>
  <c r="X40" i="3"/>
  <c r="K56" i="7"/>
  <c r="T56" i="7" s="1"/>
  <c r="D56" i="8" s="1"/>
  <c r="S56" i="7"/>
  <c r="C56" i="8" s="1"/>
  <c r="T29" i="8"/>
  <c r="V29" i="8" s="1"/>
  <c r="AK29" i="8"/>
  <c r="Z29" i="8"/>
  <c r="AB29" i="8" s="1"/>
  <c r="W40" i="3"/>
  <c r="Z40" i="3" s="1"/>
  <c r="L56" i="7" l="1"/>
  <c r="G46" i="2"/>
  <c r="O57" i="7"/>
  <c r="P40" i="3"/>
  <c r="I40" i="10"/>
  <c r="F41" i="3"/>
  <c r="R40" i="3"/>
  <c r="S40" i="3" s="1"/>
  <c r="E41" i="3"/>
  <c r="H40" i="10"/>
  <c r="L46" i="2"/>
  <c r="I46" i="2"/>
  <c r="H46" i="2"/>
  <c r="V56" i="7"/>
  <c r="U56" i="7"/>
  <c r="AC29" i="8"/>
  <c r="AT29" i="8"/>
  <c r="G41" i="3"/>
  <c r="J40" i="10"/>
  <c r="AA40" i="3"/>
  <c r="K40" i="10" s="1"/>
  <c r="E46" i="10" l="1"/>
  <c r="B46" i="3"/>
  <c r="P57" i="7"/>
  <c r="Q57" i="7" s="1"/>
  <c r="T40" i="3"/>
  <c r="G46" i="10"/>
  <c r="M46" i="2"/>
  <c r="J46" i="2"/>
  <c r="D46" i="3"/>
  <c r="Z56" i="7"/>
  <c r="AA56" i="7" s="1"/>
  <c r="B56" i="7" s="1"/>
  <c r="B56" i="8" s="1"/>
  <c r="U56" i="8" s="1"/>
  <c r="W56" i="8" s="1"/>
  <c r="E57" i="7"/>
  <c r="X56" i="7"/>
  <c r="D57" i="7"/>
  <c r="AD29" i="8"/>
  <c r="AL29" i="8" s="1"/>
  <c r="AP29" i="8" s="1"/>
  <c r="F30" i="8" s="1"/>
  <c r="H41" i="3"/>
  <c r="Y57" i="7" l="1"/>
  <c r="E57" i="8"/>
  <c r="AB40" i="3"/>
  <c r="L40" i="10" s="1"/>
  <c r="AB56" i="7"/>
  <c r="F46" i="10"/>
  <c r="D46" i="10"/>
  <c r="C46" i="3"/>
  <c r="B47" i="2"/>
  <c r="M57" i="7"/>
  <c r="C57" i="7"/>
  <c r="I57" i="7"/>
  <c r="H57" i="7"/>
  <c r="AE29" i="8"/>
  <c r="AF29" i="8"/>
  <c r="AM29" i="8" s="1"/>
  <c r="M41" i="3"/>
  <c r="I41" i="3"/>
  <c r="L41" i="3" s="1"/>
  <c r="J57" i="7" l="1"/>
  <c r="C47" i="2"/>
  <c r="C47" i="10"/>
  <c r="N57" i="7"/>
  <c r="W57" i="7" s="1"/>
  <c r="F58" i="7" s="1"/>
  <c r="D47" i="2"/>
  <c r="K47" i="2"/>
  <c r="R57" i="7"/>
  <c r="S57" i="7" s="1"/>
  <c r="C57" i="8" s="1"/>
  <c r="AG29" i="8"/>
  <c r="AH29" i="8" s="1"/>
  <c r="AN29" i="8" s="1"/>
  <c r="AR29" i="8" s="1"/>
  <c r="H30" i="8" s="1"/>
  <c r="I30" i="8" s="1"/>
  <c r="AQ29" i="8"/>
  <c r="G30" i="8" s="1"/>
  <c r="J41" i="3"/>
  <c r="K41" i="3" s="1"/>
  <c r="Q41" i="3"/>
  <c r="K57" i="7" l="1"/>
  <c r="T57" i="7" s="1"/>
  <c r="D57" i="8" s="1"/>
  <c r="O58" i="7"/>
  <c r="E47" i="2"/>
  <c r="L47" i="2"/>
  <c r="P58" i="7"/>
  <c r="Q58" i="7" s="1"/>
  <c r="E58" i="8" s="1"/>
  <c r="O30" i="8"/>
  <c r="AO29" i="8"/>
  <c r="AS29" i="8" s="1"/>
  <c r="J30" i="8"/>
  <c r="N30" i="8" s="1"/>
  <c r="R30" i="8" s="1"/>
  <c r="N41" i="3"/>
  <c r="U41" i="3"/>
  <c r="AC41" i="3"/>
  <c r="M41" i="10" s="1"/>
  <c r="L57" i="7" l="1"/>
  <c r="V57" i="7" s="1"/>
  <c r="F47" i="2"/>
  <c r="E47" i="10"/>
  <c r="B47" i="3"/>
  <c r="Y58" i="7"/>
  <c r="K30" i="8"/>
  <c r="M30" i="8" s="1"/>
  <c r="X41" i="3"/>
  <c r="O41" i="3"/>
  <c r="V41" i="3"/>
  <c r="Y41" i="3" s="1"/>
  <c r="R41" i="3"/>
  <c r="S41" i="3" s="1"/>
  <c r="Z57" i="7" l="1"/>
  <c r="AA57" i="7" s="1"/>
  <c r="B57" i="7" s="1"/>
  <c r="B57" i="8" s="1"/>
  <c r="U57" i="8" s="1"/>
  <c r="W57" i="8" s="1"/>
  <c r="E58" i="7"/>
  <c r="M58" i="7" s="1"/>
  <c r="U57" i="7"/>
  <c r="X57" i="7"/>
  <c r="D58" i="7"/>
  <c r="G47" i="2"/>
  <c r="H47" i="2" s="1"/>
  <c r="AI30" i="8"/>
  <c r="P30" i="8"/>
  <c r="Q30" i="8" s="1"/>
  <c r="X30" i="8"/>
  <c r="L30" i="8"/>
  <c r="N58" i="7"/>
  <c r="W58" i="7" s="1"/>
  <c r="F59" i="7" s="1"/>
  <c r="AJ30" i="8"/>
  <c r="S30" i="8"/>
  <c r="Y30" i="8"/>
  <c r="AA30" i="8" s="1"/>
  <c r="AB57" i="7"/>
  <c r="C58" i="7"/>
  <c r="R58" i="7" s="1"/>
  <c r="I58" i="7"/>
  <c r="H58" i="7"/>
  <c r="F42" i="3"/>
  <c r="H41" i="10"/>
  <c r="E42" i="3"/>
  <c r="W41" i="3"/>
  <c r="P41" i="3"/>
  <c r="I41" i="10"/>
  <c r="G47" i="10"/>
  <c r="D47" i="3"/>
  <c r="I47" i="2"/>
  <c r="T41" i="3"/>
  <c r="J58" i="7" l="1"/>
  <c r="AU30" i="8"/>
  <c r="O59" i="7"/>
  <c r="S58" i="7"/>
  <c r="C58" i="8" s="1"/>
  <c r="AA41" i="3"/>
  <c r="K41" i="10" s="1"/>
  <c r="Z41" i="3"/>
  <c r="Z30" i="8"/>
  <c r="AB30" i="8" s="1"/>
  <c r="AK30" i="8"/>
  <c r="T30" i="8"/>
  <c r="V30" i="8" s="1"/>
  <c r="M47" i="2"/>
  <c r="J47" i="2"/>
  <c r="AB41" i="3"/>
  <c r="L41" i="10" s="1"/>
  <c r="K58" i="7" l="1"/>
  <c r="AT30" i="8"/>
  <c r="P59" i="7"/>
  <c r="Q59" i="7" s="1"/>
  <c r="G42" i="3"/>
  <c r="AC30" i="8"/>
  <c r="AD30" i="8" s="1"/>
  <c r="AL30" i="8" s="1"/>
  <c r="AP30" i="8" s="1"/>
  <c r="F31" i="8" s="1"/>
  <c r="J41" i="10"/>
  <c r="F47" i="10"/>
  <c r="C47" i="3"/>
  <c r="D47" i="10"/>
  <c r="B48" i="2"/>
  <c r="L58" i="7" l="1"/>
  <c r="V58" i="7" s="1"/>
  <c r="T58" i="7"/>
  <c r="D58" i="8" s="1"/>
  <c r="Y59" i="7"/>
  <c r="E59" i="8"/>
  <c r="E59" i="7"/>
  <c r="M59" i="7" s="1"/>
  <c r="AE30" i="8"/>
  <c r="AF30" i="8" s="1"/>
  <c r="AM30" i="8" s="1"/>
  <c r="H42" i="3"/>
  <c r="C48" i="2"/>
  <c r="D48" i="2"/>
  <c r="K48" i="2"/>
  <c r="C48" i="10"/>
  <c r="Z58" i="7" l="1"/>
  <c r="AA58" i="7" s="1"/>
  <c r="B58" i="7" s="1"/>
  <c r="B58" i="8" s="1"/>
  <c r="U58" i="8" s="1"/>
  <c r="U58" i="7"/>
  <c r="N59" i="7"/>
  <c r="W59" i="7" s="1"/>
  <c r="F60" i="7" s="1"/>
  <c r="AG30" i="8"/>
  <c r="AH30" i="8" s="1"/>
  <c r="AN30" i="8" s="1"/>
  <c r="AR30" i="8" s="1"/>
  <c r="H31" i="8" s="1"/>
  <c r="AQ30" i="8"/>
  <c r="G31" i="8" s="1"/>
  <c r="I42" i="3"/>
  <c r="L42" i="3" s="1"/>
  <c r="M42" i="3"/>
  <c r="L48" i="2"/>
  <c r="E48" i="2"/>
  <c r="W58" i="8" l="1"/>
  <c r="X58" i="7"/>
  <c r="C59" i="7" s="1"/>
  <c r="R59" i="7" s="1"/>
  <c r="D59" i="7"/>
  <c r="O60" i="7"/>
  <c r="I31" i="8"/>
  <c r="AO30" i="8"/>
  <c r="Q42" i="3"/>
  <c r="J42" i="3"/>
  <c r="K42" i="3" s="1"/>
  <c r="F48" i="2"/>
  <c r="E48" i="10"/>
  <c r="B48" i="3"/>
  <c r="H59" i="7" l="1"/>
  <c r="I59" i="7"/>
  <c r="AB58" i="7"/>
  <c r="P60" i="7"/>
  <c r="Q60" i="7" s="1"/>
  <c r="O31" i="8"/>
  <c r="J31" i="8"/>
  <c r="N31" i="8" s="1"/>
  <c r="R31" i="8" s="1"/>
  <c r="AS30" i="8"/>
  <c r="AC42" i="3"/>
  <c r="M42" i="10" s="1"/>
  <c r="U42" i="3"/>
  <c r="N42" i="3"/>
  <c r="G48" i="2"/>
  <c r="H48" i="2" s="1"/>
  <c r="S59" i="7" l="1"/>
  <c r="C59" i="8" s="1"/>
  <c r="J59" i="7"/>
  <c r="Y60" i="7"/>
  <c r="E60" i="8"/>
  <c r="K59" i="7"/>
  <c r="K31" i="8"/>
  <c r="M31" i="8" s="1"/>
  <c r="X42" i="3"/>
  <c r="V42" i="3"/>
  <c r="Y42" i="3" s="1"/>
  <c r="O42" i="3"/>
  <c r="I48" i="2"/>
  <c r="G48" i="10"/>
  <c r="D48" i="3"/>
  <c r="T59" i="7" l="1"/>
  <c r="D59" i="8" s="1"/>
  <c r="L59" i="7"/>
  <c r="V59" i="7" s="1"/>
  <c r="AI31" i="8"/>
  <c r="P31" i="8"/>
  <c r="Q31" i="8" s="1"/>
  <c r="X31" i="8"/>
  <c r="L31" i="8"/>
  <c r="E43" i="3"/>
  <c r="H42" i="10"/>
  <c r="I42" i="10"/>
  <c r="F43" i="3"/>
  <c r="R42" i="3"/>
  <c r="S42" i="3" s="1"/>
  <c r="W42" i="3"/>
  <c r="Z42" i="3" s="1"/>
  <c r="P42" i="3"/>
  <c r="M48" i="2"/>
  <c r="J48" i="2"/>
  <c r="U59" i="7" l="1"/>
  <c r="E60" i="7"/>
  <c r="M60" i="7" s="1"/>
  <c r="Z59" i="7"/>
  <c r="AA59" i="7" s="1"/>
  <c r="B59" i="7" s="1"/>
  <c r="B59" i="8" s="1"/>
  <c r="AJ31" i="8"/>
  <c r="S31" i="8"/>
  <c r="Y31" i="8"/>
  <c r="AA31" i="8" s="1"/>
  <c r="AU31" i="8"/>
  <c r="AA42" i="3"/>
  <c r="K42" i="10" s="1"/>
  <c r="G43" i="3"/>
  <c r="J42" i="10"/>
  <c r="T42" i="3"/>
  <c r="AB42" i="3" s="1"/>
  <c r="L42" i="10" s="1"/>
  <c r="F48" i="10"/>
  <c r="C48" i="3"/>
  <c r="D48" i="10"/>
  <c r="B49" i="2"/>
  <c r="N60" i="7" l="1"/>
  <c r="W60" i="7" s="1"/>
  <c r="F61" i="7" s="1"/>
  <c r="D60" i="7"/>
  <c r="X59" i="7"/>
  <c r="U59" i="8"/>
  <c r="W59" i="8" s="1"/>
  <c r="H43" i="3"/>
  <c r="M43" i="3"/>
  <c r="Z31" i="8"/>
  <c r="AB31" i="8" s="1"/>
  <c r="T31" i="8"/>
  <c r="V31" i="8" s="1"/>
  <c r="AK31" i="8"/>
  <c r="I60" i="7"/>
  <c r="H60" i="7"/>
  <c r="AB59" i="7"/>
  <c r="C60" i="7"/>
  <c r="R60" i="7" s="1"/>
  <c r="O61" i="7"/>
  <c r="C49" i="2"/>
  <c r="D49" i="2"/>
  <c r="K49" i="2"/>
  <c r="C49" i="10"/>
  <c r="I43" i="3" l="1"/>
  <c r="L43" i="3" s="1"/>
  <c r="AC31" i="8"/>
  <c r="AD31" i="8" s="1"/>
  <c r="J60" i="7"/>
  <c r="AT31" i="8"/>
  <c r="P61" i="7"/>
  <c r="Q61" i="7" s="1"/>
  <c r="E49" i="2"/>
  <c r="F49" i="2" s="1"/>
  <c r="L49" i="2"/>
  <c r="S60" i="7"/>
  <c r="C60" i="8" s="1"/>
  <c r="K60" i="7" l="1"/>
  <c r="J43" i="3"/>
  <c r="K43" i="3" s="1"/>
  <c r="Q43" i="3"/>
  <c r="AE31" i="8"/>
  <c r="AL31" i="8"/>
  <c r="B49" i="3"/>
  <c r="E49" i="10"/>
  <c r="G49" i="2"/>
  <c r="H49" i="2" s="1"/>
  <c r="Y61" i="7"/>
  <c r="E61" i="8"/>
  <c r="T60" i="7"/>
  <c r="D60" i="8" s="1"/>
  <c r="AF31" i="8" l="1"/>
  <c r="AM31" i="8" s="1"/>
  <c r="AQ31" i="8" s="1"/>
  <c r="G32" i="8" s="1"/>
  <c r="L60" i="7"/>
  <c r="V60" i="7" s="1"/>
  <c r="AP31" i="8"/>
  <c r="F32" i="8" s="1"/>
  <c r="AG31" i="8"/>
  <c r="AH31" i="8" s="1"/>
  <c r="AN31" i="8" s="1"/>
  <c r="AR31" i="8" s="1"/>
  <c r="H32" i="8" s="1"/>
  <c r="U43" i="3"/>
  <c r="N43" i="3"/>
  <c r="AC43" i="3"/>
  <c r="M43" i="10" s="1"/>
  <c r="E61" i="7"/>
  <c r="M61" i="7" s="1"/>
  <c r="U60" i="7"/>
  <c r="Z60" i="7"/>
  <c r="AA60" i="7" s="1"/>
  <c r="B60" i="7" s="1"/>
  <c r="B60" i="8" s="1"/>
  <c r="I49" i="2"/>
  <c r="D49" i="3"/>
  <c r="G49" i="10"/>
  <c r="N61" i="7" l="1"/>
  <c r="W61" i="7" s="1"/>
  <c r="F62" i="7" s="1"/>
  <c r="AO31" i="8"/>
  <c r="I32" i="8"/>
  <c r="X43" i="3"/>
  <c r="V43" i="3"/>
  <c r="Y43" i="3" s="1"/>
  <c r="O43" i="3"/>
  <c r="X60" i="7"/>
  <c r="D61" i="7"/>
  <c r="H61" i="7" s="1"/>
  <c r="U60" i="8"/>
  <c r="W60" i="8" s="1"/>
  <c r="M49" i="2"/>
  <c r="J49" i="2"/>
  <c r="I61" i="7"/>
  <c r="O62" i="7"/>
  <c r="P43" i="3"/>
  <c r="AS31" i="8"/>
  <c r="J32" i="8" l="1"/>
  <c r="N32" i="8" s="1"/>
  <c r="R32" i="8" s="1"/>
  <c r="O32" i="8"/>
  <c r="E44" i="3"/>
  <c r="I43" i="10"/>
  <c r="R43" i="3"/>
  <c r="S43" i="3" s="1"/>
  <c r="H43" i="10"/>
  <c r="F44" i="3"/>
  <c r="W43" i="3"/>
  <c r="Z43" i="3" s="1"/>
  <c r="AB60" i="7"/>
  <c r="C61" i="7"/>
  <c r="R61" i="7" s="1"/>
  <c r="S61" i="7" s="1"/>
  <c r="C61" i="8" s="1"/>
  <c r="J61" i="7"/>
  <c r="C49" i="3"/>
  <c r="F49" i="10"/>
  <c r="D49" i="10"/>
  <c r="B50" i="2"/>
  <c r="P62" i="7"/>
  <c r="Q62" i="7" s="1"/>
  <c r="E62" i="8" s="1"/>
  <c r="K32" i="8" l="1"/>
  <c r="M32" i="8" s="1"/>
  <c r="G44" i="3"/>
  <c r="J43" i="10"/>
  <c r="T43" i="3"/>
  <c r="AA43" i="3"/>
  <c r="K43" i="10" s="1"/>
  <c r="Y62" i="7"/>
  <c r="C50" i="10"/>
  <c r="C50" i="2"/>
  <c r="K50" i="2"/>
  <c r="D50" i="2"/>
  <c r="K61" i="7"/>
  <c r="X32" i="8"/>
  <c r="AI32" i="8"/>
  <c r="P32" i="8"/>
  <c r="Q32" i="8" s="1"/>
  <c r="L32" i="8"/>
  <c r="H44" i="3"/>
  <c r="AB43" i="3"/>
  <c r="L43" i="10" s="1"/>
  <c r="L50" i="2" l="1"/>
  <c r="L61" i="7"/>
  <c r="V61" i="7" s="1"/>
  <c r="M44" i="3"/>
  <c r="E50" i="10"/>
  <c r="B50" i="3"/>
  <c r="E50" i="2"/>
  <c r="T61" i="7"/>
  <c r="D61" i="8" s="1"/>
  <c r="U61" i="7"/>
  <c r="Y32" i="8"/>
  <c r="AA32" i="8" s="1"/>
  <c r="AJ32" i="8"/>
  <c r="S32" i="8"/>
  <c r="AU32" i="8"/>
  <c r="I44" i="3"/>
  <c r="L44" i="3" s="1"/>
  <c r="F50" i="2" l="1"/>
  <c r="Z61" i="7"/>
  <c r="AA61" i="7" s="1"/>
  <c r="B61" i="7" s="1"/>
  <c r="B61" i="8" s="1"/>
  <c r="U61" i="8" s="1"/>
  <c r="W61" i="8" s="1"/>
  <c r="E62" i="7"/>
  <c r="M62" i="7"/>
  <c r="X61" i="7"/>
  <c r="D62" i="7"/>
  <c r="T32" i="8"/>
  <c r="V32" i="8" s="1"/>
  <c r="J44" i="3"/>
  <c r="K44" i="3" s="1"/>
  <c r="AK32" i="8"/>
  <c r="Z32" i="8"/>
  <c r="AB32" i="8" s="1"/>
  <c r="Q44" i="3"/>
  <c r="AB61" i="7" l="1"/>
  <c r="G50" i="2"/>
  <c r="H50" i="2" s="1"/>
  <c r="I50" i="2"/>
  <c r="C62" i="7"/>
  <c r="R62" i="7" s="1"/>
  <c r="N62" i="7"/>
  <c r="W62" i="7" s="1"/>
  <c r="F63" i="7" s="1"/>
  <c r="I62" i="7"/>
  <c r="H62" i="7"/>
  <c r="AT32" i="8"/>
  <c r="N44" i="3"/>
  <c r="U44" i="3"/>
  <c r="AC32" i="8"/>
  <c r="AC44" i="3"/>
  <c r="M44" i="10" s="1"/>
  <c r="D50" i="3" l="1"/>
  <c r="M50" i="2"/>
  <c r="J50" i="2"/>
  <c r="G50" i="10"/>
  <c r="AD32" i="8"/>
  <c r="O63" i="7"/>
  <c r="D50" i="10"/>
  <c r="F50" i="10"/>
  <c r="C50" i="3"/>
  <c r="J62" i="7"/>
  <c r="S62" i="7"/>
  <c r="C62" i="8" s="1"/>
  <c r="O44" i="3"/>
  <c r="V44" i="3"/>
  <c r="Y44" i="3" s="1"/>
  <c r="X44" i="3"/>
  <c r="B51" i="2" l="1"/>
  <c r="AE32" i="8"/>
  <c r="AL32" i="8"/>
  <c r="C51" i="2"/>
  <c r="C51" i="10"/>
  <c r="P63" i="7"/>
  <c r="Q63" i="7" s="1"/>
  <c r="D51" i="2"/>
  <c r="K51" i="2"/>
  <c r="K62" i="7"/>
  <c r="R44" i="3"/>
  <c r="S44" i="3" s="1"/>
  <c r="P44" i="3"/>
  <c r="W44" i="3"/>
  <c r="Z44" i="3" s="1"/>
  <c r="F45" i="3"/>
  <c r="I44" i="10"/>
  <c r="H44" i="10"/>
  <c r="E45" i="3"/>
  <c r="AF32" i="8"/>
  <c r="AM32" i="8" s="1"/>
  <c r="AQ32" i="8" s="1"/>
  <c r="G33" i="8" s="1"/>
  <c r="AP32" i="8" l="1"/>
  <c r="F33" i="8" s="1"/>
  <c r="Y63" i="7"/>
  <c r="E63" i="8"/>
  <c r="L51" i="2"/>
  <c r="L62" i="7"/>
  <c r="V62" i="7" s="1"/>
  <c r="E63" i="7" s="1"/>
  <c r="E51" i="2"/>
  <c r="T62" i="7"/>
  <c r="D62" i="8" s="1"/>
  <c r="AA44" i="3"/>
  <c r="K44" i="10" s="1"/>
  <c r="T44" i="3"/>
  <c r="G45" i="3"/>
  <c r="J44" i="10"/>
  <c r="AG32" i="8"/>
  <c r="AH32" i="8" s="1"/>
  <c r="AN32" i="8" s="1"/>
  <c r="AB44" i="3"/>
  <c r="L44" i="10" s="1"/>
  <c r="F51" i="2" l="1"/>
  <c r="U62" i="7"/>
  <c r="M63" i="7"/>
  <c r="B51" i="3"/>
  <c r="E51" i="10"/>
  <c r="Z62" i="7"/>
  <c r="AA62" i="7" s="1"/>
  <c r="B62" i="7" s="1"/>
  <c r="B62" i="8" s="1"/>
  <c r="U62" i="8" s="1"/>
  <c r="W62" i="8" s="1"/>
  <c r="H45" i="3"/>
  <c r="I45" i="3" s="1"/>
  <c r="L45" i="3" s="1"/>
  <c r="AO32" i="8"/>
  <c r="AR32" i="8"/>
  <c r="H33" i="8" s="1"/>
  <c r="X62" i="7" l="1"/>
  <c r="AB62" i="7" s="1"/>
  <c r="D63" i="7"/>
  <c r="N63" i="7"/>
  <c r="W63" i="7" s="1"/>
  <c r="F64" i="7" s="1"/>
  <c r="G51" i="2"/>
  <c r="H51" i="2" s="1"/>
  <c r="C63" i="7"/>
  <c r="R63" i="7" s="1"/>
  <c r="Q45" i="3"/>
  <c r="J45" i="3"/>
  <c r="K45" i="3" s="1"/>
  <c r="M45" i="3"/>
  <c r="I33" i="8"/>
  <c r="AS32" i="8"/>
  <c r="H63" i="7" l="1"/>
  <c r="I63" i="7"/>
  <c r="I51" i="2"/>
  <c r="O64" i="7"/>
  <c r="G51" i="10"/>
  <c r="D51" i="3"/>
  <c r="O33" i="8"/>
  <c r="N45" i="3"/>
  <c r="AC45" i="3"/>
  <c r="M45" i="10" s="1"/>
  <c r="U45" i="3"/>
  <c r="J33" i="8"/>
  <c r="N33" i="8" s="1"/>
  <c r="R33" i="8" s="1"/>
  <c r="P64" i="7" l="1"/>
  <c r="Q64" i="7" s="1"/>
  <c r="J51" i="2"/>
  <c r="M51" i="2"/>
  <c r="S63" i="7"/>
  <c r="C63" i="8" s="1"/>
  <c r="J63" i="7"/>
  <c r="K63" i="7"/>
  <c r="X45" i="3"/>
  <c r="V45" i="3"/>
  <c r="Y45" i="3" s="1"/>
  <c r="O45" i="3"/>
  <c r="K33" i="8"/>
  <c r="M33" i="8" s="1"/>
  <c r="Y64" i="7" l="1"/>
  <c r="D51" i="10"/>
  <c r="E64" i="8"/>
  <c r="B52" i="2"/>
  <c r="C52" i="2" s="1"/>
  <c r="F51" i="10"/>
  <c r="C51" i="3"/>
  <c r="L63" i="7"/>
  <c r="V63" i="7" s="1"/>
  <c r="D52" i="2"/>
  <c r="K52" i="2"/>
  <c r="C52" i="10"/>
  <c r="T63" i="7"/>
  <c r="D63" i="8" s="1"/>
  <c r="H45" i="10"/>
  <c r="I45" i="10"/>
  <c r="F46" i="3"/>
  <c r="P45" i="3"/>
  <c r="E46" i="3"/>
  <c r="R45" i="3"/>
  <c r="S45" i="3" s="1"/>
  <c r="W45" i="3"/>
  <c r="Z45" i="3" s="1"/>
  <c r="X33" i="8"/>
  <c r="P33" i="8"/>
  <c r="Q33" i="8" s="1"/>
  <c r="AI33" i="8"/>
  <c r="L33" i="8"/>
  <c r="Z63" i="7" l="1"/>
  <c r="AA63" i="7" s="1"/>
  <c r="B63" i="7" s="1"/>
  <c r="B63" i="8" s="1"/>
  <c r="U63" i="8" s="1"/>
  <c r="W63" i="8" s="1"/>
  <c r="E64" i="7"/>
  <c r="U63" i="7"/>
  <c r="E52" i="2"/>
  <c r="L52" i="2"/>
  <c r="X63" i="7"/>
  <c r="AA45" i="3"/>
  <c r="K45" i="10" s="1"/>
  <c r="T45" i="3"/>
  <c r="G46" i="3"/>
  <c r="J45" i="10"/>
  <c r="Y33" i="8"/>
  <c r="AA33" i="8" s="1"/>
  <c r="S33" i="8"/>
  <c r="AJ33" i="8"/>
  <c r="AU33" i="8"/>
  <c r="AB63" i="7" l="1"/>
  <c r="D64" i="7"/>
  <c r="M64" i="7"/>
  <c r="F52" i="2"/>
  <c r="B52" i="3"/>
  <c r="E52" i="10"/>
  <c r="C64" i="7"/>
  <c r="AB45" i="3"/>
  <c r="L45" i="10" s="1"/>
  <c r="H46" i="3"/>
  <c r="Z33" i="8"/>
  <c r="AB33" i="8" s="1"/>
  <c r="T33" i="8"/>
  <c r="V33" i="8" s="1"/>
  <c r="AK33" i="8"/>
  <c r="I64" i="7" l="1"/>
  <c r="H64" i="7"/>
  <c r="N64" i="7"/>
  <c r="W64" i="7" s="1"/>
  <c r="F65" i="7" s="1"/>
  <c r="G52" i="2"/>
  <c r="H52" i="2"/>
  <c r="R64" i="7"/>
  <c r="I46" i="3"/>
  <c r="L46" i="3" s="1"/>
  <c r="M46" i="3"/>
  <c r="AC33" i="8"/>
  <c r="AT33" i="8"/>
  <c r="J64" i="7" l="1"/>
  <c r="S64" i="7"/>
  <c r="C64" i="8" s="1"/>
  <c r="O65" i="7"/>
  <c r="I52" i="2"/>
  <c r="G52" i="10"/>
  <c r="D52" i="3"/>
  <c r="Q46" i="3"/>
  <c r="J46" i="3"/>
  <c r="K46" i="3" s="1"/>
  <c r="AD33" i="8"/>
  <c r="AL33" i="8" s="1"/>
  <c r="K64" i="7" l="1"/>
  <c r="T64" i="7" s="1"/>
  <c r="D64" i="8" s="1"/>
  <c r="P65" i="7"/>
  <c r="Q65" i="7" s="1"/>
  <c r="Y65" i="7" s="1"/>
  <c r="J52" i="2"/>
  <c r="M52" i="2"/>
  <c r="U46" i="3"/>
  <c r="N46" i="3"/>
  <c r="AC46" i="3"/>
  <c r="M46" i="10" s="1"/>
  <c r="AP33" i="8"/>
  <c r="F34" i="8" s="1"/>
  <c r="AE33" i="8"/>
  <c r="L64" i="7" l="1"/>
  <c r="V64" i="7" s="1"/>
  <c r="Z64" i="7" s="1"/>
  <c r="AA64" i="7" s="1"/>
  <c r="B64" i="7" s="1"/>
  <c r="B64" i="8" s="1"/>
  <c r="U64" i="8" s="1"/>
  <c r="W64" i="8" s="1"/>
  <c r="E65" i="8"/>
  <c r="D52" i="10"/>
  <c r="C52" i="3"/>
  <c r="B53" i="2"/>
  <c r="F52" i="10"/>
  <c r="V46" i="3"/>
  <c r="Y46" i="3" s="1"/>
  <c r="X46" i="3"/>
  <c r="O46" i="3"/>
  <c r="AF33" i="8"/>
  <c r="AM33" i="8" s="1"/>
  <c r="E65" i="7" l="1"/>
  <c r="M65" i="7" s="1"/>
  <c r="U64" i="7"/>
  <c r="X64" i="7"/>
  <c r="D65" i="7"/>
  <c r="C53" i="10"/>
  <c r="K53" i="2"/>
  <c r="D53" i="2"/>
  <c r="L53" i="2" s="1"/>
  <c r="C53" i="2"/>
  <c r="E53" i="2" s="1"/>
  <c r="N65" i="7"/>
  <c r="I46" i="10"/>
  <c r="W46" i="3"/>
  <c r="Z46" i="3" s="1"/>
  <c r="F47" i="3"/>
  <c r="H46" i="10"/>
  <c r="E47" i="3"/>
  <c r="R46" i="3"/>
  <c r="S46" i="3" s="1"/>
  <c r="P46" i="3"/>
  <c r="AQ33" i="8"/>
  <c r="G34" i="8" s="1"/>
  <c r="AG33" i="8"/>
  <c r="AH33" i="8" s="1"/>
  <c r="AN33" i="8" s="1"/>
  <c r="AR33" i="8" s="1"/>
  <c r="H34" i="8" s="1"/>
  <c r="C65" i="7" l="1"/>
  <c r="R65" i="7" s="1"/>
  <c r="AB64" i="7"/>
  <c r="I65" i="7"/>
  <c r="S65" i="7" s="1"/>
  <c r="C65" i="8" s="1"/>
  <c r="H65" i="7"/>
  <c r="J65" i="7" s="1"/>
  <c r="K65" i="7" s="1"/>
  <c r="T65" i="7" s="1"/>
  <c r="D65" i="8" s="1"/>
  <c r="W65" i="7"/>
  <c r="F66" i="7" s="1"/>
  <c r="F53" i="2"/>
  <c r="E53" i="10"/>
  <c r="B53" i="3"/>
  <c r="G53" i="2"/>
  <c r="G47" i="3"/>
  <c r="J46" i="10"/>
  <c r="AA46" i="3"/>
  <c r="K46" i="10" s="1"/>
  <c r="T46" i="3"/>
  <c r="AB46" i="3" s="1"/>
  <c r="L46" i="10" s="1"/>
  <c r="I34" i="8"/>
  <c r="AO33" i="8"/>
  <c r="O66" i="7" l="1"/>
  <c r="L65" i="7"/>
  <c r="V65" i="7" s="1"/>
  <c r="H47" i="3"/>
  <c r="I53" i="2"/>
  <c r="P66" i="7"/>
  <c r="Q66" i="7" s="1"/>
  <c r="H53" i="2"/>
  <c r="J34" i="8"/>
  <c r="N34" i="8" s="1"/>
  <c r="O34" i="8"/>
  <c r="AS33" i="8"/>
  <c r="U65" i="7" l="1"/>
  <c r="X65" i="7" s="1"/>
  <c r="E66" i="7"/>
  <c r="Z65" i="7"/>
  <c r="AA65" i="7" s="1"/>
  <c r="B65" i="7" s="1"/>
  <c r="B65" i="8" s="1"/>
  <c r="U65" i="8" s="1"/>
  <c r="W65" i="8" s="1"/>
  <c r="M47" i="3"/>
  <c r="I47" i="3"/>
  <c r="L47" i="3" s="1"/>
  <c r="E66" i="8"/>
  <c r="Y66" i="7"/>
  <c r="J53" i="2"/>
  <c r="M53" i="2"/>
  <c r="D53" i="3"/>
  <c r="G53" i="10"/>
  <c r="K34" i="8"/>
  <c r="M34" i="8" s="1"/>
  <c r="R34" i="8"/>
  <c r="C66" i="7" l="1"/>
  <c r="R66" i="7" s="1"/>
  <c r="D66" i="7"/>
  <c r="AB65" i="7"/>
  <c r="M66" i="7"/>
  <c r="C53" i="3"/>
  <c r="F53" i="10"/>
  <c r="B54" i="2"/>
  <c r="Q47" i="3"/>
  <c r="J47" i="3"/>
  <c r="K47" i="3" s="1"/>
  <c r="D53" i="10"/>
  <c r="AI34" i="8"/>
  <c r="X34" i="8"/>
  <c r="L34" i="8"/>
  <c r="P34" i="8"/>
  <c r="Q34" i="8" s="1"/>
  <c r="N66" i="7" l="1"/>
  <c r="W66" i="7" s="1"/>
  <c r="F67" i="7" s="1"/>
  <c r="O67" i="7" s="1"/>
  <c r="H66" i="7"/>
  <c r="I66" i="7"/>
  <c r="S66" i="7" s="1"/>
  <c r="C66" i="8" s="1"/>
  <c r="C54" i="2"/>
  <c r="D54" i="2"/>
  <c r="K54" i="2"/>
  <c r="C54" i="10"/>
  <c r="U47" i="3"/>
  <c r="N47" i="3"/>
  <c r="AC47" i="3"/>
  <c r="M47" i="10" s="1"/>
  <c r="AU34" i="8"/>
  <c r="AJ34" i="8"/>
  <c r="Y34" i="8"/>
  <c r="AA34" i="8" s="1"/>
  <c r="S34" i="8"/>
  <c r="J66" i="7" l="1"/>
  <c r="P67" i="7"/>
  <c r="Q67" i="7" s="1"/>
  <c r="V47" i="3"/>
  <c r="Y47" i="3" s="1"/>
  <c r="E54" i="2"/>
  <c r="L54" i="2"/>
  <c r="X47" i="3"/>
  <c r="Z34" i="8"/>
  <c r="AB34" i="8" s="1"/>
  <c r="O47" i="3"/>
  <c r="T34" i="8"/>
  <c r="V34" i="8" s="1"/>
  <c r="AK34" i="8"/>
  <c r="E67" i="8" l="1"/>
  <c r="K66" i="7"/>
  <c r="Y67" i="7"/>
  <c r="F54" i="2"/>
  <c r="E54" i="10"/>
  <c r="B54" i="3"/>
  <c r="AT34" i="8"/>
  <c r="P47" i="3"/>
  <c r="I47" i="10"/>
  <c r="F48" i="3"/>
  <c r="R47" i="3"/>
  <c r="S47" i="3" s="1"/>
  <c r="H47" i="10"/>
  <c r="E48" i="3"/>
  <c r="W47" i="3"/>
  <c r="Z47" i="3" s="1"/>
  <c r="AC34" i="8"/>
  <c r="AD34" i="8" s="1"/>
  <c r="G54" i="2" l="1"/>
  <c r="L66" i="7"/>
  <c r="V66" i="7" s="1"/>
  <c r="T66" i="7"/>
  <c r="D66" i="8" s="1"/>
  <c r="T47" i="3"/>
  <c r="AA47" i="3"/>
  <c r="K47" i="10" s="1"/>
  <c r="G48" i="3"/>
  <c r="J47" i="10"/>
  <c r="AL34" i="8"/>
  <c r="AE34" i="8"/>
  <c r="Z66" i="7" l="1"/>
  <c r="AA66" i="7" s="1"/>
  <c r="B66" i="7" s="1"/>
  <c r="B66" i="8" s="1"/>
  <c r="U66" i="8" s="1"/>
  <c r="W66" i="8" s="1"/>
  <c r="E67" i="7"/>
  <c r="U66" i="7"/>
  <c r="I54" i="2"/>
  <c r="H54" i="2"/>
  <c r="AB47" i="3"/>
  <c r="L47" i="10" s="1"/>
  <c r="AF34" i="8"/>
  <c r="AM34" i="8" s="1"/>
  <c r="AQ34" i="8" s="1"/>
  <c r="G35" i="8" s="1"/>
  <c r="AP34" i="8"/>
  <c r="F35" i="8" s="1"/>
  <c r="H48" i="3"/>
  <c r="M67" i="7" l="1"/>
  <c r="X66" i="7"/>
  <c r="D67" i="7"/>
  <c r="M54" i="2"/>
  <c r="J54" i="2"/>
  <c r="D54" i="3"/>
  <c r="G54" i="10"/>
  <c r="AG34" i="8"/>
  <c r="AH34" i="8" s="1"/>
  <c r="AN34" i="8" s="1"/>
  <c r="I48" i="3"/>
  <c r="L48" i="3" s="1"/>
  <c r="M48" i="3"/>
  <c r="I67" i="7"/>
  <c r="H67" i="7"/>
  <c r="C67" i="7" l="1"/>
  <c r="R67" i="7" s="1"/>
  <c r="S67" i="7" s="1"/>
  <c r="C67" i="8" s="1"/>
  <c r="AB66" i="7"/>
  <c r="N67" i="7"/>
  <c r="W67" i="7" s="1"/>
  <c r="F68" i="7" s="1"/>
  <c r="F54" i="10"/>
  <c r="C54" i="3"/>
  <c r="D54" i="10"/>
  <c r="B55" i="2"/>
  <c r="AO34" i="8"/>
  <c r="AR34" i="8"/>
  <c r="H35" i="8" s="1"/>
  <c r="J67" i="7"/>
  <c r="Q48" i="3"/>
  <c r="C55" i="2"/>
  <c r="D55" i="2"/>
  <c r="J48" i="3"/>
  <c r="K48" i="3" s="1"/>
  <c r="K55" i="2"/>
  <c r="C55" i="10" l="1"/>
  <c r="O68" i="7"/>
  <c r="U48" i="3"/>
  <c r="N48" i="3"/>
  <c r="L55" i="2"/>
  <c r="AC48" i="3"/>
  <c r="M48" i="10" s="1"/>
  <c r="AS34" i="8"/>
  <c r="I35" i="8"/>
  <c r="J35" i="8" s="1"/>
  <c r="N35" i="8" s="1"/>
  <c r="R35" i="8" s="1"/>
  <c r="E55" i="2"/>
  <c r="K67" i="7"/>
  <c r="X48" i="3"/>
  <c r="P68" i="7"/>
  <c r="Q68" i="7" s="1"/>
  <c r="K35" i="8"/>
  <c r="M35" i="8" s="1"/>
  <c r="V48" i="3"/>
  <c r="Y48" i="3" s="1"/>
  <c r="F55" i="2" l="1"/>
  <c r="O48" i="3"/>
  <c r="E55" i="10"/>
  <c r="B55" i="3"/>
  <c r="O35" i="8"/>
  <c r="L67" i="7"/>
  <c r="V67" i="7" s="1"/>
  <c r="T67" i="7"/>
  <c r="D67" i="8" s="1"/>
  <c r="E49" i="3"/>
  <c r="H48" i="10"/>
  <c r="Y68" i="7"/>
  <c r="E68" i="8"/>
  <c r="G55" i="2"/>
  <c r="P35" i="8"/>
  <c r="Q35" i="8" s="1"/>
  <c r="AI35" i="8"/>
  <c r="L35" i="8"/>
  <c r="X35" i="8"/>
  <c r="I48" i="10"/>
  <c r="F49" i="3"/>
  <c r="W48" i="3"/>
  <c r="Z48" i="3" s="1"/>
  <c r="P48" i="3" l="1"/>
  <c r="R48" i="3"/>
  <c r="S48" i="3" s="1"/>
  <c r="U67" i="7"/>
  <c r="E68" i="7"/>
  <c r="M68" i="7" s="1"/>
  <c r="Z67" i="7"/>
  <c r="AA67" i="7" s="1"/>
  <c r="B67" i="7" s="1"/>
  <c r="B67" i="8" s="1"/>
  <c r="U67" i="8" s="1"/>
  <c r="W67" i="8" s="1"/>
  <c r="H55" i="2"/>
  <c r="I55" i="2"/>
  <c r="S35" i="8"/>
  <c r="AJ35" i="8"/>
  <c r="AU35" i="8"/>
  <c r="Y35" i="8"/>
  <c r="AA35" i="8" s="1"/>
  <c r="J48" i="10"/>
  <c r="G49" i="3"/>
  <c r="T48" i="3"/>
  <c r="AA48" i="3"/>
  <c r="K48" i="10" s="1"/>
  <c r="X67" i="7" l="1"/>
  <c r="D68" i="7"/>
  <c r="N68" i="7"/>
  <c r="W68" i="7" s="1"/>
  <c r="F69" i="7" s="1"/>
  <c r="T35" i="8"/>
  <c r="V35" i="8" s="1"/>
  <c r="AT35" i="8" s="1"/>
  <c r="D55" i="3"/>
  <c r="G55" i="10"/>
  <c r="M55" i="2"/>
  <c r="J55" i="2"/>
  <c r="AK35" i="8"/>
  <c r="Z35" i="8"/>
  <c r="AB35" i="8" s="1"/>
  <c r="AB48" i="3"/>
  <c r="L48" i="10" s="1"/>
  <c r="H49" i="3"/>
  <c r="AB67" i="7" l="1"/>
  <c r="C68" i="7"/>
  <c r="R68" i="7" s="1"/>
  <c r="F55" i="10"/>
  <c r="C55" i="3"/>
  <c r="O69" i="7"/>
  <c r="I68" i="7"/>
  <c r="H68" i="7"/>
  <c r="J68" i="7" s="1"/>
  <c r="D55" i="10"/>
  <c r="B56" i="2"/>
  <c r="AC35" i="8"/>
  <c r="AD35" i="8" s="1"/>
  <c r="I49" i="3"/>
  <c r="L49" i="3" s="1"/>
  <c r="M49" i="3"/>
  <c r="P69" i="7" l="1"/>
  <c r="Q69" i="7" s="1"/>
  <c r="K68" i="7"/>
  <c r="S68" i="7"/>
  <c r="C68" i="8" s="1"/>
  <c r="D56" i="2"/>
  <c r="C56" i="2"/>
  <c r="K56" i="2"/>
  <c r="C56" i="10"/>
  <c r="AE35" i="8"/>
  <c r="AL35" i="8"/>
  <c r="Q49" i="3"/>
  <c r="J49" i="3"/>
  <c r="K49" i="3" s="1"/>
  <c r="E69" i="8" l="1"/>
  <c r="Y69" i="7"/>
  <c r="E56" i="2"/>
  <c r="L68" i="7"/>
  <c r="V68" i="7" s="1"/>
  <c r="T68" i="7"/>
  <c r="D68" i="8" s="1"/>
  <c r="L56" i="2"/>
  <c r="AF35" i="8"/>
  <c r="AM35" i="8" s="1"/>
  <c r="AQ35" i="8" s="1"/>
  <c r="G36" i="8" s="1"/>
  <c r="AP35" i="8"/>
  <c r="F36" i="8" s="1"/>
  <c r="U49" i="3"/>
  <c r="N49" i="3"/>
  <c r="AC49" i="3"/>
  <c r="M49" i="10" s="1"/>
  <c r="U68" i="7" l="1"/>
  <c r="E69" i="7"/>
  <c r="Z68" i="7"/>
  <c r="AA68" i="7" s="1"/>
  <c r="B68" i="7" s="1"/>
  <c r="B68" i="8" s="1"/>
  <c r="U68" i="8" s="1"/>
  <c r="W68" i="8" s="1"/>
  <c r="E56" i="10"/>
  <c r="F56" i="2"/>
  <c r="B56" i="3"/>
  <c r="AG35" i="8"/>
  <c r="AH35" i="8" s="1"/>
  <c r="AN35" i="8" s="1"/>
  <c r="AR35" i="8" s="1"/>
  <c r="H36" i="8" s="1"/>
  <c r="X49" i="3"/>
  <c r="V49" i="3"/>
  <c r="Y49" i="3" s="1"/>
  <c r="O49" i="3"/>
  <c r="D69" i="7" l="1"/>
  <c r="M69" i="7"/>
  <c r="X68" i="7"/>
  <c r="G56" i="2"/>
  <c r="I69" i="7"/>
  <c r="AO35" i="8"/>
  <c r="I36" i="8"/>
  <c r="E50" i="3"/>
  <c r="H49" i="10"/>
  <c r="P49" i="3"/>
  <c r="I49" i="10"/>
  <c r="F50" i="3"/>
  <c r="R49" i="3"/>
  <c r="S49" i="3" s="1"/>
  <c r="W49" i="3"/>
  <c r="H69" i="7" l="1"/>
  <c r="C69" i="7"/>
  <c r="R69" i="7" s="1"/>
  <c r="N69" i="7"/>
  <c r="W69" i="7" s="1"/>
  <c r="F70" i="7" s="1"/>
  <c r="AB68" i="7"/>
  <c r="I56" i="2"/>
  <c r="H56" i="2"/>
  <c r="AS35" i="8"/>
  <c r="J36" i="8"/>
  <c r="N36" i="8" s="1"/>
  <c r="R36" i="8" s="1"/>
  <c r="S69" i="7"/>
  <c r="C69" i="8" s="1"/>
  <c r="O36" i="8"/>
  <c r="O70" i="7"/>
  <c r="K36" i="8"/>
  <c r="M36" i="8" s="1"/>
  <c r="AA49" i="3"/>
  <c r="K49" i="10" s="1"/>
  <c r="Z49" i="3"/>
  <c r="T49" i="3"/>
  <c r="J69" i="7" l="1"/>
  <c r="J56" i="2"/>
  <c r="M56" i="2"/>
  <c r="D56" i="3"/>
  <c r="G56" i="10"/>
  <c r="K69" i="7"/>
  <c r="T69" i="7" s="1"/>
  <c r="D69" i="8" s="1"/>
  <c r="P70" i="7"/>
  <c r="Q70" i="7" s="1"/>
  <c r="P36" i="8"/>
  <c r="Q36" i="8" s="1"/>
  <c r="AI36" i="8"/>
  <c r="L36" i="8"/>
  <c r="X36" i="8"/>
  <c r="AB49" i="3"/>
  <c r="L49" i="10" s="1"/>
  <c r="J49" i="10"/>
  <c r="G50" i="3"/>
  <c r="B57" i="2" l="1"/>
  <c r="D56" i="10"/>
  <c r="F56" i="10"/>
  <c r="C56" i="3"/>
  <c r="AU36" i="8"/>
  <c r="L69" i="7"/>
  <c r="V69" i="7" s="1"/>
  <c r="Y70" i="7"/>
  <c r="E70" i="8"/>
  <c r="AJ36" i="8"/>
  <c r="Y36" i="8"/>
  <c r="AA36" i="8" s="1"/>
  <c r="S36" i="8"/>
  <c r="H50" i="3"/>
  <c r="D57" i="2" l="1"/>
  <c r="C57" i="2"/>
  <c r="E57" i="2" s="1"/>
  <c r="C57" i="10"/>
  <c r="K57" i="2"/>
  <c r="Z69" i="7"/>
  <c r="AA69" i="7" s="1"/>
  <c r="B69" i="7" s="1"/>
  <c r="B69" i="8" s="1"/>
  <c r="U69" i="8" s="1"/>
  <c r="W69" i="8" s="1"/>
  <c r="E70" i="7"/>
  <c r="U69" i="7"/>
  <c r="M70" i="7"/>
  <c r="T36" i="8"/>
  <c r="V36" i="8" s="1"/>
  <c r="AT36" i="8" s="1"/>
  <c r="Z36" i="8"/>
  <c r="AB36" i="8" s="1"/>
  <c r="AK36" i="8"/>
  <c r="M50" i="3"/>
  <c r="I50" i="3"/>
  <c r="L50" i="3" s="1"/>
  <c r="D70" i="7" l="1"/>
  <c r="X69" i="7"/>
  <c r="F57" i="2"/>
  <c r="G57" i="2"/>
  <c r="H57" i="2" s="1"/>
  <c r="L57" i="2"/>
  <c r="N70" i="7"/>
  <c r="W70" i="7" s="1"/>
  <c r="F71" i="7" s="1"/>
  <c r="D57" i="3"/>
  <c r="I57" i="2"/>
  <c r="AC36" i="8"/>
  <c r="AD36" i="8" s="1"/>
  <c r="AL36" i="8" s="1"/>
  <c r="Q50" i="3"/>
  <c r="J50" i="3"/>
  <c r="K50" i="3" s="1"/>
  <c r="G57" i="10" l="1"/>
  <c r="I70" i="7"/>
  <c r="H70" i="7"/>
  <c r="AB69" i="7"/>
  <c r="C70" i="7"/>
  <c r="R70" i="7" s="1"/>
  <c r="E57" i="10"/>
  <c r="B57" i="3"/>
  <c r="AP36" i="8"/>
  <c r="F37" i="8" s="1"/>
  <c r="O71" i="7"/>
  <c r="M57" i="2"/>
  <c r="J57" i="2"/>
  <c r="AE36" i="8"/>
  <c r="AC50" i="3"/>
  <c r="M50" i="10" s="1"/>
  <c r="U50" i="3"/>
  <c r="N50" i="3"/>
  <c r="J70" i="7" l="1"/>
  <c r="S70" i="7"/>
  <c r="C70" i="8" s="1"/>
  <c r="X50" i="3"/>
  <c r="P71" i="7"/>
  <c r="Q71" i="7" s="1"/>
  <c r="AF36" i="8"/>
  <c r="AM36" i="8" s="1"/>
  <c r="F57" i="10"/>
  <c r="B58" i="2"/>
  <c r="C57" i="3"/>
  <c r="D57" i="10"/>
  <c r="V50" i="3"/>
  <c r="Y50" i="3" s="1"/>
  <c r="O50" i="3"/>
  <c r="K70" i="7" l="1"/>
  <c r="T70" i="7" s="1"/>
  <c r="D70" i="8" s="1"/>
  <c r="E51" i="3"/>
  <c r="H50" i="10"/>
  <c r="P50" i="3"/>
  <c r="Y71" i="7"/>
  <c r="E71" i="8"/>
  <c r="AQ36" i="8"/>
  <c r="G37" i="8" s="1"/>
  <c r="AG36" i="8"/>
  <c r="AH36" i="8" s="1"/>
  <c r="AN36" i="8" s="1"/>
  <c r="AR36" i="8" s="1"/>
  <c r="H37" i="8" s="1"/>
  <c r="C58" i="2"/>
  <c r="D58" i="2"/>
  <c r="K58" i="2"/>
  <c r="C58" i="10"/>
  <c r="L70" i="7"/>
  <c r="V70" i="7" s="1"/>
  <c r="I50" i="10"/>
  <c r="F51" i="3"/>
  <c r="R50" i="3"/>
  <c r="S50" i="3" s="1"/>
  <c r="W50" i="3"/>
  <c r="Z50" i="3" s="1"/>
  <c r="Z70" i="7" l="1"/>
  <c r="AA70" i="7" s="1"/>
  <c r="B70" i="7" s="1"/>
  <c r="B70" i="8" s="1"/>
  <c r="U70" i="8" s="1"/>
  <c r="W70" i="8" s="1"/>
  <c r="E71" i="7"/>
  <c r="I37" i="8"/>
  <c r="AO36" i="8"/>
  <c r="AS36" i="8" s="1"/>
  <c r="E58" i="2"/>
  <c r="L58" i="2"/>
  <c r="U70" i="7"/>
  <c r="AA50" i="3"/>
  <c r="K50" i="10" s="1"/>
  <c r="G51" i="3"/>
  <c r="J50" i="10"/>
  <c r="T50" i="3"/>
  <c r="M71" i="7" l="1"/>
  <c r="D71" i="7"/>
  <c r="X70" i="7"/>
  <c r="O37" i="8"/>
  <c r="F58" i="2"/>
  <c r="J37" i="8"/>
  <c r="N37" i="8" s="1"/>
  <c r="R37" i="8" s="1"/>
  <c r="E58" i="10"/>
  <c r="B58" i="3"/>
  <c r="H51" i="3"/>
  <c r="AB50" i="3"/>
  <c r="L50" i="10" s="1"/>
  <c r="G58" i="2" l="1"/>
  <c r="H58" i="2" s="1"/>
  <c r="K37" i="8"/>
  <c r="M37" i="8" s="1"/>
  <c r="N71" i="7"/>
  <c r="W71" i="7" s="1"/>
  <c r="F72" i="7" s="1"/>
  <c r="I71" i="7"/>
  <c r="H71" i="7"/>
  <c r="AB70" i="7"/>
  <c r="C71" i="7"/>
  <c r="R71" i="7" s="1"/>
  <c r="M51" i="3"/>
  <c r="I51" i="3"/>
  <c r="L51" i="3" s="1"/>
  <c r="J71" i="7" l="1"/>
  <c r="O72" i="7"/>
  <c r="G58" i="10"/>
  <c r="D58" i="3"/>
  <c r="I58" i="2"/>
  <c r="X37" i="8"/>
  <c r="P37" i="8"/>
  <c r="Q37" i="8" s="1"/>
  <c r="AI37" i="8"/>
  <c r="L37" i="8"/>
  <c r="S71" i="7"/>
  <c r="C71" i="8" s="1"/>
  <c r="Q51" i="3"/>
  <c r="J51" i="3"/>
  <c r="K51" i="3" s="1"/>
  <c r="K71" i="7" l="1"/>
  <c r="T71" i="7" s="1"/>
  <c r="D71" i="8" s="1"/>
  <c r="AJ37" i="8"/>
  <c r="P72" i="7"/>
  <c r="Q72" i="7" s="1"/>
  <c r="J58" i="2"/>
  <c r="S37" i="8"/>
  <c r="M58" i="2"/>
  <c r="Y37" i="8"/>
  <c r="AA37" i="8" s="1"/>
  <c r="AU37" i="8"/>
  <c r="U51" i="3"/>
  <c r="N51" i="3"/>
  <c r="AC51" i="3"/>
  <c r="M51" i="10" s="1"/>
  <c r="L71" i="7" l="1"/>
  <c r="V71" i="7" s="1"/>
  <c r="E72" i="7" s="1"/>
  <c r="Y72" i="7"/>
  <c r="T37" i="8"/>
  <c r="V37" i="8" s="1"/>
  <c r="E72" i="8"/>
  <c r="B59" i="2"/>
  <c r="AK37" i="8"/>
  <c r="Z37" i="8"/>
  <c r="AB37" i="8" s="1"/>
  <c r="D58" i="10"/>
  <c r="C58" i="3"/>
  <c r="F58" i="10"/>
  <c r="X51" i="3"/>
  <c r="V51" i="3"/>
  <c r="Y51" i="3" s="1"/>
  <c r="O51" i="3"/>
  <c r="Z71" i="7" l="1"/>
  <c r="AA71" i="7" s="1"/>
  <c r="B71" i="7" s="1"/>
  <c r="B71" i="8" s="1"/>
  <c r="U71" i="8" s="1"/>
  <c r="W71" i="8" s="1"/>
  <c r="U71" i="7"/>
  <c r="D72" i="7" s="1"/>
  <c r="M72" i="7"/>
  <c r="C59" i="10"/>
  <c r="K59" i="2"/>
  <c r="D59" i="2"/>
  <c r="L59" i="2" s="1"/>
  <c r="C59" i="2"/>
  <c r="AT37" i="8"/>
  <c r="AC37" i="8"/>
  <c r="P51" i="3"/>
  <c r="E52" i="3"/>
  <c r="H51" i="10"/>
  <c r="I51" i="10"/>
  <c r="F52" i="3"/>
  <c r="R51" i="3"/>
  <c r="S51" i="3" s="1"/>
  <c r="W51" i="3"/>
  <c r="Z51" i="3" s="1"/>
  <c r="H72" i="7" l="1"/>
  <c r="I72" i="7"/>
  <c r="E59" i="2"/>
  <c r="X71" i="7"/>
  <c r="AB71" i="7" s="1"/>
  <c r="N72" i="7"/>
  <c r="W72" i="7" s="1"/>
  <c r="F73" i="7" s="1"/>
  <c r="E59" i="10"/>
  <c r="B59" i="3"/>
  <c r="AD37" i="8"/>
  <c r="T51" i="3"/>
  <c r="G52" i="3"/>
  <c r="J51" i="10"/>
  <c r="AA51" i="3"/>
  <c r="K51" i="10" s="1"/>
  <c r="C72" i="7" l="1"/>
  <c r="R72" i="7" s="1"/>
  <c r="S72" i="7" s="1"/>
  <c r="C72" i="8" s="1"/>
  <c r="O73" i="7"/>
  <c r="J72" i="7"/>
  <c r="F59" i="2"/>
  <c r="AE37" i="8"/>
  <c r="AF37" i="8" s="1"/>
  <c r="AM37" i="8" s="1"/>
  <c r="AQ37" i="8" s="1"/>
  <c r="G38" i="8" s="1"/>
  <c r="AL37" i="8"/>
  <c r="P73" i="7"/>
  <c r="Q73" i="7" s="1"/>
  <c r="K72" i="7"/>
  <c r="T72" i="7" s="1"/>
  <c r="D72" i="8" s="1"/>
  <c r="AP37" i="8"/>
  <c r="F38" i="8" s="1"/>
  <c r="G59" i="2"/>
  <c r="H59" i="2" s="1"/>
  <c r="AB51" i="3"/>
  <c r="L51" i="10" s="1"/>
  <c r="AG37" i="8"/>
  <c r="AH37" i="8" s="1"/>
  <c r="AN37" i="8" s="1"/>
  <c r="AR37" i="8" s="1"/>
  <c r="H38" i="8" s="1"/>
  <c r="H52" i="3"/>
  <c r="Y73" i="7" l="1"/>
  <c r="E73" i="8"/>
  <c r="I59" i="2"/>
  <c r="L72" i="7"/>
  <c r="V72" i="7" s="1"/>
  <c r="G59" i="10"/>
  <c r="D59" i="3"/>
  <c r="M52" i="3"/>
  <c r="I38" i="8"/>
  <c r="AO37" i="8"/>
  <c r="I52" i="3"/>
  <c r="L52" i="3" s="1"/>
  <c r="E73" i="7" l="1"/>
  <c r="Z72" i="7"/>
  <c r="AA72" i="7" s="1"/>
  <c r="B72" i="7" s="1"/>
  <c r="B72" i="8" s="1"/>
  <c r="U72" i="8" s="1"/>
  <c r="W72" i="8" s="1"/>
  <c r="J59" i="2"/>
  <c r="U72" i="7"/>
  <c r="M59" i="2"/>
  <c r="O38" i="8"/>
  <c r="AS37" i="8"/>
  <c r="J38" i="8"/>
  <c r="N38" i="8" s="1"/>
  <c r="R38" i="8" s="1"/>
  <c r="Q52" i="3"/>
  <c r="J52" i="3"/>
  <c r="K52" i="3" s="1"/>
  <c r="B60" i="2" l="1"/>
  <c r="D59" i="10"/>
  <c r="C59" i="3"/>
  <c r="F59" i="10"/>
  <c r="M73" i="7"/>
  <c r="X72" i="7"/>
  <c r="D73" i="7"/>
  <c r="H73" i="7"/>
  <c r="I73" i="7"/>
  <c r="K38" i="8"/>
  <c r="U52" i="3"/>
  <c r="N52" i="3"/>
  <c r="AC52" i="3"/>
  <c r="M52" i="10" s="1"/>
  <c r="C60" i="10" l="1"/>
  <c r="K60" i="2"/>
  <c r="C60" i="2"/>
  <c r="D60" i="2"/>
  <c r="AB72" i="7"/>
  <c r="C73" i="7"/>
  <c r="N73" i="7"/>
  <c r="W73" i="7" s="1"/>
  <c r="F74" i="7" s="1"/>
  <c r="J73" i="7"/>
  <c r="L38" i="8"/>
  <c r="M38" i="8"/>
  <c r="X52" i="3"/>
  <c r="V52" i="3"/>
  <c r="Y52" i="3" s="1"/>
  <c r="O52" i="3"/>
  <c r="E60" i="2" l="1"/>
  <c r="L60" i="2"/>
  <c r="F60" i="2"/>
  <c r="R73" i="7"/>
  <c r="S73" i="7" s="1"/>
  <c r="C73" i="8" s="1"/>
  <c r="O74" i="7"/>
  <c r="K73" i="7"/>
  <c r="G60" i="2"/>
  <c r="H60" i="2" s="1"/>
  <c r="P52" i="3"/>
  <c r="AU38" i="8"/>
  <c r="X38" i="8"/>
  <c r="AI38" i="8"/>
  <c r="P38" i="8"/>
  <c r="Q38" i="8" s="1"/>
  <c r="E53" i="3"/>
  <c r="H52" i="10"/>
  <c r="I52" i="10"/>
  <c r="F53" i="3"/>
  <c r="R52" i="3"/>
  <c r="S52" i="3" s="1"/>
  <c r="W52" i="3"/>
  <c r="Z52" i="3" s="1"/>
  <c r="B60" i="3" l="1"/>
  <c r="P74" i="7"/>
  <c r="Q74" i="7" s="1"/>
  <c r="E60" i="10"/>
  <c r="L73" i="7"/>
  <c r="T73" i="7"/>
  <c r="D73" i="8" s="1"/>
  <c r="I60" i="2"/>
  <c r="G60" i="10"/>
  <c r="D60" i="3"/>
  <c r="Y38" i="8"/>
  <c r="AA38" i="8" s="1"/>
  <c r="AJ38" i="8"/>
  <c r="S38" i="8"/>
  <c r="G53" i="3"/>
  <c r="J52" i="10"/>
  <c r="AA52" i="3"/>
  <c r="K52" i="10" s="1"/>
  <c r="T52" i="3"/>
  <c r="Y74" i="7" l="1"/>
  <c r="E74" i="8"/>
  <c r="U73" i="7"/>
  <c r="V73" i="7"/>
  <c r="J60" i="2"/>
  <c r="M60" i="2"/>
  <c r="Z38" i="8"/>
  <c r="AB38" i="8" s="1"/>
  <c r="AK38" i="8"/>
  <c r="T38" i="8"/>
  <c r="V38" i="8" s="1"/>
  <c r="AT38" i="8" s="1"/>
  <c r="H53" i="3"/>
  <c r="AB52" i="3"/>
  <c r="L52" i="10" s="1"/>
  <c r="D60" i="10" l="1"/>
  <c r="B61" i="2"/>
  <c r="F60" i="10"/>
  <c r="C60" i="3"/>
  <c r="D74" i="7"/>
  <c r="X73" i="7"/>
  <c r="E74" i="7"/>
  <c r="Z73" i="7"/>
  <c r="AA73" i="7" s="1"/>
  <c r="B73" i="7" s="1"/>
  <c r="B73" i="8" s="1"/>
  <c r="U73" i="8" s="1"/>
  <c r="W73" i="8" s="1"/>
  <c r="AC38" i="8"/>
  <c r="M53" i="3"/>
  <c r="I53" i="3"/>
  <c r="L53" i="3" s="1"/>
  <c r="C61" i="10" l="1"/>
  <c r="K61" i="2"/>
  <c r="D61" i="2"/>
  <c r="L61" i="2" s="1"/>
  <c r="C61" i="2"/>
  <c r="I74" i="7"/>
  <c r="H74" i="7"/>
  <c r="AB73" i="7"/>
  <c r="C74" i="7"/>
  <c r="M74" i="7"/>
  <c r="AD38" i="8"/>
  <c r="Q53" i="3"/>
  <c r="J53" i="3"/>
  <c r="K53" i="3" s="1"/>
  <c r="E61" i="10" l="1"/>
  <c r="E61" i="2"/>
  <c r="B61" i="3"/>
  <c r="R74" i="7"/>
  <c r="S74" i="7" s="1"/>
  <c r="C74" i="8" s="1"/>
  <c r="N74" i="7"/>
  <c r="W74" i="7" s="1"/>
  <c r="F75" i="7" s="1"/>
  <c r="AL38" i="8"/>
  <c r="AE38" i="8"/>
  <c r="J74" i="7"/>
  <c r="AF38" i="8"/>
  <c r="AM38" i="8" s="1"/>
  <c r="AQ38" i="8" s="1"/>
  <c r="G39" i="8" s="1"/>
  <c r="U53" i="3"/>
  <c r="N53" i="3"/>
  <c r="AC53" i="3"/>
  <c r="M53" i="10" s="1"/>
  <c r="F61" i="2" l="1"/>
  <c r="G61" i="2"/>
  <c r="H61" i="2" s="1"/>
  <c r="AP38" i="8"/>
  <c r="F39" i="8" s="1"/>
  <c r="O75" i="7"/>
  <c r="P75" i="7"/>
  <c r="Q75" i="7" s="1"/>
  <c r="K74" i="7"/>
  <c r="T74" i="7" s="1"/>
  <c r="D74" i="8" s="1"/>
  <c r="D61" i="3"/>
  <c r="G61" i="10"/>
  <c r="X53" i="3"/>
  <c r="I61" i="2"/>
  <c r="AG38" i="8"/>
  <c r="AH38" i="8" s="1"/>
  <c r="AN38" i="8" s="1"/>
  <c r="V53" i="3"/>
  <c r="Y53" i="3" s="1"/>
  <c r="O53" i="3"/>
  <c r="P53" i="3"/>
  <c r="L74" i="7" l="1"/>
  <c r="V74" i="7" s="1"/>
  <c r="Y75" i="7"/>
  <c r="E75" i="8"/>
  <c r="J61" i="2"/>
  <c r="M61" i="2"/>
  <c r="H53" i="10"/>
  <c r="E54" i="3"/>
  <c r="AO38" i="8"/>
  <c r="AR38" i="8"/>
  <c r="H39" i="8" s="1"/>
  <c r="I53" i="10"/>
  <c r="F54" i="3"/>
  <c r="R53" i="3"/>
  <c r="S53" i="3" s="1"/>
  <c r="W53" i="3"/>
  <c r="Z53" i="3" s="1"/>
  <c r="F61" i="10" l="1"/>
  <c r="U74" i="7"/>
  <c r="E75" i="7"/>
  <c r="Z74" i="7"/>
  <c r="AA74" i="7" s="1"/>
  <c r="B74" i="7" s="1"/>
  <c r="B74" i="8" s="1"/>
  <c r="U74" i="8" s="1"/>
  <c r="W74" i="8" s="1"/>
  <c r="B62" i="2"/>
  <c r="D61" i="10"/>
  <c r="C61" i="3"/>
  <c r="AA53" i="3"/>
  <c r="K53" i="10" s="1"/>
  <c r="I39" i="8"/>
  <c r="AS38" i="8"/>
  <c r="G54" i="3"/>
  <c r="J53" i="10"/>
  <c r="T53" i="3"/>
  <c r="D75" i="7" l="1"/>
  <c r="X74" i="7"/>
  <c r="M75" i="7"/>
  <c r="C62" i="2"/>
  <c r="K62" i="2"/>
  <c r="C62" i="10"/>
  <c r="D62" i="2"/>
  <c r="N75" i="7"/>
  <c r="W75" i="7" s="1"/>
  <c r="F76" i="7" s="1"/>
  <c r="J39" i="8"/>
  <c r="N39" i="8" s="1"/>
  <c r="O39" i="8"/>
  <c r="H54" i="3"/>
  <c r="AB53" i="3"/>
  <c r="L53" i="10" s="1"/>
  <c r="H75" i="7" l="1"/>
  <c r="I75" i="7"/>
  <c r="C75" i="7"/>
  <c r="R75" i="7" s="1"/>
  <c r="AB74" i="7"/>
  <c r="E62" i="2"/>
  <c r="L62" i="2"/>
  <c r="O76" i="7"/>
  <c r="R39" i="8"/>
  <c r="K39" i="8"/>
  <c r="I54" i="3"/>
  <c r="L54" i="3" s="1"/>
  <c r="M54" i="3"/>
  <c r="J75" i="7" l="1"/>
  <c r="S75" i="7"/>
  <c r="C75" i="8" s="1"/>
  <c r="B62" i="3"/>
  <c r="E62" i="10"/>
  <c r="F62" i="2"/>
  <c r="P76" i="7"/>
  <c r="Q76" i="7" s="1"/>
  <c r="G62" i="2"/>
  <c r="H62" i="2" s="1"/>
  <c r="L39" i="8"/>
  <c r="M39" i="8"/>
  <c r="Q54" i="3"/>
  <c r="J54" i="3"/>
  <c r="K54" i="3" s="1"/>
  <c r="K75" i="7" l="1"/>
  <c r="Y76" i="7"/>
  <c r="E76" i="8"/>
  <c r="I62" i="2"/>
  <c r="G62" i="10"/>
  <c r="D62" i="3"/>
  <c r="AU39" i="8"/>
  <c r="X39" i="8"/>
  <c r="AI39" i="8"/>
  <c r="P39" i="8"/>
  <c r="Q39" i="8" s="1"/>
  <c r="U54" i="3"/>
  <c r="N54" i="3"/>
  <c r="AC54" i="3"/>
  <c r="M54" i="10" s="1"/>
  <c r="T75" i="7" l="1"/>
  <c r="D75" i="8" s="1"/>
  <c r="L75" i="7"/>
  <c r="X54" i="3"/>
  <c r="J62" i="2"/>
  <c r="M62" i="2"/>
  <c r="Y39" i="8"/>
  <c r="AA39" i="8" s="1"/>
  <c r="AJ39" i="8"/>
  <c r="S39" i="8"/>
  <c r="V54" i="3"/>
  <c r="Y54" i="3" s="1"/>
  <c r="O54" i="3"/>
  <c r="U75" i="7" l="1"/>
  <c r="V75" i="7"/>
  <c r="E55" i="3"/>
  <c r="H54" i="10"/>
  <c r="B63" i="2"/>
  <c r="D62" i="10"/>
  <c r="C62" i="3"/>
  <c r="F62" i="10"/>
  <c r="P54" i="3"/>
  <c r="Z39" i="8"/>
  <c r="AB39" i="8" s="1"/>
  <c r="T39" i="8"/>
  <c r="V39" i="8" s="1"/>
  <c r="AT39" i="8" s="1"/>
  <c r="AK39" i="8"/>
  <c r="I54" i="10"/>
  <c r="F55" i="3"/>
  <c r="R54" i="3"/>
  <c r="S54" i="3" s="1"/>
  <c r="W54" i="3"/>
  <c r="Z54" i="3" s="1"/>
  <c r="D76" i="7" l="1"/>
  <c r="X75" i="7"/>
  <c r="E76" i="7"/>
  <c r="Z75" i="7"/>
  <c r="AA75" i="7" s="1"/>
  <c r="B75" i="7" s="1"/>
  <c r="B75" i="8" s="1"/>
  <c r="U75" i="8" s="1"/>
  <c r="W75" i="8" s="1"/>
  <c r="C63" i="10"/>
  <c r="K63" i="2"/>
  <c r="D63" i="2"/>
  <c r="C63" i="2"/>
  <c r="E63" i="2" s="1"/>
  <c r="AC39" i="8"/>
  <c r="J54" i="10"/>
  <c r="G55" i="3"/>
  <c r="T54" i="3"/>
  <c r="AA54" i="3"/>
  <c r="K54" i="10" s="1"/>
  <c r="H76" i="7" l="1"/>
  <c r="I76" i="7"/>
  <c r="AB75" i="7"/>
  <c r="C76" i="7"/>
  <c r="R76" i="7" s="1"/>
  <c r="M76" i="7"/>
  <c r="L63" i="2"/>
  <c r="F63" i="2"/>
  <c r="AD39" i="8"/>
  <c r="H55" i="3"/>
  <c r="AB54" i="3"/>
  <c r="L54" i="10" s="1"/>
  <c r="J76" i="7" l="1"/>
  <c r="K76" i="7"/>
  <c r="S76" i="7"/>
  <c r="C76" i="8" s="1"/>
  <c r="N76" i="7"/>
  <c r="W76" i="7" s="1"/>
  <c r="F77" i="7" s="1"/>
  <c r="E63" i="10"/>
  <c r="B63" i="3"/>
  <c r="G63" i="2"/>
  <c r="H63" i="2" s="1"/>
  <c r="AL39" i="8"/>
  <c r="AE39" i="8"/>
  <c r="M55" i="3"/>
  <c r="I55" i="3"/>
  <c r="L55" i="3" s="1"/>
  <c r="L76" i="7" l="1"/>
  <c r="T76" i="7"/>
  <c r="D76" i="8" s="1"/>
  <c r="O77" i="7"/>
  <c r="G63" i="10"/>
  <c r="D63" i="3"/>
  <c r="I63" i="2"/>
  <c r="AF39" i="8"/>
  <c r="AM39" i="8" s="1"/>
  <c r="AQ39" i="8" s="1"/>
  <c r="G40" i="8" s="1"/>
  <c r="AP39" i="8"/>
  <c r="F40" i="8" s="1"/>
  <c r="Q55" i="3"/>
  <c r="J55" i="3"/>
  <c r="K55" i="3" s="1"/>
  <c r="P77" i="7" l="1"/>
  <c r="Q77" i="7" s="1"/>
  <c r="U76" i="7"/>
  <c r="V76" i="7"/>
  <c r="Y77" i="7"/>
  <c r="E77" i="8"/>
  <c r="J63" i="2"/>
  <c r="M63" i="2"/>
  <c r="AG39" i="8"/>
  <c r="AH39" i="8" s="1"/>
  <c r="AN39" i="8" s="1"/>
  <c r="U55" i="3"/>
  <c r="N55" i="3"/>
  <c r="AC55" i="3"/>
  <c r="M55" i="10" s="1"/>
  <c r="X76" i="7" l="1"/>
  <c r="D77" i="7"/>
  <c r="E77" i="7"/>
  <c r="Z76" i="7"/>
  <c r="AA76" i="7" s="1"/>
  <c r="B76" i="7" s="1"/>
  <c r="B76" i="8" s="1"/>
  <c r="U76" i="8" s="1"/>
  <c r="W76" i="8" s="1"/>
  <c r="F63" i="10"/>
  <c r="D63" i="10"/>
  <c r="B64" i="2"/>
  <c r="C63" i="3"/>
  <c r="AR39" i="8"/>
  <c r="H40" i="8" s="1"/>
  <c r="AO39" i="8"/>
  <c r="V55" i="3"/>
  <c r="Y55" i="3" s="1"/>
  <c r="O55" i="3"/>
  <c r="X55" i="3"/>
  <c r="C77" i="7" l="1"/>
  <c r="R77" i="7" s="1"/>
  <c r="AB76" i="7"/>
  <c r="H77" i="7"/>
  <c r="I77" i="7"/>
  <c r="N77" i="7"/>
  <c r="W77" i="7" s="1"/>
  <c r="F78" i="7" s="1"/>
  <c r="M77" i="7"/>
  <c r="C64" i="2"/>
  <c r="D64" i="2"/>
  <c r="K64" i="2"/>
  <c r="C64" i="10"/>
  <c r="AS39" i="8"/>
  <c r="I40" i="8"/>
  <c r="E64" i="2"/>
  <c r="L64" i="2"/>
  <c r="P55" i="3"/>
  <c r="I55" i="10"/>
  <c r="F56" i="3"/>
  <c r="R55" i="3"/>
  <c r="S55" i="3" s="1"/>
  <c r="H55" i="10"/>
  <c r="E56" i="3"/>
  <c r="W55" i="3"/>
  <c r="Z55" i="3" s="1"/>
  <c r="O78" i="7" l="1"/>
  <c r="S77" i="7"/>
  <c r="C77" i="8" s="1"/>
  <c r="J77" i="7"/>
  <c r="O40" i="8"/>
  <c r="J40" i="8"/>
  <c r="N40" i="8" s="1"/>
  <c r="F64" i="2"/>
  <c r="E64" i="10"/>
  <c r="B64" i="3"/>
  <c r="G56" i="3"/>
  <c r="J55" i="10"/>
  <c r="T55" i="3"/>
  <c r="AA55" i="3"/>
  <c r="K55" i="10" s="1"/>
  <c r="K77" i="7" l="1"/>
  <c r="T77" i="7" s="1"/>
  <c r="D77" i="8" s="1"/>
  <c r="L77" i="7"/>
  <c r="V77" i="7" s="1"/>
  <c r="P78" i="7"/>
  <c r="Q78" i="7" s="1"/>
  <c r="K40" i="8"/>
  <c r="M40" i="8" s="1"/>
  <c r="R40" i="8"/>
  <c r="G64" i="2"/>
  <c r="H64" i="2" s="1"/>
  <c r="H56" i="3"/>
  <c r="AB55" i="3"/>
  <c r="L55" i="10" s="1"/>
  <c r="Z77" i="7" l="1"/>
  <c r="AA77" i="7" s="1"/>
  <c r="B77" i="7" s="1"/>
  <c r="B77" i="8" s="1"/>
  <c r="U77" i="8" s="1"/>
  <c r="W77" i="8" s="1"/>
  <c r="E78" i="7"/>
  <c r="M78" i="7" s="1"/>
  <c r="Y78" i="7"/>
  <c r="E78" i="8"/>
  <c r="U77" i="7"/>
  <c r="AI40" i="8"/>
  <c r="X40" i="8"/>
  <c r="P40" i="8"/>
  <c r="Q40" i="8" s="1"/>
  <c r="L40" i="8"/>
  <c r="G64" i="10"/>
  <c r="I64" i="2"/>
  <c r="D64" i="3"/>
  <c r="M56" i="3"/>
  <c r="I56" i="3"/>
  <c r="L56" i="3" s="1"/>
  <c r="D78" i="7" l="1"/>
  <c r="X77" i="7"/>
  <c r="N78" i="7"/>
  <c r="W78" i="7" s="1"/>
  <c r="F79" i="7" s="1"/>
  <c r="Y40" i="8"/>
  <c r="AA40" i="8" s="1"/>
  <c r="S40" i="8"/>
  <c r="AU40" i="8"/>
  <c r="AJ40" i="8"/>
  <c r="Z40" i="8"/>
  <c r="AB40" i="8" s="1"/>
  <c r="O79" i="7"/>
  <c r="J64" i="2"/>
  <c r="M64" i="2"/>
  <c r="Q56" i="3"/>
  <c r="J56" i="3"/>
  <c r="K56" i="3" s="1"/>
  <c r="H78" i="7" l="1"/>
  <c r="I78" i="7"/>
  <c r="AB77" i="7"/>
  <c r="C78" i="7"/>
  <c r="R78" i="7" s="1"/>
  <c r="T40" i="8"/>
  <c r="V40" i="8" s="1"/>
  <c r="AK40" i="8"/>
  <c r="D64" i="10"/>
  <c r="AC40" i="8"/>
  <c r="AD40" i="8" s="1"/>
  <c r="B65" i="2"/>
  <c r="F64" i="10"/>
  <c r="C64" i="3"/>
  <c r="P79" i="7"/>
  <c r="Q79" i="7" s="1"/>
  <c r="C65" i="10"/>
  <c r="U56" i="3"/>
  <c r="N56" i="3"/>
  <c r="AC56" i="3"/>
  <c r="M56" i="10" s="1"/>
  <c r="J78" i="7" l="1"/>
  <c r="S78" i="7"/>
  <c r="C78" i="8" s="1"/>
  <c r="AT40" i="8"/>
  <c r="AL40" i="8"/>
  <c r="AE40" i="8"/>
  <c r="C65" i="2"/>
  <c r="D65" i="2"/>
  <c r="K65" i="2"/>
  <c r="E79" i="8"/>
  <c r="Y79" i="7"/>
  <c r="X56" i="3"/>
  <c r="V56" i="3"/>
  <c r="Y56" i="3" s="1"/>
  <c r="O56" i="3"/>
  <c r="K78" i="7" l="1"/>
  <c r="L78" i="7"/>
  <c r="V78" i="7" s="1"/>
  <c r="T78" i="7"/>
  <c r="D78" i="8" s="1"/>
  <c r="AP40" i="8"/>
  <c r="F41" i="8" s="1"/>
  <c r="AF40" i="8"/>
  <c r="AM40" i="8" s="1"/>
  <c r="AQ40" i="8" s="1"/>
  <c r="G41" i="8" s="1"/>
  <c r="E65" i="2"/>
  <c r="L65" i="2"/>
  <c r="P56" i="3"/>
  <c r="E57" i="3"/>
  <c r="H56" i="10"/>
  <c r="I56" i="10"/>
  <c r="F57" i="3"/>
  <c r="R56" i="3"/>
  <c r="S56" i="3" s="1"/>
  <c r="W56" i="3"/>
  <c r="U78" i="7" l="1"/>
  <c r="Z78" i="7"/>
  <c r="AA78" i="7" s="1"/>
  <c r="B78" i="7" s="1"/>
  <c r="B78" i="8" s="1"/>
  <c r="U78" i="8" s="1"/>
  <c r="W78" i="8" s="1"/>
  <c r="E79" i="7"/>
  <c r="AG40" i="8"/>
  <c r="AH40" i="8" s="1"/>
  <c r="AN40" i="8" s="1"/>
  <c r="AR40" i="8" s="1"/>
  <c r="H41" i="8" s="1"/>
  <c r="F65" i="2"/>
  <c r="E65" i="10"/>
  <c r="B65" i="3"/>
  <c r="T56" i="3"/>
  <c r="AA56" i="3"/>
  <c r="K56" i="10" s="1"/>
  <c r="Z56" i="3"/>
  <c r="D79" i="7" l="1"/>
  <c r="X78" i="7"/>
  <c r="M79" i="7"/>
  <c r="I41" i="8"/>
  <c r="AO40" i="8"/>
  <c r="G65" i="2"/>
  <c r="H65" i="2" s="1"/>
  <c r="AB56" i="3"/>
  <c r="L56" i="10" s="1"/>
  <c r="G57" i="3"/>
  <c r="J56" i="10"/>
  <c r="H79" i="7" l="1"/>
  <c r="J79" i="7" s="1"/>
  <c r="I79" i="7"/>
  <c r="S79" i="7" s="1"/>
  <c r="C79" i="8" s="1"/>
  <c r="AB78" i="7"/>
  <c r="C79" i="7"/>
  <c r="R79" i="7" s="1"/>
  <c r="O41" i="8"/>
  <c r="AS40" i="8"/>
  <c r="N79" i="7"/>
  <c r="W79" i="7" s="1"/>
  <c r="F80" i="7" s="1"/>
  <c r="J41" i="8"/>
  <c r="N41" i="8" s="1"/>
  <c r="I65" i="2"/>
  <c r="D65" i="3"/>
  <c r="G65" i="10"/>
  <c r="H57" i="3"/>
  <c r="K79" i="7" l="1"/>
  <c r="T79" i="7" s="1"/>
  <c r="D79" i="8" s="1"/>
  <c r="R41" i="8"/>
  <c r="O80" i="7"/>
  <c r="L79" i="7"/>
  <c r="V79" i="7" s="1"/>
  <c r="U79" i="7"/>
  <c r="K41" i="8"/>
  <c r="L41" i="8"/>
  <c r="AU41" i="8" s="1"/>
  <c r="M65" i="2"/>
  <c r="M41" i="8"/>
  <c r="J65" i="2"/>
  <c r="M57" i="3"/>
  <c r="I57" i="3"/>
  <c r="L57" i="3" s="1"/>
  <c r="E80" i="7" l="1"/>
  <c r="M80" i="7" s="1"/>
  <c r="Z79" i="7"/>
  <c r="AA79" i="7" s="1"/>
  <c r="B79" i="7" s="1"/>
  <c r="B79" i="8" s="1"/>
  <c r="U79" i="8" s="1"/>
  <c r="W79" i="8" s="1"/>
  <c r="X79" i="7"/>
  <c r="D80" i="7"/>
  <c r="P80" i="7"/>
  <c r="Q80" i="7" s="1"/>
  <c r="X41" i="8"/>
  <c r="P41" i="8"/>
  <c r="Q41" i="8" s="1"/>
  <c r="AI41" i="8"/>
  <c r="D65" i="10"/>
  <c r="B66" i="2"/>
  <c r="F65" i="10"/>
  <c r="C65" i="3"/>
  <c r="Q57" i="3"/>
  <c r="J57" i="3"/>
  <c r="K57" i="3" s="1"/>
  <c r="C80" i="7" l="1"/>
  <c r="R80" i="7" s="1"/>
  <c r="AB79" i="7"/>
  <c r="H80" i="7"/>
  <c r="I80" i="7"/>
  <c r="S80" i="7" s="1"/>
  <c r="C80" i="8" s="1"/>
  <c r="Y80" i="7"/>
  <c r="E80" i="8"/>
  <c r="N80" i="7"/>
  <c r="W80" i="7" s="1"/>
  <c r="F81" i="7" s="1"/>
  <c r="O81" i="7" s="1"/>
  <c r="Y41" i="8"/>
  <c r="AA41" i="8" s="1"/>
  <c r="S41" i="8"/>
  <c r="AJ41" i="8"/>
  <c r="C66" i="2"/>
  <c r="D66" i="2"/>
  <c r="K66" i="2"/>
  <c r="C66" i="10"/>
  <c r="Z41" i="8"/>
  <c r="AB41" i="8" s="1"/>
  <c r="T41" i="8"/>
  <c r="V41" i="8" s="1"/>
  <c r="U57" i="3"/>
  <c r="N57" i="3"/>
  <c r="AC57" i="3"/>
  <c r="M57" i="10" s="1"/>
  <c r="J80" i="7" l="1"/>
  <c r="K80" i="7" s="1"/>
  <c r="T80" i="7" s="1"/>
  <c r="D80" i="8" s="1"/>
  <c r="E66" i="2"/>
  <c r="L66" i="2"/>
  <c r="L80" i="7"/>
  <c r="V80" i="7" s="1"/>
  <c r="P81" i="7"/>
  <c r="Q81" i="7" s="1"/>
  <c r="AK41" i="8"/>
  <c r="Y81" i="7"/>
  <c r="E81" i="8"/>
  <c r="X57" i="3"/>
  <c r="AC41" i="8"/>
  <c r="AD41" i="8"/>
  <c r="AT41" i="8"/>
  <c r="V57" i="3"/>
  <c r="Y57" i="3" s="1"/>
  <c r="O57" i="3"/>
  <c r="Z80" i="7" l="1"/>
  <c r="AA80" i="7" s="1"/>
  <c r="B80" i="7" s="1"/>
  <c r="B80" i="8" s="1"/>
  <c r="U80" i="8" s="1"/>
  <c r="W80" i="8" s="1"/>
  <c r="E81" i="7"/>
  <c r="U80" i="7"/>
  <c r="F66" i="2"/>
  <c r="E66" i="10"/>
  <c r="B66" i="3"/>
  <c r="H57" i="10"/>
  <c r="E58" i="3"/>
  <c r="M81" i="7"/>
  <c r="X80" i="7"/>
  <c r="D81" i="7"/>
  <c r="W57" i="3"/>
  <c r="Z57" i="3" s="1"/>
  <c r="AL41" i="8"/>
  <c r="AE41" i="8"/>
  <c r="I57" i="10"/>
  <c r="F58" i="3"/>
  <c r="R57" i="3"/>
  <c r="S57" i="3" s="1"/>
  <c r="P57" i="3"/>
  <c r="G66" i="2" l="1"/>
  <c r="H66" i="2" s="1"/>
  <c r="AB80" i="7"/>
  <c r="C81" i="7"/>
  <c r="R81" i="7" s="1"/>
  <c r="H81" i="7"/>
  <c r="I81" i="7"/>
  <c r="N81" i="7"/>
  <c r="W81" i="7" s="1"/>
  <c r="F82" i="7" s="1"/>
  <c r="I66" i="2"/>
  <c r="G66" i="10"/>
  <c r="D66" i="3"/>
  <c r="J57" i="10"/>
  <c r="G58" i="3"/>
  <c r="AA57" i="3"/>
  <c r="K57" i="10" s="1"/>
  <c r="AP41" i="8"/>
  <c r="F42" i="8" s="1"/>
  <c r="AF41" i="8"/>
  <c r="AM41" i="8" s="1"/>
  <c r="AQ41" i="8" s="1"/>
  <c r="G42" i="8" s="1"/>
  <c r="T57" i="3"/>
  <c r="J81" i="7" l="1"/>
  <c r="O82" i="7"/>
  <c r="S81" i="7"/>
  <c r="C81" i="8" s="1"/>
  <c r="J66" i="2"/>
  <c r="M66" i="2"/>
  <c r="H58" i="3"/>
  <c r="AG41" i="8"/>
  <c r="AH41" i="8" s="1"/>
  <c r="AN41" i="8" s="1"/>
  <c r="AR41" i="8" s="1"/>
  <c r="H42" i="8" s="1"/>
  <c r="AB57" i="3"/>
  <c r="L57" i="10" s="1"/>
  <c r="K81" i="7" l="1"/>
  <c r="T81" i="7" s="1"/>
  <c r="D81" i="8" s="1"/>
  <c r="P82" i="7"/>
  <c r="Q82" i="7" s="1"/>
  <c r="B67" i="2"/>
  <c r="D66" i="10"/>
  <c r="C66" i="3"/>
  <c r="F66" i="10"/>
  <c r="I58" i="3"/>
  <c r="L58" i="3" s="1"/>
  <c r="M58" i="3"/>
  <c r="I42" i="8"/>
  <c r="AO41" i="8"/>
  <c r="L81" i="7" l="1"/>
  <c r="V81" i="7" s="1"/>
  <c r="E82" i="8"/>
  <c r="Y82" i="7"/>
  <c r="C67" i="10"/>
  <c r="K67" i="2"/>
  <c r="D67" i="2"/>
  <c r="C67" i="2"/>
  <c r="E67" i="2" s="1"/>
  <c r="Q58" i="3"/>
  <c r="J58" i="3"/>
  <c r="K58" i="3" s="1"/>
  <c r="J42" i="8"/>
  <c r="N42" i="8" s="1"/>
  <c r="O42" i="8"/>
  <c r="AS41" i="8"/>
  <c r="Z81" i="7" l="1"/>
  <c r="AA81" i="7" s="1"/>
  <c r="B81" i="7" s="1"/>
  <c r="B81" i="8" s="1"/>
  <c r="E82" i="7"/>
  <c r="M82" i="7" s="1"/>
  <c r="U81" i="7"/>
  <c r="L67" i="2"/>
  <c r="F67" i="2"/>
  <c r="AC58" i="3"/>
  <c r="M58" i="10" s="1"/>
  <c r="N58" i="3"/>
  <c r="U58" i="3"/>
  <c r="R42" i="8"/>
  <c r="K42" i="8"/>
  <c r="M42" i="8" s="1"/>
  <c r="D82" i="7" l="1"/>
  <c r="X81" i="7"/>
  <c r="N82" i="7"/>
  <c r="W82" i="7" s="1"/>
  <c r="F83" i="7" s="1"/>
  <c r="G67" i="2"/>
  <c r="U81" i="8"/>
  <c r="W81" i="8" s="1"/>
  <c r="B67" i="3"/>
  <c r="E67" i="10"/>
  <c r="X58" i="3"/>
  <c r="V58" i="3"/>
  <c r="Y58" i="3" s="1"/>
  <c r="O58" i="3"/>
  <c r="X42" i="8"/>
  <c r="P42" i="8"/>
  <c r="Q42" i="8" s="1"/>
  <c r="AI42" i="8"/>
  <c r="L42" i="8"/>
  <c r="AU42" i="8" s="1"/>
  <c r="I82" i="7" l="1"/>
  <c r="H82" i="7"/>
  <c r="J82" i="7" s="1"/>
  <c r="AB81" i="7"/>
  <c r="H67" i="2"/>
  <c r="C82" i="7"/>
  <c r="R82" i="7" s="1"/>
  <c r="O83" i="7"/>
  <c r="I67" i="2"/>
  <c r="E59" i="3"/>
  <c r="H58" i="10"/>
  <c r="I58" i="10"/>
  <c r="F59" i="3"/>
  <c r="W58" i="3"/>
  <c r="Z58" i="3" s="1"/>
  <c r="R58" i="3"/>
  <c r="S58" i="3" s="1"/>
  <c r="P58" i="3"/>
  <c r="Y42" i="8"/>
  <c r="AA42" i="8" s="1"/>
  <c r="S42" i="8"/>
  <c r="AJ42" i="8"/>
  <c r="S82" i="7" l="1"/>
  <c r="C82" i="8" s="1"/>
  <c r="P83" i="7"/>
  <c r="Q83" i="7" s="1"/>
  <c r="E83" i="8" s="1"/>
  <c r="K82" i="7"/>
  <c r="M67" i="2"/>
  <c r="J67" i="2"/>
  <c r="D67" i="3"/>
  <c r="G67" i="10"/>
  <c r="AA58" i="3"/>
  <c r="K58" i="10" s="1"/>
  <c r="G59" i="3"/>
  <c r="J58" i="10"/>
  <c r="T42" i="8"/>
  <c r="V42" i="8" s="1"/>
  <c r="AT42" i="8" s="1"/>
  <c r="T58" i="3"/>
  <c r="AB58" i="3" s="1"/>
  <c r="L58" i="10" s="1"/>
  <c r="AK42" i="8"/>
  <c r="Z42" i="8"/>
  <c r="AB42" i="8" s="1"/>
  <c r="T82" i="7" l="1"/>
  <c r="D82" i="8" s="1"/>
  <c r="L82" i="7"/>
  <c r="V82" i="7" s="1"/>
  <c r="C67" i="3"/>
  <c r="D67" i="10"/>
  <c r="B68" i="2"/>
  <c r="Y83" i="7"/>
  <c r="F67" i="10"/>
  <c r="H59" i="3"/>
  <c r="AC42" i="8"/>
  <c r="D68" i="2" l="1"/>
  <c r="C68" i="10"/>
  <c r="K68" i="2"/>
  <c r="U82" i="7"/>
  <c r="C68" i="2"/>
  <c r="Z82" i="7"/>
  <c r="AA82" i="7" s="1"/>
  <c r="B82" i="7" s="1"/>
  <c r="B82" i="8" s="1"/>
  <c r="E83" i="7"/>
  <c r="M83" i="7" s="1"/>
  <c r="N83" i="7"/>
  <c r="W83" i="7" s="1"/>
  <c r="F84" i="7" s="1"/>
  <c r="M59" i="3"/>
  <c r="I59" i="3"/>
  <c r="L59" i="3" s="1"/>
  <c r="O84" i="7"/>
  <c r="AD42" i="8"/>
  <c r="AL42" i="8" s="1"/>
  <c r="E68" i="2" l="1"/>
  <c r="D83" i="7"/>
  <c r="X82" i="7"/>
  <c r="U82" i="8"/>
  <c r="W82" i="8" s="1"/>
  <c r="L68" i="2"/>
  <c r="AE42" i="8"/>
  <c r="Q59" i="3"/>
  <c r="J59" i="3"/>
  <c r="P84" i="7"/>
  <c r="Q84" i="7" s="1"/>
  <c r="AP42" i="8"/>
  <c r="F43" i="8" s="1"/>
  <c r="B68" i="3" l="1"/>
  <c r="E68" i="10"/>
  <c r="F68" i="2"/>
  <c r="H83" i="7"/>
  <c r="J83" i="7" s="1"/>
  <c r="C83" i="7"/>
  <c r="R83" i="7" s="1"/>
  <c r="I83" i="7"/>
  <c r="AB82" i="7"/>
  <c r="AF42" i="8"/>
  <c r="AM42" i="8" s="1"/>
  <c r="AQ42" i="8" s="1"/>
  <c r="G43" i="8" s="1"/>
  <c r="AC59" i="3"/>
  <c r="M59" i="10" s="1"/>
  <c r="K59" i="3"/>
  <c r="E84" i="8"/>
  <c r="Y84" i="7"/>
  <c r="N59" i="3"/>
  <c r="G68" i="2" l="1"/>
  <c r="S83" i="7"/>
  <c r="C83" i="8" s="1"/>
  <c r="K83" i="7"/>
  <c r="T83" i="7" s="1"/>
  <c r="D83" i="8" s="1"/>
  <c r="L83" i="7"/>
  <c r="V83" i="7" s="1"/>
  <c r="U59" i="3"/>
  <c r="AG42" i="8"/>
  <c r="AH42" i="8" s="1"/>
  <c r="AN42" i="8" s="1"/>
  <c r="AR42" i="8" s="1"/>
  <c r="H43" i="8" s="1"/>
  <c r="O59" i="3"/>
  <c r="I68" i="2" l="1"/>
  <c r="H68" i="2"/>
  <c r="M68" i="2"/>
  <c r="J68" i="2"/>
  <c r="D68" i="3"/>
  <c r="G68" i="10"/>
  <c r="E84" i="7"/>
  <c r="Z83" i="7"/>
  <c r="AA83" i="7" s="1"/>
  <c r="B83" i="7" s="1"/>
  <c r="B83" i="8" s="1"/>
  <c r="U83" i="7"/>
  <c r="X83" i="7" s="1"/>
  <c r="X59" i="3"/>
  <c r="I43" i="8"/>
  <c r="V59" i="3"/>
  <c r="Y59" i="3" s="1"/>
  <c r="AO42" i="8"/>
  <c r="AS42" i="8" s="1"/>
  <c r="R59" i="3"/>
  <c r="S59" i="3" s="1"/>
  <c r="P59" i="3"/>
  <c r="F68" i="10" l="1"/>
  <c r="C68" i="3"/>
  <c r="D68" i="10"/>
  <c r="B69" i="2"/>
  <c r="M84" i="7"/>
  <c r="D84" i="7"/>
  <c r="U83" i="8"/>
  <c r="W83" i="8" s="1"/>
  <c r="C84" i="7"/>
  <c r="R84" i="7" s="1"/>
  <c r="AB83" i="7"/>
  <c r="E60" i="3"/>
  <c r="H59" i="10"/>
  <c r="W59" i="3"/>
  <c r="Z59" i="3" s="1"/>
  <c r="J43" i="8"/>
  <c r="N43" i="8" s="1"/>
  <c r="O43" i="8"/>
  <c r="I59" i="10"/>
  <c r="F60" i="3"/>
  <c r="T59" i="3"/>
  <c r="I84" i="7" l="1"/>
  <c r="H84" i="7"/>
  <c r="N84" i="7"/>
  <c r="W84" i="7" s="1"/>
  <c r="F85" i="7" s="1"/>
  <c r="C69" i="2"/>
  <c r="D69" i="2"/>
  <c r="K69" i="2"/>
  <c r="C69" i="10"/>
  <c r="R43" i="8"/>
  <c r="J59" i="10"/>
  <c r="G60" i="3"/>
  <c r="AA59" i="3"/>
  <c r="K59" i="10" s="1"/>
  <c r="K43" i="8"/>
  <c r="M43" i="8" s="1"/>
  <c r="S84" i="7"/>
  <c r="C84" i="8" s="1"/>
  <c r="AB59" i="3"/>
  <c r="L59" i="10" s="1"/>
  <c r="J84" i="7" l="1"/>
  <c r="O85" i="7"/>
  <c r="E69" i="2"/>
  <c r="L69" i="2"/>
  <c r="K84" i="7"/>
  <c r="T84" i="7" s="1"/>
  <c r="D84" i="8" s="1"/>
  <c r="L43" i="8"/>
  <c r="AU43" i="8" s="1"/>
  <c r="H60" i="3"/>
  <c r="P85" i="7"/>
  <c r="Q85" i="7" s="1"/>
  <c r="X43" i="8"/>
  <c r="P43" i="8"/>
  <c r="Q43" i="8" s="1"/>
  <c r="AI43" i="8"/>
  <c r="B69" i="3" l="1"/>
  <c r="E69" i="10"/>
  <c r="F69" i="2"/>
  <c r="L84" i="7"/>
  <c r="V84" i="7" s="1"/>
  <c r="Z84" i="7" s="1"/>
  <c r="AA84" i="7" s="1"/>
  <c r="B84" i="7" s="1"/>
  <c r="I60" i="3"/>
  <c r="L60" i="3" s="1"/>
  <c r="Y85" i="7"/>
  <c r="M60" i="3"/>
  <c r="E85" i="8"/>
  <c r="Y43" i="8"/>
  <c r="AA43" i="8" s="1"/>
  <c r="S43" i="8"/>
  <c r="AJ43" i="8"/>
  <c r="Z43" i="8"/>
  <c r="AB43" i="8" s="1"/>
  <c r="G69" i="2" l="1"/>
  <c r="H69" i="2" s="1"/>
  <c r="J60" i="3"/>
  <c r="K60" i="3" s="1"/>
  <c r="E85" i="7"/>
  <c r="M85" i="7" s="1"/>
  <c r="U84" i="7"/>
  <c r="X84" i="7" s="1"/>
  <c r="B84" i="8"/>
  <c r="Q60" i="3"/>
  <c r="T43" i="8"/>
  <c r="V43" i="8" s="1"/>
  <c r="AK43" i="8"/>
  <c r="AC43" i="8"/>
  <c r="I69" i="2" l="1"/>
  <c r="N60" i="3"/>
  <c r="D69" i="3"/>
  <c r="G69" i="10"/>
  <c r="AC60" i="3"/>
  <c r="M60" i="10" s="1"/>
  <c r="U60" i="3"/>
  <c r="J69" i="2"/>
  <c r="D85" i="7"/>
  <c r="N85" i="7"/>
  <c r="W85" i="7" s="1"/>
  <c r="F86" i="7" s="1"/>
  <c r="C85" i="7"/>
  <c r="R85" i="7" s="1"/>
  <c r="AB84" i="7"/>
  <c r="U84" i="8"/>
  <c r="W84" i="8" s="1"/>
  <c r="AT43" i="8"/>
  <c r="AD43" i="8"/>
  <c r="M69" i="2" l="1"/>
  <c r="F69" i="10" s="1"/>
  <c r="O60" i="3"/>
  <c r="X60" i="3"/>
  <c r="V60" i="3"/>
  <c r="Y60" i="3" s="1"/>
  <c r="D69" i="10"/>
  <c r="B70" i="2"/>
  <c r="H85" i="7"/>
  <c r="I85" i="7"/>
  <c r="S85" i="7" s="1"/>
  <c r="C85" i="8" s="1"/>
  <c r="O86" i="7"/>
  <c r="P86" i="7" s="1"/>
  <c r="Q86" i="7" s="1"/>
  <c r="AE43" i="8"/>
  <c r="AL43" i="8"/>
  <c r="D70" i="2"/>
  <c r="C70" i="2"/>
  <c r="C70" i="10"/>
  <c r="P60" i="3" l="1"/>
  <c r="R60" i="3"/>
  <c r="S60" i="3" s="1"/>
  <c r="C69" i="3"/>
  <c r="E61" i="3"/>
  <c r="H60" i="10"/>
  <c r="F61" i="3"/>
  <c r="W60" i="3"/>
  <c r="Z60" i="3" s="1"/>
  <c r="I60" i="10"/>
  <c r="K70" i="2"/>
  <c r="J85" i="7"/>
  <c r="E86" i="8"/>
  <c r="Y86" i="7"/>
  <c r="AF43" i="8"/>
  <c r="AM43" i="8" s="1"/>
  <c r="AQ43" i="8" s="1"/>
  <c r="G44" i="8" s="1"/>
  <c r="AP43" i="8"/>
  <c r="F44" i="8" s="1"/>
  <c r="E70" i="2"/>
  <c r="T60" i="3" l="1"/>
  <c r="J60" i="10"/>
  <c r="G61" i="3"/>
  <c r="AA60" i="3"/>
  <c r="K60" i="10" s="1"/>
  <c r="K85" i="7"/>
  <c r="T85" i="7" s="1"/>
  <c r="D85" i="8" s="1"/>
  <c r="L70" i="2"/>
  <c r="AG43" i="8"/>
  <c r="AH43" i="8" s="1"/>
  <c r="AN43" i="8" s="1"/>
  <c r="AR43" i="8" s="1"/>
  <c r="H44" i="8" s="1"/>
  <c r="AB60" i="3"/>
  <c r="L60" i="10" s="1"/>
  <c r="F70" i="2"/>
  <c r="E70" i="10" l="1"/>
  <c r="B70" i="3"/>
  <c r="H61" i="3"/>
  <c r="L85" i="7"/>
  <c r="V85" i="7" s="1"/>
  <c r="M61" i="3"/>
  <c r="I44" i="8"/>
  <c r="AO43" i="8"/>
  <c r="I61" i="3"/>
  <c r="L61" i="3" s="1"/>
  <c r="E86" i="7"/>
  <c r="Z85" i="7"/>
  <c r="AA85" i="7" s="1"/>
  <c r="B85" i="7" s="1"/>
  <c r="B85" i="8" s="1"/>
  <c r="U85" i="8" s="1"/>
  <c r="W85" i="8" s="1"/>
  <c r="G70" i="2"/>
  <c r="H70" i="2" s="1"/>
  <c r="U85" i="7" l="1"/>
  <c r="O44" i="8"/>
  <c r="AS43" i="8"/>
  <c r="J44" i="8"/>
  <c r="N44" i="8" s="1"/>
  <c r="Q61" i="3"/>
  <c r="J61" i="3"/>
  <c r="K61" i="3" s="1"/>
  <c r="M86" i="7"/>
  <c r="X85" i="7"/>
  <c r="G70" i="10"/>
  <c r="I70" i="2"/>
  <c r="D70" i="3"/>
  <c r="D86" i="7" l="1"/>
  <c r="R44" i="8"/>
  <c r="K44" i="8"/>
  <c r="M44" i="8" s="1"/>
  <c r="N61" i="3"/>
  <c r="U61" i="3"/>
  <c r="AC61" i="3"/>
  <c r="M61" i="10" s="1"/>
  <c r="AB85" i="7"/>
  <c r="C86" i="7"/>
  <c r="R86" i="7" s="1"/>
  <c r="N86" i="7"/>
  <c r="W86" i="7" s="1"/>
  <c r="F87" i="7" s="1"/>
  <c r="M70" i="2"/>
  <c r="J70" i="2"/>
  <c r="I86" i="7" l="1"/>
  <c r="H86" i="7"/>
  <c r="AI44" i="8"/>
  <c r="X61" i="3"/>
  <c r="X44" i="8"/>
  <c r="P44" i="8"/>
  <c r="Q44" i="8" s="1"/>
  <c r="L44" i="8"/>
  <c r="O61" i="3"/>
  <c r="V61" i="3"/>
  <c r="Y61" i="3" s="1"/>
  <c r="O87" i="7"/>
  <c r="F70" i="10"/>
  <c r="C70" i="3"/>
  <c r="D70" i="10"/>
  <c r="B71" i="2"/>
  <c r="C71" i="2" s="1"/>
  <c r="S86" i="7" l="1"/>
  <c r="C86" i="8" s="1"/>
  <c r="E62" i="3"/>
  <c r="J86" i="7"/>
  <c r="H61" i="10"/>
  <c r="C71" i="10"/>
  <c r="P61" i="3"/>
  <c r="Y44" i="8"/>
  <c r="AA44" i="8" s="1"/>
  <c r="S44" i="8"/>
  <c r="AJ44" i="8"/>
  <c r="AU44" i="8"/>
  <c r="I61" i="10"/>
  <c r="F62" i="3"/>
  <c r="R61" i="3"/>
  <c r="S61" i="3" s="1"/>
  <c r="W61" i="3"/>
  <c r="Z61" i="3" s="1"/>
  <c r="P87" i="7"/>
  <c r="Q87" i="7" s="1"/>
  <c r="D71" i="2"/>
  <c r="E71" i="2" s="1"/>
  <c r="K71" i="2"/>
  <c r="Z44" i="8"/>
  <c r="AB44" i="8" s="1"/>
  <c r="K86" i="7" l="1"/>
  <c r="T61" i="3"/>
  <c r="T44" i="8"/>
  <c r="V44" i="8" s="1"/>
  <c r="AK44" i="8"/>
  <c r="J61" i="10"/>
  <c r="G62" i="3"/>
  <c r="AA61" i="3"/>
  <c r="K61" i="10" s="1"/>
  <c r="E87" i="8"/>
  <c r="Y87" i="7"/>
  <c r="F71" i="2"/>
  <c r="L71" i="2"/>
  <c r="AC44" i="8"/>
  <c r="L86" i="7" l="1"/>
  <c r="V86" i="7" s="1"/>
  <c r="AB61" i="3"/>
  <c r="L61" i="10" s="1"/>
  <c r="T86" i="7"/>
  <c r="D86" i="8" s="1"/>
  <c r="AT44" i="8"/>
  <c r="H62" i="3"/>
  <c r="Z86" i="7"/>
  <c r="AA86" i="7" s="1"/>
  <c r="B86" i="7" s="1"/>
  <c r="B86" i="8" s="1"/>
  <c r="U86" i="8" s="1"/>
  <c r="W86" i="8" s="1"/>
  <c r="G71" i="2"/>
  <c r="H71" i="2" s="1"/>
  <c r="E71" i="10"/>
  <c r="B71" i="3"/>
  <c r="AD44" i="8"/>
  <c r="E87" i="7" l="1"/>
  <c r="U86" i="7"/>
  <c r="M62" i="3"/>
  <c r="I62" i="3"/>
  <c r="L62" i="3" s="1"/>
  <c r="D71" i="3"/>
  <c r="G71" i="10"/>
  <c r="I71" i="2"/>
  <c r="M71" i="2" s="1"/>
  <c r="AE44" i="8"/>
  <c r="AL44" i="8"/>
  <c r="M87" i="7" l="1"/>
  <c r="D87" i="7"/>
  <c r="X86" i="7"/>
  <c r="J62" i="3"/>
  <c r="K62" i="3" s="1"/>
  <c r="Q62" i="3"/>
  <c r="J71" i="2"/>
  <c r="C71" i="3"/>
  <c r="F71" i="10"/>
  <c r="AF44" i="8"/>
  <c r="AM44" i="8" s="1"/>
  <c r="AQ44" i="8" s="1"/>
  <c r="G45" i="8" s="1"/>
  <c r="AP44" i="8"/>
  <c r="F45" i="8" s="1"/>
  <c r="H87" i="7" l="1"/>
  <c r="I87" i="7"/>
  <c r="AB86" i="7"/>
  <c r="C87" i="7"/>
  <c r="R87" i="7" s="1"/>
  <c r="N87" i="7"/>
  <c r="W87" i="7" s="1"/>
  <c r="F88" i="7" s="1"/>
  <c r="D71" i="10"/>
  <c r="B72" i="2"/>
  <c r="AC62" i="3"/>
  <c r="M62" i="10" s="1"/>
  <c r="N62" i="3"/>
  <c r="U62" i="3"/>
  <c r="AG44" i="8"/>
  <c r="AH44" i="8" s="1"/>
  <c r="AN44" i="8" s="1"/>
  <c r="AR44" i="8" s="1"/>
  <c r="H45" i="8" s="1"/>
  <c r="O88" i="7" l="1"/>
  <c r="J87" i="7"/>
  <c r="S87" i="7"/>
  <c r="C87" i="8" s="1"/>
  <c r="I45" i="8"/>
  <c r="V62" i="3"/>
  <c r="Y62" i="3" s="1"/>
  <c r="I62" i="10" s="1"/>
  <c r="X62" i="3"/>
  <c r="O62" i="3"/>
  <c r="C72" i="10"/>
  <c r="K72" i="2"/>
  <c r="D72" i="2"/>
  <c r="C72" i="2"/>
  <c r="E72" i="2" s="1"/>
  <c r="F63" i="3"/>
  <c r="W62" i="3"/>
  <c r="Z62" i="3" s="1"/>
  <c r="AO44" i="8"/>
  <c r="H62" i="10"/>
  <c r="L72" i="2"/>
  <c r="E63" i="3"/>
  <c r="K87" i="7"/>
  <c r="P88" i="7"/>
  <c r="Q88" i="7" s="1"/>
  <c r="R62" i="3" l="1"/>
  <c r="S62" i="3" s="1"/>
  <c r="J45" i="8"/>
  <c r="N45" i="8" s="1"/>
  <c r="O45" i="8"/>
  <c r="F72" i="2"/>
  <c r="E72" i="10"/>
  <c r="B72" i="3"/>
  <c r="P62" i="3"/>
  <c r="AS44" i="8"/>
  <c r="L87" i="7"/>
  <c r="V87" i="7" s="1"/>
  <c r="G63" i="3"/>
  <c r="AA62" i="3"/>
  <c r="K62" i="10" s="1"/>
  <c r="J62" i="10"/>
  <c r="T87" i="7"/>
  <c r="D87" i="8" s="1"/>
  <c r="E88" i="8"/>
  <c r="Y88" i="7"/>
  <c r="T62" i="3" l="1"/>
  <c r="G72" i="2"/>
  <c r="H72" i="2" s="1"/>
  <c r="K45" i="8"/>
  <c r="M45" i="8" s="1"/>
  <c r="R45" i="8"/>
  <c r="U87" i="7"/>
  <c r="Z87" i="7"/>
  <c r="AA87" i="7" s="1"/>
  <c r="B87" i="7" s="1"/>
  <c r="B87" i="8" s="1"/>
  <c r="U87" i="8" s="1"/>
  <c r="E88" i="7"/>
  <c r="H63" i="3"/>
  <c r="D88" i="7"/>
  <c r="X87" i="7"/>
  <c r="D72" i="3"/>
  <c r="G72" i="10"/>
  <c r="AB62" i="3"/>
  <c r="L62" i="10" s="1"/>
  <c r="M88" i="7" l="1"/>
  <c r="I72" i="2"/>
  <c r="X45" i="8"/>
  <c r="P45" i="8"/>
  <c r="Q45" i="8" s="1"/>
  <c r="AI45" i="8"/>
  <c r="L45" i="8"/>
  <c r="W87" i="8"/>
  <c r="I63" i="3"/>
  <c r="L63" i="3" s="1"/>
  <c r="M63" i="3"/>
  <c r="I88" i="7"/>
  <c r="H88" i="7"/>
  <c r="J88" i="7" s="1"/>
  <c r="AB87" i="7"/>
  <c r="C88" i="7"/>
  <c r="R88" i="7" s="1"/>
  <c r="M72" i="2" l="1"/>
  <c r="J72" i="2"/>
  <c r="N88" i="7"/>
  <c r="W88" i="7" s="1"/>
  <c r="F89" i="7" s="1"/>
  <c r="Y45" i="8"/>
  <c r="AA45" i="8" s="1"/>
  <c r="S45" i="8"/>
  <c r="AJ45" i="8"/>
  <c r="AU45" i="8"/>
  <c r="J63" i="3"/>
  <c r="K63" i="3" s="1"/>
  <c r="S88" i="7"/>
  <c r="C88" i="8" s="1"/>
  <c r="Q63" i="3"/>
  <c r="D72" i="10"/>
  <c r="K88" i="7"/>
  <c r="T88" i="7" s="1"/>
  <c r="D88" i="8" s="1"/>
  <c r="Z45" i="8"/>
  <c r="AB45" i="8" s="1"/>
  <c r="B73" i="2" l="1"/>
  <c r="F72" i="10"/>
  <c r="C72" i="3"/>
  <c r="O89" i="7"/>
  <c r="T45" i="8"/>
  <c r="V45" i="8" s="1"/>
  <c r="AK45" i="8"/>
  <c r="AC63" i="3"/>
  <c r="M63" i="10" s="1"/>
  <c r="N63" i="3"/>
  <c r="U63" i="3"/>
  <c r="L88" i="7"/>
  <c r="V88" i="7" s="1"/>
  <c r="AC45" i="8"/>
  <c r="C73" i="10" l="1"/>
  <c r="C73" i="2"/>
  <c r="D73" i="2"/>
  <c r="K73" i="2"/>
  <c r="V63" i="3"/>
  <c r="Y63" i="3" s="1"/>
  <c r="P89" i="7"/>
  <c r="Q89" i="7" s="1"/>
  <c r="X63" i="3"/>
  <c r="O63" i="3"/>
  <c r="AT45" i="8"/>
  <c r="E89" i="7"/>
  <c r="Z88" i="7"/>
  <c r="AA88" i="7" s="1"/>
  <c r="B88" i="7" s="1"/>
  <c r="B88" i="8" s="1"/>
  <c r="U88" i="8" s="1"/>
  <c r="W88" i="8" s="1"/>
  <c r="U88" i="7"/>
  <c r="AD45" i="8"/>
  <c r="AL45" i="8" s="1"/>
  <c r="Y89" i="7" l="1"/>
  <c r="E89" i="8"/>
  <c r="L73" i="2"/>
  <c r="E73" i="2"/>
  <c r="F64" i="3"/>
  <c r="W63" i="3"/>
  <c r="Z63" i="3" s="1"/>
  <c r="I63" i="10"/>
  <c r="E64" i="3"/>
  <c r="H63" i="10"/>
  <c r="P63" i="3"/>
  <c r="R63" i="3"/>
  <c r="S63" i="3" s="1"/>
  <c r="E73" i="10"/>
  <c r="B73" i="3"/>
  <c r="F73" i="2"/>
  <c r="G64" i="3"/>
  <c r="AA63" i="3"/>
  <c r="K63" i="10" s="1"/>
  <c r="M89" i="7"/>
  <c r="D89" i="7"/>
  <c r="X88" i="7"/>
  <c r="AE45" i="8"/>
  <c r="AP45" i="8"/>
  <c r="F46" i="8" s="1"/>
  <c r="J63" i="10" l="1"/>
  <c r="T63" i="3"/>
  <c r="AB63" i="3" s="1"/>
  <c r="L63" i="10" s="1"/>
  <c r="H64" i="3"/>
  <c r="G73" i="2"/>
  <c r="I89" i="7"/>
  <c r="H89" i="7"/>
  <c r="AB88" i="7"/>
  <c r="C89" i="7"/>
  <c r="R89" i="7" s="1"/>
  <c r="N89" i="7"/>
  <c r="W89" i="7" s="1"/>
  <c r="F90" i="7" s="1"/>
  <c r="AF45" i="8"/>
  <c r="AM45" i="8" s="1"/>
  <c r="AQ45" i="8" s="1"/>
  <c r="G46" i="8" s="1"/>
  <c r="J89" i="7" l="1"/>
  <c r="M64" i="3"/>
  <c r="I64" i="3"/>
  <c r="L64" i="3" s="1"/>
  <c r="H73" i="2"/>
  <c r="I73" i="2"/>
  <c r="O90" i="7"/>
  <c r="S89" i="7"/>
  <c r="C89" i="8" s="1"/>
  <c r="AG45" i="8"/>
  <c r="AH45" i="8" s="1"/>
  <c r="AN45" i="8" s="1"/>
  <c r="AR45" i="8" s="1"/>
  <c r="H46" i="8" s="1"/>
  <c r="K89" i="7" l="1"/>
  <c r="J64" i="3"/>
  <c r="K64" i="3" s="1"/>
  <c r="N64" i="3" s="1"/>
  <c r="Q64" i="3"/>
  <c r="M73" i="2"/>
  <c r="J73" i="2"/>
  <c r="D73" i="3"/>
  <c r="G73" i="10"/>
  <c r="T89" i="7"/>
  <c r="D89" i="8" s="1"/>
  <c r="L89" i="7"/>
  <c r="V89" i="7" s="1"/>
  <c r="P90" i="7"/>
  <c r="Q90" i="7" s="1"/>
  <c r="I46" i="8"/>
  <c r="AO45" i="8"/>
  <c r="AC64" i="3" l="1"/>
  <c r="M64" i="10" s="1"/>
  <c r="O64" i="3"/>
  <c r="U64" i="3"/>
  <c r="F73" i="10"/>
  <c r="C73" i="3"/>
  <c r="B74" i="2"/>
  <c r="D73" i="10"/>
  <c r="E90" i="7"/>
  <c r="Z89" i="7"/>
  <c r="AA89" i="7" s="1"/>
  <c r="B89" i="7" s="1"/>
  <c r="B89" i="8" s="1"/>
  <c r="U89" i="8" s="1"/>
  <c r="W89" i="8" s="1"/>
  <c r="Y90" i="7"/>
  <c r="E90" i="8"/>
  <c r="U89" i="7"/>
  <c r="AS45" i="8"/>
  <c r="J46" i="8"/>
  <c r="N46" i="8" s="1"/>
  <c r="O46" i="8"/>
  <c r="R64" i="3" l="1"/>
  <c r="S64" i="3" s="1"/>
  <c r="P64" i="3"/>
  <c r="C74" i="2"/>
  <c r="D74" i="2"/>
  <c r="K74" i="2"/>
  <c r="C74" i="10"/>
  <c r="X64" i="3"/>
  <c r="V64" i="3"/>
  <c r="Y64" i="3" s="1"/>
  <c r="I64" i="10" s="1"/>
  <c r="M90" i="7"/>
  <c r="X89" i="7"/>
  <c r="D90" i="7"/>
  <c r="R46" i="8"/>
  <c r="K46" i="8"/>
  <c r="M46" i="8" s="1"/>
  <c r="W64" i="3" l="1"/>
  <c r="Z64" i="3" s="1"/>
  <c r="F65" i="3"/>
  <c r="T64" i="3"/>
  <c r="H64" i="10"/>
  <c r="E65" i="3"/>
  <c r="E74" i="2"/>
  <c r="L74" i="2"/>
  <c r="AA64" i="3"/>
  <c r="K64" i="10" s="1"/>
  <c r="J64" i="10"/>
  <c r="G65" i="3"/>
  <c r="AB64" i="3"/>
  <c r="L64" i="10" s="1"/>
  <c r="AB89" i="7"/>
  <c r="C90" i="7"/>
  <c r="R90" i="7" s="1"/>
  <c r="I90" i="7"/>
  <c r="H90" i="7"/>
  <c r="J90" i="7" s="1"/>
  <c r="K90" i="7" s="1"/>
  <c r="T90" i="7" s="1"/>
  <c r="D90" i="8" s="1"/>
  <c r="N90" i="7"/>
  <c r="X46" i="8"/>
  <c r="P46" i="8"/>
  <c r="Q46" i="8" s="1"/>
  <c r="AI46" i="8"/>
  <c r="L46" i="8"/>
  <c r="H65" i="3" l="1"/>
  <c r="F74" i="2"/>
  <c r="E74" i="10"/>
  <c r="B74" i="3"/>
  <c r="S90" i="7"/>
  <c r="C90" i="8" s="1"/>
  <c r="W90" i="7"/>
  <c r="F91" i="7" s="1"/>
  <c r="I65" i="3"/>
  <c r="L65" i="3" s="1"/>
  <c r="L90" i="7"/>
  <c r="G74" i="2"/>
  <c r="H74" i="2" s="1"/>
  <c r="Y46" i="8"/>
  <c r="AA46" i="8" s="1"/>
  <c r="S46" i="8"/>
  <c r="AJ46" i="8"/>
  <c r="AU46" i="8"/>
  <c r="M65" i="3"/>
  <c r="T46" i="8" l="1"/>
  <c r="V46" i="8" s="1"/>
  <c r="AK46" i="8"/>
  <c r="G74" i="10"/>
  <c r="J65" i="3"/>
  <c r="K65" i="3" s="1"/>
  <c r="D74" i="3"/>
  <c r="I74" i="2"/>
  <c r="Q65" i="3"/>
  <c r="Z46" i="8"/>
  <c r="AB46" i="8" s="1"/>
  <c r="O91" i="7"/>
  <c r="V90" i="7"/>
  <c r="U90" i="7"/>
  <c r="AT46" i="8" l="1"/>
  <c r="U65" i="3"/>
  <c r="AC65" i="3"/>
  <c r="M65" i="10" s="1"/>
  <c r="P91" i="7"/>
  <c r="Q91" i="7" s="1"/>
  <c r="N65" i="3"/>
  <c r="J74" i="2"/>
  <c r="M74" i="2"/>
  <c r="AC46" i="8"/>
  <c r="E91" i="8"/>
  <c r="E91" i="7"/>
  <c r="Z90" i="7"/>
  <c r="AA90" i="7" s="1"/>
  <c r="B90" i="7" s="1"/>
  <c r="B90" i="8" s="1"/>
  <c r="U90" i="8" s="1"/>
  <c r="W90" i="8" s="1"/>
  <c r="D91" i="7"/>
  <c r="X90" i="7"/>
  <c r="V65" i="3" l="1"/>
  <c r="Y65" i="3" s="1"/>
  <c r="X65" i="3"/>
  <c r="Y91" i="7"/>
  <c r="O65" i="3"/>
  <c r="D74" i="10"/>
  <c r="B75" i="2"/>
  <c r="F74" i="10"/>
  <c r="C74" i="3"/>
  <c r="AD46" i="8"/>
  <c r="AL46" i="8" s="1"/>
  <c r="M91" i="7"/>
  <c r="H91" i="7"/>
  <c r="I91" i="7"/>
  <c r="AB90" i="7"/>
  <c r="C91" i="7"/>
  <c r="R91" i="7" s="1"/>
  <c r="I65" i="10" l="1"/>
  <c r="F66" i="3"/>
  <c r="W65" i="3"/>
  <c r="Z65" i="3" s="1"/>
  <c r="H65" i="10"/>
  <c r="E66" i="3"/>
  <c r="AP46" i="8"/>
  <c r="F47" i="8" s="1"/>
  <c r="AE46" i="8"/>
  <c r="R65" i="3"/>
  <c r="S65" i="3" s="1"/>
  <c r="P65" i="3"/>
  <c r="S91" i="7"/>
  <c r="C91" i="8" s="1"/>
  <c r="C75" i="10"/>
  <c r="K75" i="2"/>
  <c r="D75" i="2"/>
  <c r="C75" i="2"/>
  <c r="E75" i="2" s="1"/>
  <c r="AF46" i="8"/>
  <c r="AM46" i="8" s="1"/>
  <c r="AQ46" i="8" s="1"/>
  <c r="G47" i="8" s="1"/>
  <c r="AA65" i="3"/>
  <c r="K65" i="10" s="1"/>
  <c r="N91" i="7"/>
  <c r="J91" i="7"/>
  <c r="J65" i="10" l="1"/>
  <c r="G66" i="3"/>
  <c r="L75" i="2"/>
  <c r="T65" i="3"/>
  <c r="AG46" i="8"/>
  <c r="AH46" i="8" s="1"/>
  <c r="AN46" i="8" s="1"/>
  <c r="AR46" i="8" s="1"/>
  <c r="H47" i="8" s="1"/>
  <c r="F75" i="2"/>
  <c r="W91" i="7"/>
  <c r="F92" i="7" s="1"/>
  <c r="K91" i="7"/>
  <c r="L91" i="7"/>
  <c r="T91" i="7"/>
  <c r="D91" i="8" s="1"/>
  <c r="H66" i="3" l="1"/>
  <c r="U91" i="7"/>
  <c r="G75" i="2"/>
  <c r="B75" i="3"/>
  <c r="E75" i="10"/>
  <c r="I47" i="8"/>
  <c r="AO46" i="8"/>
  <c r="AB65" i="3"/>
  <c r="L65" i="10" s="1"/>
  <c r="O92" i="7"/>
  <c r="V91" i="7"/>
  <c r="I66" i="3" l="1"/>
  <c r="L66" i="3" s="1"/>
  <c r="M66" i="3"/>
  <c r="D92" i="7"/>
  <c r="J47" i="8"/>
  <c r="N47" i="8" s="1"/>
  <c r="AS46" i="8"/>
  <c r="I75" i="2"/>
  <c r="H75" i="2"/>
  <c r="O47" i="8"/>
  <c r="P92" i="7"/>
  <c r="Q92" i="7" s="1"/>
  <c r="H92" i="7"/>
  <c r="I92" i="7"/>
  <c r="E92" i="7"/>
  <c r="Z91" i="7"/>
  <c r="AA91" i="7" s="1"/>
  <c r="B91" i="7" s="1"/>
  <c r="B91" i="8" s="1"/>
  <c r="U91" i="8" s="1"/>
  <c r="W91" i="8" s="1"/>
  <c r="X91" i="7"/>
  <c r="Q66" i="3" l="1"/>
  <c r="J66" i="3"/>
  <c r="K66" i="3" s="1"/>
  <c r="R47" i="8"/>
  <c r="K47" i="8"/>
  <c r="M47" i="8" s="1"/>
  <c r="M75" i="2"/>
  <c r="J75" i="2"/>
  <c r="D75" i="3"/>
  <c r="G75" i="10"/>
  <c r="E92" i="8"/>
  <c r="Y92" i="7"/>
  <c r="M92" i="7"/>
  <c r="C92" i="7"/>
  <c r="R92" i="7" s="1"/>
  <c r="S92" i="7" s="1"/>
  <c r="C92" i="8" s="1"/>
  <c r="AB91" i="7"/>
  <c r="J92" i="7"/>
  <c r="AC66" i="3" l="1"/>
  <c r="M66" i="10" s="1"/>
  <c r="N66" i="3"/>
  <c r="U66" i="3"/>
  <c r="X47" i="8"/>
  <c r="Y47" i="8" s="1"/>
  <c r="AA47" i="8" s="1"/>
  <c r="AI47" i="8"/>
  <c r="AJ47" i="8" s="1"/>
  <c r="P47" i="8"/>
  <c r="Q47" i="8" s="1"/>
  <c r="S47" i="8" s="1"/>
  <c r="L47" i="8"/>
  <c r="AU47" i="8"/>
  <c r="F75" i="10"/>
  <c r="C75" i="3"/>
  <c r="D75" i="10"/>
  <c r="B76" i="2"/>
  <c r="K92" i="7"/>
  <c r="N92" i="7"/>
  <c r="W92" i="7" s="1"/>
  <c r="F93" i="7" s="1"/>
  <c r="O66" i="3"/>
  <c r="X66" i="3"/>
  <c r="C76" i="2"/>
  <c r="V66" i="3" l="1"/>
  <c r="Y66" i="3" s="1"/>
  <c r="T47" i="8"/>
  <c r="V47" i="8" s="1"/>
  <c r="AK47" i="8"/>
  <c r="Z47" i="8"/>
  <c r="AB47" i="8" s="1"/>
  <c r="D76" i="2"/>
  <c r="K76" i="2"/>
  <c r="C76" i="10"/>
  <c r="T92" i="7"/>
  <c r="D92" i="8" s="1"/>
  <c r="L92" i="7"/>
  <c r="O93" i="7"/>
  <c r="P66" i="3"/>
  <c r="E67" i="3"/>
  <c r="R66" i="3"/>
  <c r="S66" i="3" s="1"/>
  <c r="H66" i="10"/>
  <c r="I66" i="10" l="1"/>
  <c r="F67" i="3"/>
  <c r="W66" i="3"/>
  <c r="Z66" i="3" s="1"/>
  <c r="AC47" i="8"/>
  <c r="AT47" i="8"/>
  <c r="E76" i="2"/>
  <c r="L76" i="2"/>
  <c r="U92" i="7"/>
  <c r="V92" i="7"/>
  <c r="J66" i="10"/>
  <c r="G67" i="3"/>
  <c r="AA66" i="3"/>
  <c r="K66" i="10" s="1"/>
  <c r="P93" i="7"/>
  <c r="Q93" i="7" s="1"/>
  <c r="T66" i="3"/>
  <c r="AD47" i="8" l="1"/>
  <c r="F76" i="2"/>
  <c r="B76" i="3"/>
  <c r="E76" i="10"/>
  <c r="X92" i="7"/>
  <c r="D93" i="7"/>
  <c r="E93" i="7"/>
  <c r="Z92" i="7"/>
  <c r="AA92" i="7" s="1"/>
  <c r="B92" i="7" s="1"/>
  <c r="B92" i="8" s="1"/>
  <c r="U92" i="8" s="1"/>
  <c r="W92" i="8" s="1"/>
  <c r="Y93" i="7"/>
  <c r="E93" i="8"/>
  <c r="H67" i="3"/>
  <c r="AB66" i="3"/>
  <c r="L66" i="10" s="1"/>
  <c r="AL47" i="8" l="1"/>
  <c r="AP47" i="8" s="1"/>
  <c r="F48" i="8" s="1"/>
  <c r="AE47" i="8"/>
  <c r="G76" i="2"/>
  <c r="AB92" i="7"/>
  <c r="I93" i="7"/>
  <c r="C93" i="7"/>
  <c r="R93" i="7" s="1"/>
  <c r="H93" i="7"/>
  <c r="M93" i="7"/>
  <c r="AF47" i="8"/>
  <c r="AM47" i="8" s="1"/>
  <c r="AQ47" i="8" s="1"/>
  <c r="G48" i="8" s="1"/>
  <c r="M67" i="3"/>
  <c r="I67" i="3"/>
  <c r="L67" i="3" s="1"/>
  <c r="I76" i="2" l="1"/>
  <c r="H76" i="2"/>
  <c r="J93" i="7"/>
  <c r="S93" i="7"/>
  <c r="C93" i="8" s="1"/>
  <c r="K93" i="7"/>
  <c r="T93" i="7" s="1"/>
  <c r="D93" i="8" s="1"/>
  <c r="N93" i="7"/>
  <c r="W93" i="7" s="1"/>
  <c r="F94" i="7" s="1"/>
  <c r="AG47" i="8"/>
  <c r="AH47" i="8" s="1"/>
  <c r="AN47" i="8" s="1"/>
  <c r="AR47" i="8" s="1"/>
  <c r="H48" i="8" s="1"/>
  <c r="I48" i="8" s="1"/>
  <c r="Q67" i="3"/>
  <c r="J67" i="3"/>
  <c r="K67" i="3" s="1"/>
  <c r="J76" i="2"/>
  <c r="M76" i="2" l="1"/>
  <c r="D76" i="3"/>
  <c r="G76" i="10"/>
  <c r="O94" i="7"/>
  <c r="L93" i="7"/>
  <c r="V93" i="7" s="1"/>
  <c r="J48" i="8"/>
  <c r="N48" i="8" s="1"/>
  <c r="O48" i="8"/>
  <c r="AO47" i="8"/>
  <c r="U67" i="3"/>
  <c r="N67" i="3"/>
  <c r="AC67" i="3"/>
  <c r="M67" i="10" s="1"/>
  <c r="X67" i="3"/>
  <c r="B77" i="2"/>
  <c r="D76" i="10"/>
  <c r="C76" i="3" l="1"/>
  <c r="F76" i="10"/>
  <c r="P94" i="7"/>
  <c r="Q94" i="7" s="1"/>
  <c r="E94" i="7"/>
  <c r="Z93" i="7"/>
  <c r="AA93" i="7" s="1"/>
  <c r="B93" i="7" s="1"/>
  <c r="B93" i="8" s="1"/>
  <c r="U93" i="8" s="1"/>
  <c r="W93" i="8" s="1"/>
  <c r="U93" i="7"/>
  <c r="AS47" i="8"/>
  <c r="R48" i="8"/>
  <c r="K48" i="8"/>
  <c r="M48" i="8" s="1"/>
  <c r="C77" i="2"/>
  <c r="D77" i="2"/>
  <c r="K77" i="2"/>
  <c r="O67" i="3"/>
  <c r="E68" i="3"/>
  <c r="H67" i="10"/>
  <c r="V67" i="3"/>
  <c r="Y67" i="3" s="1"/>
  <c r="C77" i="10"/>
  <c r="E94" i="8" l="1"/>
  <c r="Y94" i="7"/>
  <c r="X93" i="7"/>
  <c r="P48" i="8"/>
  <c r="Q48" i="8" s="1"/>
  <c r="L48" i="8"/>
  <c r="AU48" i="8" s="1"/>
  <c r="X48" i="8"/>
  <c r="M94" i="7"/>
  <c r="D94" i="7"/>
  <c r="P67" i="3"/>
  <c r="AI48" i="8"/>
  <c r="L77" i="2"/>
  <c r="I67" i="10"/>
  <c r="F68" i="3"/>
  <c r="R67" i="3"/>
  <c r="S67" i="3" s="1"/>
  <c r="W67" i="3"/>
  <c r="Z67" i="3" s="1"/>
  <c r="E77" i="2"/>
  <c r="I94" i="7" l="1"/>
  <c r="H94" i="7"/>
  <c r="J94" i="7" s="1"/>
  <c r="AB93" i="7"/>
  <c r="C94" i="7"/>
  <c r="R94" i="7" s="1"/>
  <c r="S48" i="8"/>
  <c r="Y48" i="8"/>
  <c r="AA48" i="8" s="1"/>
  <c r="T67" i="3"/>
  <c r="B77" i="3"/>
  <c r="AA67" i="3"/>
  <c r="K67" i="10" s="1"/>
  <c r="N94" i="7"/>
  <c r="W94" i="7" s="1"/>
  <c r="F95" i="7" s="1"/>
  <c r="E77" i="10"/>
  <c r="AJ48" i="8"/>
  <c r="J67" i="10"/>
  <c r="F77" i="2"/>
  <c r="G68" i="3"/>
  <c r="Z48" i="8"/>
  <c r="AB48" i="8" s="1"/>
  <c r="S94" i="7" l="1"/>
  <c r="C94" i="8" s="1"/>
  <c r="K94" i="7"/>
  <c r="AB67" i="3"/>
  <c r="L67" i="10" s="1"/>
  <c r="AK48" i="8"/>
  <c r="T48" i="8"/>
  <c r="V48" i="8" s="1"/>
  <c r="O95" i="7"/>
  <c r="H68" i="3"/>
  <c r="G77" i="2"/>
  <c r="AC48" i="8"/>
  <c r="L94" i="7" l="1"/>
  <c r="T94" i="7"/>
  <c r="D94" i="8" s="1"/>
  <c r="AT48" i="8"/>
  <c r="I68" i="3"/>
  <c r="L68" i="3" s="1"/>
  <c r="M68" i="3"/>
  <c r="P95" i="7"/>
  <c r="Q95" i="7" s="1"/>
  <c r="AD48" i="8"/>
  <c r="I77" i="2"/>
  <c r="H77" i="2"/>
  <c r="V94" i="7" l="1"/>
  <c r="U94" i="7"/>
  <c r="E95" i="8"/>
  <c r="Y95" i="7"/>
  <c r="Q68" i="3"/>
  <c r="J68" i="3"/>
  <c r="K68" i="3" s="1"/>
  <c r="AL48" i="8"/>
  <c r="AE48" i="8"/>
  <c r="J77" i="2"/>
  <c r="G77" i="10"/>
  <c r="M77" i="2"/>
  <c r="D77" i="3"/>
  <c r="D95" i="7"/>
  <c r="X94" i="7"/>
  <c r="E95" i="7"/>
  <c r="Z94" i="7" l="1"/>
  <c r="AA94" i="7" s="1"/>
  <c r="B94" i="7" s="1"/>
  <c r="B94" i="8" s="1"/>
  <c r="U94" i="8" s="1"/>
  <c r="W94" i="8" s="1"/>
  <c r="N68" i="3"/>
  <c r="AC68" i="3"/>
  <c r="M68" i="10" s="1"/>
  <c r="U68" i="3"/>
  <c r="X68" i="3" s="1"/>
  <c r="AF48" i="8"/>
  <c r="AM48" i="8" s="1"/>
  <c r="AQ48" i="8" s="1"/>
  <c r="G49" i="8" s="1"/>
  <c r="AP48" i="8"/>
  <c r="F49" i="8" s="1"/>
  <c r="F77" i="10"/>
  <c r="C77" i="3"/>
  <c r="D77" i="10"/>
  <c r="B78" i="2"/>
  <c r="I95" i="7"/>
  <c r="H95" i="7"/>
  <c r="C95" i="7"/>
  <c r="R95" i="7" s="1"/>
  <c r="AB94" i="7"/>
  <c r="M95" i="7"/>
  <c r="C78" i="2"/>
  <c r="D78" i="2"/>
  <c r="K78" i="2" l="1"/>
  <c r="C78" i="10"/>
  <c r="O68" i="3"/>
  <c r="P68" i="3"/>
  <c r="V68" i="3"/>
  <c r="Y68" i="3" s="1"/>
  <c r="H68" i="10"/>
  <c r="E69" i="3"/>
  <c r="AG48" i="8"/>
  <c r="AH48" i="8" s="1"/>
  <c r="AN48" i="8" s="1"/>
  <c r="AR48" i="8" s="1"/>
  <c r="H49" i="8" s="1"/>
  <c r="S95" i="7"/>
  <c r="C95" i="8" s="1"/>
  <c r="J95" i="7"/>
  <c r="K95" i="7"/>
  <c r="N95" i="7"/>
  <c r="W95" i="7" s="1"/>
  <c r="F96" i="7" s="1"/>
  <c r="O96" i="7" s="1"/>
  <c r="P96" i="7" s="1"/>
  <c r="Q96" i="7" s="1"/>
  <c r="E78" i="2"/>
  <c r="R68" i="3" l="1"/>
  <c r="S68" i="3" s="1"/>
  <c r="L78" i="2"/>
  <c r="W68" i="3"/>
  <c r="Z68" i="3" s="1"/>
  <c r="I68" i="10"/>
  <c r="F69" i="3"/>
  <c r="AO48" i="8"/>
  <c r="AS48" i="8" s="1"/>
  <c r="I49" i="8"/>
  <c r="Y96" i="7"/>
  <c r="E96" i="8"/>
  <c r="T95" i="7"/>
  <c r="D95" i="8" s="1"/>
  <c r="L95" i="7"/>
  <c r="F78" i="2"/>
  <c r="B78" i="3" l="1"/>
  <c r="T68" i="3"/>
  <c r="AB68" i="3" s="1"/>
  <c r="L68" i="10" s="1"/>
  <c r="E78" i="10"/>
  <c r="O49" i="8"/>
  <c r="J49" i="8"/>
  <c r="N49" i="8" s="1"/>
  <c r="R49" i="8" s="1"/>
  <c r="AA68" i="3"/>
  <c r="K68" i="10" s="1"/>
  <c r="G69" i="3"/>
  <c r="J68" i="10"/>
  <c r="U95" i="7"/>
  <c r="V95" i="7"/>
  <c r="G78" i="2"/>
  <c r="K49" i="8" l="1"/>
  <c r="M49" i="8" s="1"/>
  <c r="H69" i="3"/>
  <c r="X95" i="7"/>
  <c r="D96" i="7"/>
  <c r="E96" i="7"/>
  <c r="Z95" i="7"/>
  <c r="AA95" i="7" s="1"/>
  <c r="B95" i="7" s="1"/>
  <c r="B95" i="8" s="1"/>
  <c r="U95" i="8" s="1"/>
  <c r="W95" i="8" s="1"/>
  <c r="I78" i="2"/>
  <c r="H78" i="2"/>
  <c r="L49" i="8" l="1"/>
  <c r="I69" i="3"/>
  <c r="L69" i="3" s="1"/>
  <c r="M69" i="3"/>
  <c r="AU49" i="8"/>
  <c r="P49" i="8"/>
  <c r="Q49" i="8" s="1"/>
  <c r="S49" i="8" s="1"/>
  <c r="X49" i="8"/>
  <c r="Y49" i="8" s="1"/>
  <c r="AA49" i="8" s="1"/>
  <c r="AI49" i="8"/>
  <c r="AJ49" i="8" s="1"/>
  <c r="J69" i="3"/>
  <c r="K69" i="3" s="1"/>
  <c r="C96" i="7"/>
  <c r="R96" i="7" s="1"/>
  <c r="AB95" i="7"/>
  <c r="I96" i="7"/>
  <c r="H96" i="7"/>
  <c r="J96" i="7" s="1"/>
  <c r="M96" i="7"/>
  <c r="J78" i="2"/>
  <c r="M78" i="2"/>
  <c r="D78" i="3"/>
  <c r="G78" i="10"/>
  <c r="Q69" i="3" l="1"/>
  <c r="AC69" i="3"/>
  <c r="M69" i="10" s="1"/>
  <c r="Z49" i="8"/>
  <c r="AB49" i="8" s="1"/>
  <c r="AK49" i="8"/>
  <c r="T49" i="8"/>
  <c r="V49" i="8" s="1"/>
  <c r="N69" i="3"/>
  <c r="U69" i="3"/>
  <c r="S96" i="7"/>
  <c r="C96" i="8" s="1"/>
  <c r="K96" i="7"/>
  <c r="T96" i="7" s="1"/>
  <c r="D96" i="8" s="1"/>
  <c r="N96" i="7"/>
  <c r="W96" i="7" s="1"/>
  <c r="F97" i="7" s="1"/>
  <c r="B79" i="2"/>
  <c r="D78" i="10"/>
  <c r="C78" i="3"/>
  <c r="F78" i="10"/>
  <c r="C79" i="10"/>
  <c r="AC49" i="8" l="1"/>
  <c r="AD49" i="8" s="1"/>
  <c r="AT49" i="8"/>
  <c r="V69" i="3"/>
  <c r="Y69" i="3" s="1"/>
  <c r="X69" i="3"/>
  <c r="O69" i="3"/>
  <c r="R69" i="3" s="1"/>
  <c r="S69" i="3" s="1"/>
  <c r="L96" i="7"/>
  <c r="V96" i="7" s="1"/>
  <c r="O97" i="7"/>
  <c r="D79" i="2"/>
  <c r="K79" i="2"/>
  <c r="C79" i="2"/>
  <c r="AE49" i="8"/>
  <c r="AL49" i="8"/>
  <c r="E70" i="3" l="1"/>
  <c r="H69" i="10"/>
  <c r="P69" i="3"/>
  <c r="T69" i="3"/>
  <c r="Z96" i="7"/>
  <c r="AA96" i="7" s="1"/>
  <c r="B96" i="7" s="1"/>
  <c r="B96" i="8" s="1"/>
  <c r="U96" i="8" s="1"/>
  <c r="W96" i="8" s="1"/>
  <c r="I69" i="10"/>
  <c r="F70" i="3"/>
  <c r="E97" i="7"/>
  <c r="U96" i="7"/>
  <c r="W69" i="3"/>
  <c r="Z69" i="3" s="1"/>
  <c r="P97" i="7"/>
  <c r="Q97" i="7" s="1"/>
  <c r="E79" i="2"/>
  <c r="L79" i="2"/>
  <c r="AF49" i="8"/>
  <c r="AM49" i="8" s="1"/>
  <c r="AQ49" i="8" s="1"/>
  <c r="G50" i="8" s="1"/>
  <c r="AP49" i="8"/>
  <c r="F50" i="8" s="1"/>
  <c r="AB69" i="3" l="1"/>
  <c r="L69" i="10" s="1"/>
  <c r="E97" i="8"/>
  <c r="Y97" i="7"/>
  <c r="M97" i="7"/>
  <c r="D97" i="7"/>
  <c r="X96" i="7"/>
  <c r="J69" i="10"/>
  <c r="G70" i="3"/>
  <c r="AA69" i="3"/>
  <c r="K69" i="10" s="1"/>
  <c r="F79" i="2"/>
  <c r="E79" i="10"/>
  <c r="B79" i="3"/>
  <c r="AG49" i="8"/>
  <c r="AH49" i="8" s="1"/>
  <c r="AN49" i="8" s="1"/>
  <c r="AR49" i="8" s="1"/>
  <c r="H50" i="8" s="1"/>
  <c r="H97" i="7" l="1"/>
  <c r="I97" i="7"/>
  <c r="AB96" i="7"/>
  <c r="C97" i="7"/>
  <c r="R97" i="7" s="1"/>
  <c r="N97" i="7"/>
  <c r="W97" i="7" s="1"/>
  <c r="F98" i="7" s="1"/>
  <c r="H70" i="3"/>
  <c r="I70" i="3" s="1"/>
  <c r="L70" i="3" s="1"/>
  <c r="G79" i="2"/>
  <c r="I50" i="8"/>
  <c r="AO49" i="8"/>
  <c r="AS49" i="8" s="1"/>
  <c r="O98" i="7" l="1"/>
  <c r="J97" i="7"/>
  <c r="M70" i="3"/>
  <c r="S97" i="7"/>
  <c r="C97" i="8" s="1"/>
  <c r="J70" i="3"/>
  <c r="K70" i="3" s="1"/>
  <c r="Q70" i="3"/>
  <c r="I79" i="2"/>
  <c r="H79" i="2"/>
  <c r="J50" i="8"/>
  <c r="N50" i="8" s="1"/>
  <c r="O50" i="8"/>
  <c r="N70" i="3"/>
  <c r="K97" i="7" l="1"/>
  <c r="P98" i="7"/>
  <c r="Q98" i="7" s="1"/>
  <c r="U70" i="3"/>
  <c r="AC70" i="3"/>
  <c r="M70" i="10" s="1"/>
  <c r="J79" i="2"/>
  <c r="M79" i="2"/>
  <c r="G79" i="10"/>
  <c r="D79" i="3"/>
  <c r="K50" i="8"/>
  <c r="M50" i="8" s="1"/>
  <c r="O70" i="3"/>
  <c r="R50" i="8"/>
  <c r="L97" i="7" l="1"/>
  <c r="V97" i="7" s="1"/>
  <c r="T97" i="7"/>
  <c r="D97" i="8" s="1"/>
  <c r="E98" i="8"/>
  <c r="Y98" i="7"/>
  <c r="V70" i="3"/>
  <c r="Y70" i="3" s="1"/>
  <c r="X70" i="3"/>
  <c r="B80" i="2"/>
  <c r="D79" i="10"/>
  <c r="C79" i="3"/>
  <c r="F79" i="10"/>
  <c r="P70" i="3"/>
  <c r="AI50" i="8"/>
  <c r="R70" i="3"/>
  <c r="S70" i="3" s="1"/>
  <c r="P50" i="8"/>
  <c r="Q50" i="8" s="1"/>
  <c r="X50" i="8"/>
  <c r="L50" i="8"/>
  <c r="E98" i="7" l="1"/>
  <c r="Z97" i="7"/>
  <c r="AA97" i="7" s="1"/>
  <c r="B97" i="7" s="1"/>
  <c r="B97" i="8" s="1"/>
  <c r="U97" i="8" s="1"/>
  <c r="U97" i="7"/>
  <c r="E71" i="3"/>
  <c r="I70" i="10"/>
  <c r="F71" i="3"/>
  <c r="W70" i="3"/>
  <c r="Z70" i="3" s="1"/>
  <c r="H70" i="10"/>
  <c r="S50" i="8"/>
  <c r="T70" i="3"/>
  <c r="C80" i="10"/>
  <c r="K80" i="2"/>
  <c r="D80" i="2"/>
  <c r="C80" i="2"/>
  <c r="E80" i="2" s="1"/>
  <c r="AJ50" i="8"/>
  <c r="Y50" i="8"/>
  <c r="AA50" i="8" s="1"/>
  <c r="AU50" i="8"/>
  <c r="M98" i="7" l="1"/>
  <c r="L80" i="2"/>
  <c r="X97" i="7"/>
  <c r="D98" i="7"/>
  <c r="W97" i="8"/>
  <c r="G71" i="3"/>
  <c r="J70" i="10"/>
  <c r="AA70" i="3"/>
  <c r="K70" i="10" s="1"/>
  <c r="Z50" i="8"/>
  <c r="AB50" i="8" s="1"/>
  <c r="T50" i="8"/>
  <c r="V50" i="8" s="1"/>
  <c r="AB70" i="3"/>
  <c r="L70" i="10" s="1"/>
  <c r="AK50" i="8"/>
  <c r="F80" i="2"/>
  <c r="N98" i="7" l="1"/>
  <c r="W98" i="7" s="1"/>
  <c r="F99" i="7" s="1"/>
  <c r="O99" i="7" s="1"/>
  <c r="AB97" i="7"/>
  <c r="I98" i="7"/>
  <c r="H98" i="7"/>
  <c r="J98" i="7" s="1"/>
  <c r="C98" i="7"/>
  <c r="R98" i="7" s="1"/>
  <c r="B80" i="3"/>
  <c r="E80" i="10"/>
  <c r="H71" i="3"/>
  <c r="AC50" i="8"/>
  <c r="AT50" i="8"/>
  <c r="G80" i="2"/>
  <c r="P99" i="7" l="1"/>
  <c r="Q99" i="7" s="1"/>
  <c r="S98" i="7"/>
  <c r="C98" i="8" s="1"/>
  <c r="K98" i="7"/>
  <c r="M71" i="3"/>
  <c r="I71" i="3"/>
  <c r="L71" i="3" s="1"/>
  <c r="Q71" i="3" s="1"/>
  <c r="AD50" i="8"/>
  <c r="I80" i="2"/>
  <c r="H80" i="2"/>
  <c r="E99" i="8" l="1"/>
  <c r="T98" i="7"/>
  <c r="D98" i="8" s="1"/>
  <c r="L98" i="7"/>
  <c r="V98" i="7" s="1"/>
  <c r="E99" i="7" s="1"/>
  <c r="M99" i="7" s="1"/>
  <c r="Y99" i="7"/>
  <c r="J71" i="3"/>
  <c r="K71" i="3" s="1"/>
  <c r="Z98" i="7"/>
  <c r="AA98" i="7" s="1"/>
  <c r="B98" i="7" s="1"/>
  <c r="B98" i="8" s="1"/>
  <c r="U98" i="7"/>
  <c r="AE50" i="8"/>
  <c r="AF50" i="8" s="1"/>
  <c r="AM50" i="8" s="1"/>
  <c r="AQ50" i="8" s="1"/>
  <c r="G51" i="8" s="1"/>
  <c r="AL50" i="8"/>
  <c r="M80" i="2"/>
  <c r="J80" i="2"/>
  <c r="D80" i="3"/>
  <c r="G80" i="10"/>
  <c r="N99" i="7" l="1"/>
  <c r="W99" i="7" s="1"/>
  <c r="F100" i="7" s="1"/>
  <c r="AC71" i="3"/>
  <c r="M71" i="10" s="1"/>
  <c r="U71" i="3"/>
  <c r="N71" i="3"/>
  <c r="AP50" i="8"/>
  <c r="F51" i="8" s="1"/>
  <c r="D99" i="7"/>
  <c r="X98" i="7"/>
  <c r="U98" i="8"/>
  <c r="W98" i="8" s="1"/>
  <c r="O100" i="7"/>
  <c r="AG50" i="8"/>
  <c r="AH50" i="8" s="1"/>
  <c r="AN50" i="8" s="1"/>
  <c r="AR50" i="8" s="1"/>
  <c r="H51" i="8" s="1"/>
  <c r="F80" i="10"/>
  <c r="C80" i="3"/>
  <c r="D80" i="10"/>
  <c r="B81" i="2"/>
  <c r="C81" i="2" l="1"/>
  <c r="D81" i="2"/>
  <c r="K81" i="2"/>
  <c r="C81" i="10"/>
  <c r="I99" i="7"/>
  <c r="C99" i="7"/>
  <c r="R99" i="7" s="1"/>
  <c r="X71" i="3"/>
  <c r="H99" i="7"/>
  <c r="V71" i="3"/>
  <c r="Y71" i="3" s="1"/>
  <c r="O71" i="3"/>
  <c r="AB98" i="7"/>
  <c r="P100" i="7"/>
  <c r="Q100" i="7" s="1"/>
  <c r="AO50" i="8"/>
  <c r="I51" i="8"/>
  <c r="E72" i="3" l="1"/>
  <c r="H71" i="10"/>
  <c r="AS50" i="8"/>
  <c r="E81" i="2"/>
  <c r="L81" i="2"/>
  <c r="J99" i="7"/>
  <c r="K99" i="7" s="1"/>
  <c r="T99" i="7" s="1"/>
  <c r="D99" i="8" s="1"/>
  <c r="S99" i="7"/>
  <c r="C99" i="8" s="1"/>
  <c r="P71" i="3"/>
  <c r="I71" i="10"/>
  <c r="F72" i="3"/>
  <c r="R71" i="3"/>
  <c r="S71" i="3" s="1"/>
  <c r="W71" i="3"/>
  <c r="E100" i="8"/>
  <c r="Y100" i="7"/>
  <c r="J51" i="8"/>
  <c r="N51" i="8" s="1"/>
  <c r="O51" i="8"/>
  <c r="T71" i="3" l="1"/>
  <c r="AA71" i="3"/>
  <c r="K71" i="10" s="1"/>
  <c r="Z71" i="3"/>
  <c r="K51" i="8"/>
  <c r="M51" i="8" s="1"/>
  <c r="F81" i="2"/>
  <c r="E81" i="10"/>
  <c r="B81" i="3"/>
  <c r="L99" i="7"/>
  <c r="V99" i="7" s="1"/>
  <c r="R51" i="8"/>
  <c r="AB71" i="3"/>
  <c r="L71" i="10" s="1"/>
  <c r="P51" i="8"/>
  <c r="Q51" i="8" s="1"/>
  <c r="S51" i="8" s="1"/>
  <c r="G81" i="2"/>
  <c r="J71" i="10" l="1"/>
  <c r="G72" i="3"/>
  <c r="H72" i="3" s="1"/>
  <c r="AI51" i="8"/>
  <c r="AJ51" i="8" s="1"/>
  <c r="L51" i="8"/>
  <c r="X51" i="8"/>
  <c r="Y51" i="8" s="1"/>
  <c r="AA51" i="8" s="1"/>
  <c r="Z99" i="7"/>
  <c r="AA99" i="7" s="1"/>
  <c r="B99" i="7" s="1"/>
  <c r="B99" i="8" s="1"/>
  <c r="E100" i="7"/>
  <c r="M100" i="7" s="1"/>
  <c r="U99" i="7"/>
  <c r="Z51" i="8"/>
  <c r="AB51" i="8" s="1"/>
  <c r="M72" i="3"/>
  <c r="AU51" i="8"/>
  <c r="T51" i="8"/>
  <c r="V51" i="8" s="1"/>
  <c r="I81" i="2"/>
  <c r="H81" i="2"/>
  <c r="AK51" i="8" l="1"/>
  <c r="I72" i="3"/>
  <c r="L72" i="3" s="1"/>
  <c r="X99" i="7"/>
  <c r="AB99" i="7" s="1"/>
  <c r="N100" i="7"/>
  <c r="W100" i="7" s="1"/>
  <c r="F101" i="7" s="1"/>
  <c r="O101" i="7" s="1"/>
  <c r="D100" i="7"/>
  <c r="U99" i="8"/>
  <c r="W99" i="8" s="1"/>
  <c r="C100" i="7"/>
  <c r="R100" i="7" s="1"/>
  <c r="H100" i="7"/>
  <c r="AC51" i="8"/>
  <c r="AT51" i="8"/>
  <c r="Q72" i="3"/>
  <c r="M81" i="2"/>
  <c r="J81" i="2"/>
  <c r="D81" i="3"/>
  <c r="G81" i="10"/>
  <c r="J72" i="3" l="1"/>
  <c r="K72" i="3" s="1"/>
  <c r="I100" i="7"/>
  <c r="P101" i="7"/>
  <c r="Q101" i="7" s="1"/>
  <c r="AD51" i="8"/>
  <c r="AL51" i="8" s="1"/>
  <c r="F81" i="10"/>
  <c r="C81" i="3"/>
  <c r="D81" i="10"/>
  <c r="B82" i="2"/>
  <c r="N72" i="3"/>
  <c r="U72" i="3" l="1"/>
  <c r="AC72" i="3"/>
  <c r="M72" i="10" s="1"/>
  <c r="S100" i="7"/>
  <c r="C100" i="8" s="1"/>
  <c r="Y101" i="7"/>
  <c r="E101" i="8"/>
  <c r="J100" i="7"/>
  <c r="K100" i="7" s="1"/>
  <c r="T100" i="7" s="1"/>
  <c r="D100" i="8" s="1"/>
  <c r="AP51" i="8"/>
  <c r="F52" i="8" s="1"/>
  <c r="AE51" i="8"/>
  <c r="AF51" i="8"/>
  <c r="AM51" i="8" s="1"/>
  <c r="AQ51" i="8" s="1"/>
  <c r="G52" i="8" s="1"/>
  <c r="X72" i="3"/>
  <c r="C82" i="2"/>
  <c r="D82" i="2"/>
  <c r="K82" i="2"/>
  <c r="C82" i="10"/>
  <c r="V72" i="3"/>
  <c r="Y72" i="3" s="1"/>
  <c r="O72" i="3"/>
  <c r="L100" i="7" l="1"/>
  <c r="AG51" i="8"/>
  <c r="AH51" i="8" s="1"/>
  <c r="AN51" i="8" s="1"/>
  <c r="AR51" i="8" s="1"/>
  <c r="H52" i="8" s="1"/>
  <c r="E73" i="3"/>
  <c r="H72" i="10"/>
  <c r="P72" i="3"/>
  <c r="E82" i="2"/>
  <c r="I72" i="10"/>
  <c r="F73" i="3"/>
  <c r="R72" i="3"/>
  <c r="S72" i="3" s="1"/>
  <c r="L82" i="2"/>
  <c r="W72" i="3"/>
  <c r="V100" i="7" l="1"/>
  <c r="U100" i="7"/>
  <c r="D101" i="7" s="1"/>
  <c r="I52" i="8"/>
  <c r="AO51" i="8"/>
  <c r="F82" i="2"/>
  <c r="E82" i="10"/>
  <c r="B82" i="3"/>
  <c r="AA72" i="3"/>
  <c r="K72" i="10" s="1"/>
  <c r="Z72" i="3"/>
  <c r="T72" i="3"/>
  <c r="Z100" i="7" l="1"/>
  <c r="AA100" i="7" s="1"/>
  <c r="B100" i="7" s="1"/>
  <c r="B100" i="8" s="1"/>
  <c r="U100" i="8" s="1"/>
  <c r="W100" i="8" s="1"/>
  <c r="E101" i="7"/>
  <c r="I101" i="7"/>
  <c r="H101" i="7"/>
  <c r="J101" i="7" s="1"/>
  <c r="X100" i="7"/>
  <c r="C101" i="7"/>
  <c r="R101" i="7" s="1"/>
  <c r="J52" i="8"/>
  <c r="N52" i="8" s="1"/>
  <c r="AS51" i="8"/>
  <c r="O52" i="8"/>
  <c r="G82" i="2"/>
  <c r="H82" i="2" s="1"/>
  <c r="G73" i="3"/>
  <c r="J72" i="10"/>
  <c r="AB72" i="3"/>
  <c r="L72" i="10" s="1"/>
  <c r="AB100" i="7" l="1"/>
  <c r="S101" i="7"/>
  <c r="C101" i="8" s="1"/>
  <c r="M101" i="7"/>
  <c r="K101" i="7"/>
  <c r="T101" i="7" s="1"/>
  <c r="D101" i="8" s="1"/>
  <c r="R52" i="8"/>
  <c r="K52" i="8"/>
  <c r="M52" i="8" s="1"/>
  <c r="G82" i="10"/>
  <c r="D82" i="3"/>
  <c r="I82" i="2"/>
  <c r="H73" i="3"/>
  <c r="N101" i="7" l="1"/>
  <c r="W101" i="7" s="1"/>
  <c r="F102" i="7" s="1"/>
  <c r="L101" i="7"/>
  <c r="L52" i="8"/>
  <c r="AI52" i="8"/>
  <c r="P52" i="8"/>
  <c r="Q52" i="8" s="1"/>
  <c r="X52" i="8"/>
  <c r="J82" i="2"/>
  <c r="M82" i="2"/>
  <c r="I73" i="3"/>
  <c r="L73" i="3" s="1"/>
  <c r="M73" i="3"/>
  <c r="O102" i="7" l="1"/>
  <c r="P102" i="7"/>
  <c r="Q102" i="7" s="1"/>
  <c r="U101" i="7"/>
  <c r="D102" i="7" s="1"/>
  <c r="V101" i="7"/>
  <c r="E102" i="7"/>
  <c r="Z101" i="7"/>
  <c r="AA101" i="7" s="1"/>
  <c r="B101" i="7" s="1"/>
  <c r="B101" i="8" s="1"/>
  <c r="U101" i="8" s="1"/>
  <c r="W101" i="8" s="1"/>
  <c r="AU52" i="8"/>
  <c r="AJ52" i="8"/>
  <c r="S52" i="8"/>
  <c r="Y52" i="8"/>
  <c r="AA52" i="8" s="1"/>
  <c r="E102" i="8"/>
  <c r="Y102" i="7"/>
  <c r="B83" i="2"/>
  <c r="D82" i="10"/>
  <c r="C82" i="3"/>
  <c r="F82" i="10"/>
  <c r="Z52" i="8"/>
  <c r="AB52" i="8" s="1"/>
  <c r="Q73" i="3"/>
  <c r="J73" i="3"/>
  <c r="K73" i="3" s="1"/>
  <c r="X101" i="7" l="1"/>
  <c r="I102" i="7"/>
  <c r="H102" i="7"/>
  <c r="J102" i="7" s="1"/>
  <c r="T52" i="8"/>
  <c r="V52" i="8" s="1"/>
  <c r="AK52" i="8"/>
  <c r="M102" i="7"/>
  <c r="AT52" i="8"/>
  <c r="AC52" i="8"/>
  <c r="K83" i="2"/>
  <c r="C83" i="2"/>
  <c r="C83" i="10"/>
  <c r="D83" i="2"/>
  <c r="L83" i="2" s="1"/>
  <c r="U73" i="3"/>
  <c r="N73" i="3"/>
  <c r="AC73" i="3"/>
  <c r="M73" i="10" s="1"/>
  <c r="AB101" i="7" l="1"/>
  <c r="C102" i="7"/>
  <c r="R102" i="7" s="1"/>
  <c r="K102" i="7"/>
  <c r="T102" i="7" s="1"/>
  <c r="D102" i="8" s="1"/>
  <c r="N102" i="7"/>
  <c r="W102" i="7" s="1"/>
  <c r="F103" i="7" s="1"/>
  <c r="L102" i="7"/>
  <c r="AD52" i="8"/>
  <c r="X73" i="3"/>
  <c r="U102" i="7"/>
  <c r="E83" i="2"/>
  <c r="E83" i="10"/>
  <c r="B83" i="3"/>
  <c r="V73" i="3"/>
  <c r="Y73" i="3" s="1"/>
  <c r="O73" i="3"/>
  <c r="S102" i="7" l="1"/>
  <c r="C102" i="8" s="1"/>
  <c r="O103" i="7"/>
  <c r="V102" i="7"/>
  <c r="D103" i="7"/>
  <c r="AE52" i="8"/>
  <c r="H73" i="10"/>
  <c r="AL52" i="8"/>
  <c r="E74" i="3"/>
  <c r="F83" i="2"/>
  <c r="P73" i="3"/>
  <c r="I73" i="10"/>
  <c r="F74" i="3"/>
  <c r="R73" i="3"/>
  <c r="S73" i="3" s="1"/>
  <c r="W73" i="3"/>
  <c r="Z73" i="3" s="1"/>
  <c r="X102" i="7" l="1"/>
  <c r="E103" i="7"/>
  <c r="M103" i="7" s="1"/>
  <c r="Z102" i="7"/>
  <c r="AA102" i="7" s="1"/>
  <c r="B102" i="7" s="1"/>
  <c r="B102" i="8" s="1"/>
  <c r="P103" i="7"/>
  <c r="Q103" i="7" s="1"/>
  <c r="H103" i="7"/>
  <c r="I103" i="7"/>
  <c r="AF52" i="8"/>
  <c r="AM52" i="8" s="1"/>
  <c r="AQ52" i="8" s="1"/>
  <c r="G53" i="8" s="1"/>
  <c r="AP52" i="8"/>
  <c r="F53" i="8" s="1"/>
  <c r="G83" i="2"/>
  <c r="H83" i="2" s="1"/>
  <c r="J73" i="10"/>
  <c r="G74" i="3"/>
  <c r="T73" i="3"/>
  <c r="AB73" i="3" s="1"/>
  <c r="L73" i="10" s="1"/>
  <c r="AA73" i="3"/>
  <c r="K73" i="10" s="1"/>
  <c r="AB102" i="7" l="1"/>
  <c r="N103" i="7"/>
  <c r="W103" i="7" s="1"/>
  <c r="F104" i="7" s="1"/>
  <c r="C103" i="7"/>
  <c r="U102" i="8"/>
  <c r="W102" i="8" s="1"/>
  <c r="Y103" i="7"/>
  <c r="E103" i="8"/>
  <c r="J103" i="7"/>
  <c r="R103" i="7"/>
  <c r="S103" i="7" s="1"/>
  <c r="C103" i="8" s="1"/>
  <c r="AG52" i="8"/>
  <c r="AH52" i="8" s="1"/>
  <c r="AN52" i="8" s="1"/>
  <c r="AR52" i="8" s="1"/>
  <c r="H53" i="8" s="1"/>
  <c r="D83" i="3"/>
  <c r="G83" i="10"/>
  <c r="I83" i="2"/>
  <c r="H74" i="3"/>
  <c r="O104" i="7" l="1"/>
  <c r="K103" i="7"/>
  <c r="I53" i="8"/>
  <c r="AO52" i="8"/>
  <c r="J83" i="2"/>
  <c r="M83" i="2"/>
  <c r="M74" i="3"/>
  <c r="I74" i="3"/>
  <c r="L74" i="3" s="1"/>
  <c r="T103" i="7" l="1"/>
  <c r="D103" i="8" s="1"/>
  <c r="P104" i="7"/>
  <c r="Q104" i="7" s="1"/>
  <c r="L103" i="7"/>
  <c r="V103" i="7" s="1"/>
  <c r="AS52" i="8"/>
  <c r="J53" i="8"/>
  <c r="N53" i="8" s="1"/>
  <c r="O53" i="8"/>
  <c r="B84" i="2"/>
  <c r="D83" i="10"/>
  <c r="C83" i="3"/>
  <c r="F83" i="10"/>
  <c r="Q74" i="3"/>
  <c r="J74" i="3"/>
  <c r="K74" i="3" s="1"/>
  <c r="E104" i="8" l="1"/>
  <c r="Y104" i="7"/>
  <c r="U103" i="7"/>
  <c r="E104" i="7"/>
  <c r="Z103" i="7"/>
  <c r="AA103" i="7" s="1"/>
  <c r="B103" i="7" s="1"/>
  <c r="C84" i="10"/>
  <c r="R53" i="8"/>
  <c r="K53" i="8"/>
  <c r="M53" i="8" s="1"/>
  <c r="K84" i="2"/>
  <c r="D84" i="2"/>
  <c r="C84" i="2"/>
  <c r="U74" i="3"/>
  <c r="N74" i="3"/>
  <c r="AC74" i="3"/>
  <c r="M74" i="10" s="1"/>
  <c r="D104" i="7" l="1"/>
  <c r="H104" i="7" s="1"/>
  <c r="X103" i="7"/>
  <c r="AB103" i="7" s="1"/>
  <c r="M104" i="7"/>
  <c r="B103" i="8"/>
  <c r="I104" i="7"/>
  <c r="X53" i="8"/>
  <c r="P53" i="8"/>
  <c r="Q53" i="8" s="1"/>
  <c r="AI53" i="8"/>
  <c r="L53" i="8"/>
  <c r="L84" i="2"/>
  <c r="E84" i="2"/>
  <c r="F84" i="2" s="1"/>
  <c r="X74" i="3"/>
  <c r="V74" i="3"/>
  <c r="Y74" i="3" s="1"/>
  <c r="O74" i="3"/>
  <c r="E75" i="3" l="1"/>
  <c r="AU53" i="8"/>
  <c r="C104" i="7"/>
  <c r="R104" i="7" s="1"/>
  <c r="S104" i="7" s="1"/>
  <c r="C104" i="8" s="1"/>
  <c r="U103" i="8"/>
  <c r="W103" i="8" s="1"/>
  <c r="N104" i="7"/>
  <c r="W104" i="7" s="1"/>
  <c r="F105" i="7" s="1"/>
  <c r="J104" i="7"/>
  <c r="Y53" i="8"/>
  <c r="AA53" i="8" s="1"/>
  <c r="S53" i="8"/>
  <c r="AJ53" i="8"/>
  <c r="E84" i="10"/>
  <c r="B84" i="3"/>
  <c r="G84" i="2"/>
  <c r="H74" i="10"/>
  <c r="P74" i="3"/>
  <c r="I74" i="10"/>
  <c r="F75" i="3"/>
  <c r="R74" i="3"/>
  <c r="S74" i="3" s="1"/>
  <c r="W74" i="3"/>
  <c r="Z74" i="3" s="1"/>
  <c r="O105" i="7" l="1"/>
  <c r="P105" i="7"/>
  <c r="Q105" i="7" s="1"/>
  <c r="I84" i="2"/>
  <c r="K104" i="7"/>
  <c r="Z53" i="8"/>
  <c r="AB53" i="8" s="1"/>
  <c r="T53" i="8"/>
  <c r="V53" i="8" s="1"/>
  <c r="AK53" i="8"/>
  <c r="H84" i="2"/>
  <c r="G75" i="3"/>
  <c r="J74" i="10"/>
  <c r="T74" i="3"/>
  <c r="AA74" i="3"/>
  <c r="K74" i="10" s="1"/>
  <c r="E105" i="8" l="1"/>
  <c r="Y105" i="7"/>
  <c r="AC53" i="8"/>
  <c r="J84" i="2"/>
  <c r="AT53" i="8"/>
  <c r="T104" i="7"/>
  <c r="D104" i="8" s="1"/>
  <c r="L104" i="7"/>
  <c r="V104" i="7" s="1"/>
  <c r="D84" i="3"/>
  <c r="M84" i="2"/>
  <c r="G84" i="10"/>
  <c r="F84" i="10"/>
  <c r="H75" i="3"/>
  <c r="AB74" i="3"/>
  <c r="L74" i="10" s="1"/>
  <c r="Z104" i="7" l="1"/>
  <c r="AA104" i="7" s="1"/>
  <c r="B104" i="7" s="1"/>
  <c r="B85" i="2"/>
  <c r="E105" i="7"/>
  <c r="U104" i="7"/>
  <c r="AD53" i="8"/>
  <c r="D84" i="10"/>
  <c r="C84" i="3"/>
  <c r="M75" i="3"/>
  <c r="I75" i="3"/>
  <c r="L75" i="3" s="1"/>
  <c r="AE53" i="8" l="1"/>
  <c r="X104" i="7"/>
  <c r="M105" i="7"/>
  <c r="D105" i="7"/>
  <c r="D85" i="2"/>
  <c r="C85" i="10"/>
  <c r="AL53" i="8"/>
  <c r="C85" i="2"/>
  <c r="K85" i="2"/>
  <c r="B104" i="8"/>
  <c r="AP53" i="8"/>
  <c r="F54" i="8" s="1"/>
  <c r="Q75" i="3"/>
  <c r="J75" i="3"/>
  <c r="K75" i="3" s="1"/>
  <c r="AB104" i="7" l="1"/>
  <c r="AF53" i="8"/>
  <c r="AM53" i="8" s="1"/>
  <c r="AQ53" i="8" s="1"/>
  <c r="G54" i="8" s="1"/>
  <c r="C105" i="7"/>
  <c r="I105" i="7"/>
  <c r="H105" i="7"/>
  <c r="J105" i="7" s="1"/>
  <c r="N105" i="7"/>
  <c r="L85" i="2"/>
  <c r="E85" i="2"/>
  <c r="U104" i="8"/>
  <c r="W104" i="8" s="1"/>
  <c r="AC75" i="3"/>
  <c r="M75" i="10" s="1"/>
  <c r="U75" i="3"/>
  <c r="N75" i="3"/>
  <c r="AG53" i="8" l="1"/>
  <c r="AH53" i="8" s="1"/>
  <c r="AN53" i="8" s="1"/>
  <c r="AR53" i="8" s="1"/>
  <c r="H54" i="8" s="1"/>
  <c r="R105" i="7"/>
  <c r="S105" i="7" s="1"/>
  <c r="C105" i="8" s="1"/>
  <c r="W105" i="7"/>
  <c r="F106" i="7" s="1"/>
  <c r="K105" i="7"/>
  <c r="T105" i="7" s="1"/>
  <c r="D105" i="8" s="1"/>
  <c r="F85" i="2"/>
  <c r="E85" i="10"/>
  <c r="B85" i="3"/>
  <c r="I54" i="8"/>
  <c r="X75" i="3"/>
  <c r="V75" i="3"/>
  <c r="Y75" i="3" s="1"/>
  <c r="O75" i="3"/>
  <c r="AO53" i="8" l="1"/>
  <c r="O54" i="8"/>
  <c r="L105" i="7"/>
  <c r="G85" i="2"/>
  <c r="H85" i="2" s="1"/>
  <c r="J54" i="8"/>
  <c r="N54" i="8" s="1"/>
  <c r="AS53" i="8"/>
  <c r="O106" i="7"/>
  <c r="D85" i="3"/>
  <c r="P106" i="7"/>
  <c r="Q106" i="7" s="1"/>
  <c r="G85" i="10"/>
  <c r="V105" i="7"/>
  <c r="I85" i="2"/>
  <c r="U105" i="7"/>
  <c r="E76" i="3"/>
  <c r="H75" i="10"/>
  <c r="P75" i="3"/>
  <c r="I75" i="10"/>
  <c r="F76" i="3"/>
  <c r="R75" i="3"/>
  <c r="S75" i="3" s="1"/>
  <c r="W75" i="3"/>
  <c r="K54" i="8" l="1"/>
  <c r="R54" i="8"/>
  <c r="E106" i="8"/>
  <c r="Y106" i="7"/>
  <c r="Z105" i="7"/>
  <c r="AA105" i="7" s="1"/>
  <c r="B105" i="7" s="1"/>
  <c r="E106" i="7"/>
  <c r="D106" i="7"/>
  <c r="X105" i="7"/>
  <c r="J85" i="2"/>
  <c r="M85" i="2"/>
  <c r="AA75" i="3"/>
  <c r="K75" i="10" s="1"/>
  <c r="Z75" i="3"/>
  <c r="T75" i="3"/>
  <c r="L54" i="8" l="1"/>
  <c r="M54" i="8"/>
  <c r="AU54" i="8"/>
  <c r="I106" i="7"/>
  <c r="H106" i="7"/>
  <c r="AB105" i="7"/>
  <c r="C106" i="7"/>
  <c r="D85" i="10"/>
  <c r="B86" i="2"/>
  <c r="F85" i="10"/>
  <c r="C85" i="3"/>
  <c r="AB75" i="3"/>
  <c r="L75" i="10" s="1"/>
  <c r="B105" i="8"/>
  <c r="M106" i="7"/>
  <c r="N106" i="7"/>
  <c r="W106" i="7" s="1"/>
  <c r="F107" i="7" s="1"/>
  <c r="G76" i="3"/>
  <c r="J75" i="10"/>
  <c r="X54" i="8" l="1"/>
  <c r="Y54" i="8" s="1"/>
  <c r="AA54" i="8" s="1"/>
  <c r="AI54" i="8"/>
  <c r="AJ54" i="8" s="1"/>
  <c r="P54" i="8"/>
  <c r="Q54" i="8" s="1"/>
  <c r="S54" i="8" s="1"/>
  <c r="U105" i="8"/>
  <c r="W105" i="8" s="1"/>
  <c r="R106" i="7"/>
  <c r="C86" i="2"/>
  <c r="D86" i="2"/>
  <c r="K86" i="2"/>
  <c r="C86" i="10"/>
  <c r="J106" i="7"/>
  <c r="O107" i="7"/>
  <c r="P107" i="7" s="1"/>
  <c r="Q107" i="7" s="1"/>
  <c r="H76" i="3"/>
  <c r="AK54" i="8" l="1"/>
  <c r="Z54" i="8"/>
  <c r="AB54" i="8" s="1"/>
  <c r="T54" i="8"/>
  <c r="V54" i="8" s="1"/>
  <c r="AT54" i="8" s="1"/>
  <c r="S106" i="7"/>
  <c r="C106" i="8" s="1"/>
  <c r="E107" i="8"/>
  <c r="L86" i="2"/>
  <c r="Y107" i="7"/>
  <c r="E86" i="2"/>
  <c r="K106" i="7"/>
  <c r="T106" i="7" s="1"/>
  <c r="D106" i="8" s="1"/>
  <c r="M76" i="3"/>
  <c r="I76" i="3"/>
  <c r="L76" i="3" s="1"/>
  <c r="AC54" i="8" l="1"/>
  <c r="AD54" i="8"/>
  <c r="AL54" i="8" s="1"/>
  <c r="E86" i="10"/>
  <c r="B86" i="3"/>
  <c r="F86" i="2"/>
  <c r="L106" i="7"/>
  <c r="V106" i="7" s="1"/>
  <c r="Z106" i="7" s="1"/>
  <c r="AA106" i="7" s="1"/>
  <c r="B106" i="7" s="1"/>
  <c r="J76" i="3"/>
  <c r="K76" i="3" s="1"/>
  <c r="Q76" i="3"/>
  <c r="AP54" i="8" l="1"/>
  <c r="F55" i="8" s="1"/>
  <c r="AE54" i="8"/>
  <c r="E107" i="7"/>
  <c r="U106" i="7"/>
  <c r="G86" i="2"/>
  <c r="H86" i="2" s="1"/>
  <c r="B106" i="8"/>
  <c r="I86" i="2"/>
  <c r="AC76" i="3"/>
  <c r="M76" i="10" s="1"/>
  <c r="N76" i="3"/>
  <c r="U76" i="3"/>
  <c r="X76" i="3" l="1"/>
  <c r="X106" i="7"/>
  <c r="D107" i="7"/>
  <c r="H107" i="7" s="1"/>
  <c r="M107" i="7"/>
  <c r="AF54" i="8"/>
  <c r="AM54" i="8" s="1"/>
  <c r="G86" i="10"/>
  <c r="U106" i="8"/>
  <c r="W106" i="8" s="1"/>
  <c r="D86" i="3"/>
  <c r="M86" i="2"/>
  <c r="J86" i="2"/>
  <c r="V76" i="3"/>
  <c r="Y76" i="3" s="1"/>
  <c r="O76" i="3"/>
  <c r="P76" i="3" s="1"/>
  <c r="H76" i="10" l="1"/>
  <c r="E77" i="3"/>
  <c r="AQ54" i="8"/>
  <c r="G55" i="8" s="1"/>
  <c r="AG54" i="8"/>
  <c r="AH54" i="8" s="1"/>
  <c r="AN54" i="8" s="1"/>
  <c r="AR54" i="8" s="1"/>
  <c r="H55" i="8" s="1"/>
  <c r="N107" i="7"/>
  <c r="W107" i="7" s="1"/>
  <c r="F108" i="7" s="1"/>
  <c r="I107" i="7"/>
  <c r="AB106" i="7"/>
  <c r="C107" i="7"/>
  <c r="R107" i="7" s="1"/>
  <c r="F86" i="10"/>
  <c r="F77" i="3"/>
  <c r="I76" i="10"/>
  <c r="S107" i="7"/>
  <c r="C107" i="8" s="1"/>
  <c r="C86" i="3"/>
  <c r="D86" i="10"/>
  <c r="B87" i="2"/>
  <c r="W76" i="3"/>
  <c r="Z76" i="3" s="1"/>
  <c r="R76" i="3"/>
  <c r="S76" i="3" s="1"/>
  <c r="J107" i="7" l="1"/>
  <c r="O108" i="7"/>
  <c r="I55" i="8"/>
  <c r="AO54" i="8"/>
  <c r="C87" i="2"/>
  <c r="D87" i="2"/>
  <c r="K87" i="2"/>
  <c r="C87" i="10"/>
  <c r="G77" i="3"/>
  <c r="J76" i="10"/>
  <c r="AA76" i="3"/>
  <c r="K76" i="10" s="1"/>
  <c r="T76" i="3"/>
  <c r="K107" i="7" l="1"/>
  <c r="T107" i="7" s="1"/>
  <c r="D107" i="8" s="1"/>
  <c r="P108" i="7"/>
  <c r="Q108" i="7" s="1"/>
  <c r="AS54" i="8"/>
  <c r="J55" i="8"/>
  <c r="N55" i="8" s="1"/>
  <c r="O55" i="8"/>
  <c r="E87" i="2"/>
  <c r="AB76" i="3"/>
  <c r="L76" i="10" s="1"/>
  <c r="L87" i="2"/>
  <c r="H77" i="3"/>
  <c r="L107" i="7" l="1"/>
  <c r="Y108" i="7"/>
  <c r="E108" i="8"/>
  <c r="R55" i="8"/>
  <c r="K55" i="8"/>
  <c r="M55" i="8" s="1"/>
  <c r="B87" i="3"/>
  <c r="F87" i="2"/>
  <c r="E87" i="10"/>
  <c r="M77" i="3"/>
  <c r="I77" i="3"/>
  <c r="L77" i="3" s="1"/>
  <c r="V107" i="7" l="1"/>
  <c r="Z107" i="7" s="1"/>
  <c r="AA107" i="7" s="1"/>
  <c r="B107" i="7" s="1"/>
  <c r="B107" i="8" s="1"/>
  <c r="U107" i="7"/>
  <c r="D108" i="7"/>
  <c r="X55" i="8"/>
  <c r="P55" i="8"/>
  <c r="Q55" i="8" s="1"/>
  <c r="L55" i="8"/>
  <c r="AI55" i="8"/>
  <c r="G87" i="2"/>
  <c r="H87" i="2" s="1"/>
  <c r="Q77" i="3"/>
  <c r="J77" i="3"/>
  <c r="K77" i="3" s="1"/>
  <c r="X107" i="7" l="1"/>
  <c r="E108" i="7"/>
  <c r="M108" i="7" s="1"/>
  <c r="U107" i="8"/>
  <c r="W107" i="8" s="1"/>
  <c r="C108" i="7"/>
  <c r="R108" i="7" s="1"/>
  <c r="AB107" i="7"/>
  <c r="H108" i="7"/>
  <c r="N108" i="7"/>
  <c r="W108" i="7" s="1"/>
  <c r="F109" i="7" s="1"/>
  <c r="I108" i="7"/>
  <c r="AU55" i="8"/>
  <c r="Y55" i="8"/>
  <c r="AA55" i="8" s="1"/>
  <c r="AJ55" i="8"/>
  <c r="S55" i="8"/>
  <c r="I87" i="2"/>
  <c r="G87" i="10"/>
  <c r="D87" i="3"/>
  <c r="U77" i="3"/>
  <c r="Z55" i="8"/>
  <c r="AB55" i="8" s="1"/>
  <c r="N77" i="3"/>
  <c r="AC77" i="3"/>
  <c r="M77" i="10" s="1"/>
  <c r="S108" i="7" l="1"/>
  <c r="C108" i="8" s="1"/>
  <c r="J108" i="7"/>
  <c r="K108" i="7" s="1"/>
  <c r="O109" i="7"/>
  <c r="T55" i="8"/>
  <c r="V55" i="8" s="1"/>
  <c r="AK55" i="8"/>
  <c r="X77" i="3"/>
  <c r="V77" i="3"/>
  <c r="Y77" i="3" s="1"/>
  <c r="M87" i="2"/>
  <c r="J87" i="2"/>
  <c r="AC55" i="8"/>
  <c r="O77" i="3"/>
  <c r="P109" i="7" l="1"/>
  <c r="Q109" i="7" s="1"/>
  <c r="T108" i="7"/>
  <c r="D108" i="8" s="1"/>
  <c r="L108" i="7"/>
  <c r="AT55" i="8"/>
  <c r="E78" i="3"/>
  <c r="H77" i="10"/>
  <c r="C87" i="3"/>
  <c r="F87" i="10"/>
  <c r="B88" i="2"/>
  <c r="D87" i="10"/>
  <c r="I77" i="10"/>
  <c r="F78" i="3"/>
  <c r="W77" i="3"/>
  <c r="Z77" i="3" s="1"/>
  <c r="P77" i="3"/>
  <c r="AD55" i="8"/>
  <c r="AL55" i="8" s="1"/>
  <c r="R77" i="3"/>
  <c r="S77" i="3" s="1"/>
  <c r="Y109" i="7" l="1"/>
  <c r="E109" i="8"/>
  <c r="V108" i="7"/>
  <c r="U108" i="7"/>
  <c r="C88" i="10"/>
  <c r="K88" i="2"/>
  <c r="D88" i="2"/>
  <c r="C88" i="2"/>
  <c r="J77" i="10"/>
  <c r="G78" i="3"/>
  <c r="AA77" i="3"/>
  <c r="K77" i="10" s="1"/>
  <c r="T77" i="3"/>
  <c r="AP55" i="8"/>
  <c r="F56" i="8" s="1"/>
  <c r="AE55" i="8"/>
  <c r="Z108" i="7" l="1"/>
  <c r="AA108" i="7" s="1"/>
  <c r="B108" i="7" s="1"/>
  <c r="B108" i="8" s="1"/>
  <c r="U108" i="8" s="1"/>
  <c r="W108" i="8" s="1"/>
  <c r="E109" i="7"/>
  <c r="M109" i="7" s="1"/>
  <c r="D109" i="7"/>
  <c r="X108" i="7"/>
  <c r="L88" i="2"/>
  <c r="E88" i="10"/>
  <c r="B88" i="3"/>
  <c r="E88" i="2"/>
  <c r="F88" i="2" s="1"/>
  <c r="H78" i="3"/>
  <c r="AB77" i="3"/>
  <c r="L77" i="10" s="1"/>
  <c r="AF55" i="8"/>
  <c r="AM55" i="8" s="1"/>
  <c r="AQ55" i="8" s="1"/>
  <c r="G56" i="8" s="1"/>
  <c r="N109" i="7" l="1"/>
  <c r="W109" i="7" s="1"/>
  <c r="F110" i="7" s="1"/>
  <c r="O110" i="7" s="1"/>
  <c r="H109" i="7"/>
  <c r="I109" i="7"/>
  <c r="C109" i="7"/>
  <c r="R109" i="7" s="1"/>
  <c r="AB108" i="7"/>
  <c r="G88" i="2"/>
  <c r="M78" i="3"/>
  <c r="I78" i="3"/>
  <c r="L78" i="3" s="1"/>
  <c r="P110" i="7"/>
  <c r="AG55" i="8"/>
  <c r="AH55" i="8" s="1"/>
  <c r="AN55" i="8" s="1"/>
  <c r="S109" i="7"/>
  <c r="C109" i="8" s="1"/>
  <c r="J109" i="7"/>
  <c r="H88" i="2" l="1"/>
  <c r="I88" i="2"/>
  <c r="Q78" i="3"/>
  <c r="J78" i="3"/>
  <c r="K78" i="3" s="1"/>
  <c r="Q110" i="7"/>
  <c r="AO55" i="8"/>
  <c r="AR55" i="8"/>
  <c r="H56" i="8" s="1"/>
  <c r="K109" i="7"/>
  <c r="G88" i="10" l="1"/>
  <c r="M88" i="2"/>
  <c r="D88" i="3"/>
  <c r="J88" i="2"/>
  <c r="N78" i="3"/>
  <c r="U78" i="3"/>
  <c r="AC78" i="3"/>
  <c r="M78" i="10" s="1"/>
  <c r="E110" i="8"/>
  <c r="Y110" i="7"/>
  <c r="I56" i="8"/>
  <c r="AS55" i="8"/>
  <c r="L109" i="7"/>
  <c r="V109" i="7" s="1"/>
  <c r="T109" i="7"/>
  <c r="D109" i="8" s="1"/>
  <c r="F88" i="10" l="1"/>
  <c r="C88" i="3"/>
  <c r="D88" i="10"/>
  <c r="B89" i="2"/>
  <c r="O78" i="3"/>
  <c r="X78" i="3"/>
  <c r="V78" i="3"/>
  <c r="Y78" i="3" s="1"/>
  <c r="O56" i="8"/>
  <c r="C89" i="2"/>
  <c r="D89" i="2"/>
  <c r="K89" i="2"/>
  <c r="J56" i="8"/>
  <c r="U109" i="7"/>
  <c r="Z109" i="7"/>
  <c r="AA109" i="7" s="1"/>
  <c r="B109" i="7" s="1"/>
  <c r="B109" i="8" s="1"/>
  <c r="U109" i="8" s="1"/>
  <c r="W109" i="8" s="1"/>
  <c r="E110" i="7"/>
  <c r="C89" i="10" l="1"/>
  <c r="E79" i="3"/>
  <c r="H78" i="10"/>
  <c r="P78" i="3"/>
  <c r="R78" i="3"/>
  <c r="S78" i="3" s="1"/>
  <c r="F79" i="3"/>
  <c r="W78" i="3"/>
  <c r="Z78" i="3" s="1"/>
  <c r="I78" i="10"/>
  <c r="N56" i="8"/>
  <c r="R56" i="8" s="1"/>
  <c r="K56" i="8"/>
  <c r="M56" i="8" s="1"/>
  <c r="L89" i="2"/>
  <c r="E89" i="2"/>
  <c r="D110" i="7"/>
  <c r="X109" i="7"/>
  <c r="M110" i="7"/>
  <c r="I110" i="7"/>
  <c r="AB109" i="7"/>
  <c r="C110" i="7"/>
  <c r="R110" i="7" s="1"/>
  <c r="T78" i="3" l="1"/>
  <c r="X56" i="8"/>
  <c r="P56" i="8"/>
  <c r="Q56" i="8" s="1"/>
  <c r="AI56" i="8"/>
  <c r="L56" i="8"/>
  <c r="J78" i="10"/>
  <c r="G79" i="3"/>
  <c r="AA78" i="3"/>
  <c r="K78" i="10" s="1"/>
  <c r="H110" i="7"/>
  <c r="J110" i="7" s="1"/>
  <c r="F89" i="2"/>
  <c r="E89" i="10"/>
  <c r="B89" i="3"/>
  <c r="S110" i="7"/>
  <c r="C110" i="8" s="1"/>
  <c r="N110" i="7"/>
  <c r="W110" i="7" s="1"/>
  <c r="F111" i="7" s="1"/>
  <c r="AB78" i="3" l="1"/>
  <c r="L78" i="10" s="1"/>
  <c r="AJ56" i="8"/>
  <c r="Y56" i="8"/>
  <c r="AA56" i="8" s="1"/>
  <c r="S56" i="8"/>
  <c r="AU56" i="8"/>
  <c r="H79" i="3"/>
  <c r="K110" i="7"/>
  <c r="G89" i="2"/>
  <c r="H89" i="2" s="1"/>
  <c r="Z56" i="8"/>
  <c r="AB56" i="8" s="1"/>
  <c r="O111" i="7"/>
  <c r="AK56" i="8" l="1"/>
  <c r="T56" i="8"/>
  <c r="V56" i="8" s="1"/>
  <c r="L110" i="7"/>
  <c r="M79" i="3"/>
  <c r="I79" i="3"/>
  <c r="L79" i="3" s="1"/>
  <c r="T110" i="7"/>
  <c r="D110" i="8" s="1"/>
  <c r="I89" i="2"/>
  <c r="D89" i="3"/>
  <c r="G89" i="10"/>
  <c r="AC56" i="8"/>
  <c r="P111" i="7"/>
  <c r="Q111" i="7" s="1"/>
  <c r="Q79" i="3" l="1"/>
  <c r="J79" i="3"/>
  <c r="K79" i="3" s="1"/>
  <c r="AT56" i="8"/>
  <c r="U110" i="7"/>
  <c r="V110" i="7"/>
  <c r="M89" i="2"/>
  <c r="J89" i="2"/>
  <c r="AD56" i="8"/>
  <c r="C89" i="3"/>
  <c r="Y111" i="7"/>
  <c r="E111" i="8"/>
  <c r="F89" i="10" l="1"/>
  <c r="D89" i="10"/>
  <c r="AC79" i="3"/>
  <c r="M79" i="10" s="1"/>
  <c r="U79" i="3"/>
  <c r="N79" i="3"/>
  <c r="D111" i="7"/>
  <c r="X110" i="7"/>
  <c r="B90" i="2"/>
  <c r="Z110" i="7"/>
  <c r="AA110" i="7" s="1"/>
  <c r="B110" i="7" s="1"/>
  <c r="B110" i="8" s="1"/>
  <c r="U110" i="8" s="1"/>
  <c r="W110" i="8" s="1"/>
  <c r="E111" i="7"/>
  <c r="M111" i="7" s="1"/>
  <c r="N111" i="7" s="1"/>
  <c r="W111" i="7" s="1"/>
  <c r="F112" i="7" s="1"/>
  <c r="AE56" i="8"/>
  <c r="AL56" i="8"/>
  <c r="O79" i="3" l="1"/>
  <c r="X79" i="3"/>
  <c r="V79" i="3"/>
  <c r="Y79" i="3" s="1"/>
  <c r="H111" i="7"/>
  <c r="I111" i="7"/>
  <c r="AB110" i="7"/>
  <c r="C111" i="7"/>
  <c r="R111" i="7" s="1"/>
  <c r="O112" i="7"/>
  <c r="C90" i="10"/>
  <c r="D90" i="2"/>
  <c r="K90" i="2"/>
  <c r="C90" i="2"/>
  <c r="E80" i="3"/>
  <c r="P79" i="3"/>
  <c r="AF56" i="8"/>
  <c r="AM56" i="8" s="1"/>
  <c r="AQ56" i="8" s="1"/>
  <c r="G57" i="8" s="1"/>
  <c r="AP56" i="8"/>
  <c r="F57" i="8" s="1"/>
  <c r="R79" i="3" l="1"/>
  <c r="S79" i="3" s="1"/>
  <c r="H79" i="10"/>
  <c r="W79" i="3"/>
  <c r="Z79" i="3" s="1"/>
  <c r="I79" i="10"/>
  <c r="F80" i="3"/>
  <c r="J111" i="7"/>
  <c r="S111" i="7"/>
  <c r="C111" i="8" s="1"/>
  <c r="P112" i="7"/>
  <c r="Q112" i="7" s="1"/>
  <c r="E90" i="2"/>
  <c r="F90" i="2" s="1"/>
  <c r="L90" i="2"/>
  <c r="AG56" i="8"/>
  <c r="AH56" i="8" s="1"/>
  <c r="AN56" i="8" s="1"/>
  <c r="AR56" i="8" s="1"/>
  <c r="H57" i="8" s="1"/>
  <c r="I57" i="8" s="1"/>
  <c r="B90" i="3" l="1"/>
  <c r="T79" i="3"/>
  <c r="G80" i="3"/>
  <c r="J79" i="10"/>
  <c r="AA79" i="3"/>
  <c r="K79" i="10" s="1"/>
  <c r="E90" i="10"/>
  <c r="K111" i="7"/>
  <c r="E112" i="8"/>
  <c r="Y112" i="7"/>
  <c r="G90" i="2"/>
  <c r="J57" i="8"/>
  <c r="N57" i="8" s="1"/>
  <c r="AO56" i="8"/>
  <c r="O57" i="8"/>
  <c r="AB79" i="3"/>
  <c r="L79" i="10" s="1"/>
  <c r="H80" i="3"/>
  <c r="L111" i="7"/>
  <c r="V111" i="7" s="1"/>
  <c r="I90" i="2" l="1"/>
  <c r="T111" i="7"/>
  <c r="D111" i="8" s="1"/>
  <c r="H90" i="2"/>
  <c r="AS56" i="8"/>
  <c r="R57" i="8"/>
  <c r="K57" i="8"/>
  <c r="M57" i="8" s="1"/>
  <c r="U111" i="7"/>
  <c r="M80" i="3"/>
  <c r="I80" i="3"/>
  <c r="L80" i="3" s="1"/>
  <c r="E112" i="7"/>
  <c r="Z111" i="7"/>
  <c r="AA111" i="7" s="1"/>
  <c r="B111" i="7" s="1"/>
  <c r="B111" i="8" s="1"/>
  <c r="U111" i="8" s="1"/>
  <c r="W111" i="8" s="1"/>
  <c r="D90" i="3" l="1"/>
  <c r="G90" i="10"/>
  <c r="J90" i="2"/>
  <c r="M90" i="2"/>
  <c r="P57" i="8"/>
  <c r="Q57" i="8" s="1"/>
  <c r="S57" i="8" s="1"/>
  <c r="AI57" i="8"/>
  <c r="AJ57" i="8" s="1"/>
  <c r="X57" i="8"/>
  <c r="L57" i="8"/>
  <c r="Q80" i="3"/>
  <c r="J80" i="3"/>
  <c r="K80" i="3" s="1"/>
  <c r="X111" i="7"/>
  <c r="D112" i="7"/>
  <c r="M112" i="7"/>
  <c r="F90" i="10" l="1"/>
  <c r="C90" i="3"/>
  <c r="D90" i="10"/>
  <c r="B91" i="2"/>
  <c r="AU57" i="8"/>
  <c r="Y57" i="8"/>
  <c r="AA57" i="8" s="1"/>
  <c r="AK57" i="8"/>
  <c r="T57" i="8"/>
  <c r="V57" i="8" s="1"/>
  <c r="Z57" i="8"/>
  <c r="AB57" i="8" s="1"/>
  <c r="C91" i="2"/>
  <c r="D91" i="2"/>
  <c r="U80" i="3"/>
  <c r="N80" i="3"/>
  <c r="AC80" i="3"/>
  <c r="M80" i="10" s="1"/>
  <c r="C91" i="10"/>
  <c r="AB111" i="7"/>
  <c r="C112" i="7"/>
  <c r="R112" i="7" s="1"/>
  <c r="H112" i="7"/>
  <c r="I112" i="7"/>
  <c r="N112" i="7"/>
  <c r="W112" i="7" s="1"/>
  <c r="F113" i="7" s="1"/>
  <c r="O113" i="7" s="1"/>
  <c r="K91" i="2" l="1"/>
  <c r="AT57" i="8"/>
  <c r="AC57" i="8"/>
  <c r="AD57" i="8" s="1"/>
  <c r="X80" i="3"/>
  <c r="V80" i="3"/>
  <c r="Y80" i="3" s="1"/>
  <c r="O80" i="3"/>
  <c r="E91" i="2"/>
  <c r="S112" i="7"/>
  <c r="C112" i="8" s="1"/>
  <c r="J112" i="7"/>
  <c r="K112" i="7" s="1"/>
  <c r="P113" i="7"/>
  <c r="Q113" i="7" s="1"/>
  <c r="L91" i="2" l="1"/>
  <c r="R80" i="3"/>
  <c r="S80" i="3" s="1"/>
  <c r="AE57" i="8"/>
  <c r="AL57" i="8"/>
  <c r="T112" i="7"/>
  <c r="D112" i="8" s="1"/>
  <c r="L112" i="7"/>
  <c r="V112" i="7" s="1"/>
  <c r="E81" i="3"/>
  <c r="B91" i="3"/>
  <c r="E91" i="10"/>
  <c r="H80" i="10"/>
  <c r="I80" i="10"/>
  <c r="F81" i="3"/>
  <c r="F91" i="2"/>
  <c r="P80" i="3"/>
  <c r="W80" i="3"/>
  <c r="Z80" i="3" s="1"/>
  <c r="E113" i="8"/>
  <c r="Y113" i="7"/>
  <c r="AA80" i="3" l="1"/>
  <c r="K80" i="10" s="1"/>
  <c r="J80" i="10"/>
  <c r="T80" i="3"/>
  <c r="G81" i="3"/>
  <c r="AF57" i="8"/>
  <c r="AM57" i="8" s="1"/>
  <c r="AQ57" i="8" s="1"/>
  <c r="G58" i="8" s="1"/>
  <c r="AP57" i="8"/>
  <c r="F58" i="8" s="1"/>
  <c r="U112" i="7"/>
  <c r="Z112" i="7"/>
  <c r="AA112" i="7" s="1"/>
  <c r="B112" i="7" s="1"/>
  <c r="B112" i="8" s="1"/>
  <c r="E113" i="7"/>
  <c r="M113" i="7" s="1"/>
  <c r="G91" i="2"/>
  <c r="H81" i="3" l="1"/>
  <c r="D113" i="7"/>
  <c r="X112" i="7"/>
  <c r="AB80" i="3"/>
  <c r="L80" i="10" s="1"/>
  <c r="AG57" i="8"/>
  <c r="AH57" i="8" s="1"/>
  <c r="AN57" i="8" s="1"/>
  <c r="AR57" i="8" s="1"/>
  <c r="H58" i="8" s="1"/>
  <c r="U112" i="8"/>
  <c r="W112" i="8" s="1"/>
  <c r="N113" i="7"/>
  <c r="W113" i="7" s="1"/>
  <c r="F114" i="7" s="1"/>
  <c r="I91" i="2"/>
  <c r="H91" i="2"/>
  <c r="O114" i="7" l="1"/>
  <c r="AO57" i="8"/>
  <c r="I81" i="3"/>
  <c r="L81" i="3" s="1"/>
  <c r="I113" i="7"/>
  <c r="H113" i="7"/>
  <c r="C113" i="7"/>
  <c r="R113" i="7" s="1"/>
  <c r="I58" i="8"/>
  <c r="M81" i="3"/>
  <c r="AB112" i="7"/>
  <c r="M91" i="2"/>
  <c r="J91" i="2"/>
  <c r="D91" i="3"/>
  <c r="G91" i="10"/>
  <c r="O58" i="8" l="1"/>
  <c r="J58" i="8"/>
  <c r="N58" i="8" s="1"/>
  <c r="S113" i="7"/>
  <c r="C113" i="8" s="1"/>
  <c r="J113" i="7"/>
  <c r="AS57" i="8"/>
  <c r="P114" i="7"/>
  <c r="Q114" i="7" s="1"/>
  <c r="J81" i="3"/>
  <c r="Q81" i="3"/>
  <c r="F91" i="10"/>
  <c r="C91" i="3"/>
  <c r="D91" i="10"/>
  <c r="B92" i="2"/>
  <c r="K113" i="7"/>
  <c r="R58" i="8" l="1"/>
  <c r="K58" i="8"/>
  <c r="M58" i="8" s="1"/>
  <c r="E114" i="8"/>
  <c r="C92" i="2"/>
  <c r="Y114" i="7"/>
  <c r="D92" i="2"/>
  <c r="AC81" i="3"/>
  <c r="M81" i="10" s="1"/>
  <c r="K81" i="3"/>
  <c r="K92" i="2"/>
  <c r="C92" i="10"/>
  <c r="L113" i="7"/>
  <c r="V113" i="7" s="1"/>
  <c r="T113" i="7"/>
  <c r="D113" i="8" s="1"/>
  <c r="X58" i="8"/>
  <c r="P58" i="8"/>
  <c r="Q58" i="8" s="1"/>
  <c r="AI58" i="8" l="1"/>
  <c r="L58" i="8"/>
  <c r="E92" i="2"/>
  <c r="U81" i="3"/>
  <c r="N81" i="3"/>
  <c r="L92" i="2"/>
  <c r="E114" i="7"/>
  <c r="Z113" i="7"/>
  <c r="AA113" i="7" s="1"/>
  <c r="B113" i="7" s="1"/>
  <c r="B113" i="8" s="1"/>
  <c r="U113" i="7"/>
  <c r="Y58" i="8"/>
  <c r="AA58" i="8" s="1"/>
  <c r="S58" i="8"/>
  <c r="M114" i="7" l="1"/>
  <c r="V81" i="3"/>
  <c r="Y81" i="3" s="1"/>
  <c r="F92" i="2"/>
  <c r="AJ58" i="8"/>
  <c r="AU58" i="8"/>
  <c r="O81" i="3"/>
  <c r="X81" i="3"/>
  <c r="X113" i="7"/>
  <c r="D114" i="7"/>
  <c r="B92" i="3"/>
  <c r="E92" i="10"/>
  <c r="U113" i="8"/>
  <c r="W113" i="8" s="1"/>
  <c r="N114" i="7"/>
  <c r="AB113" i="7"/>
  <c r="Z58" i="8"/>
  <c r="AB58" i="8" s="1"/>
  <c r="T58" i="8"/>
  <c r="V58" i="8" s="1"/>
  <c r="C114" i="7" l="1"/>
  <c r="R114" i="7" s="1"/>
  <c r="AK58" i="8"/>
  <c r="G92" i="2"/>
  <c r="W81" i="3"/>
  <c r="Z81" i="3" s="1"/>
  <c r="I81" i="10"/>
  <c r="F82" i="3"/>
  <c r="R81" i="3"/>
  <c r="S81" i="3" s="1"/>
  <c r="H81" i="10"/>
  <c r="E82" i="3"/>
  <c r="P81" i="3"/>
  <c r="I114" i="7"/>
  <c r="S114" i="7" s="1"/>
  <c r="C114" i="8" s="1"/>
  <c r="H114" i="7"/>
  <c r="J114" i="7" s="1"/>
  <c r="K114" i="7" s="1"/>
  <c r="T114" i="7" s="1"/>
  <c r="D114" i="8" s="1"/>
  <c r="W114" i="7"/>
  <c r="F115" i="7" s="1"/>
  <c r="AT58" i="8"/>
  <c r="AC58" i="8"/>
  <c r="L114" i="7" l="1"/>
  <c r="V114" i="7" s="1"/>
  <c r="H92" i="2"/>
  <c r="I92" i="2"/>
  <c r="U114" i="7"/>
  <c r="J81" i="10"/>
  <c r="G82" i="3"/>
  <c r="AA81" i="3"/>
  <c r="K81" i="10" s="1"/>
  <c r="T81" i="3"/>
  <c r="O115" i="7"/>
  <c r="AD58" i="8"/>
  <c r="AL58" i="8" s="1"/>
  <c r="E115" i="7"/>
  <c r="M115" i="7" s="1"/>
  <c r="J92" i="2"/>
  <c r="G92" i="10"/>
  <c r="M92" i="2"/>
  <c r="D92" i="3" l="1"/>
  <c r="Z114" i="7"/>
  <c r="AA114" i="7" s="1"/>
  <c r="B114" i="7" s="1"/>
  <c r="B114" i="8" s="1"/>
  <c r="X114" i="7"/>
  <c r="D115" i="7"/>
  <c r="I115" i="7" s="1"/>
  <c r="H82" i="3"/>
  <c r="AB81" i="3"/>
  <c r="L81" i="10" s="1"/>
  <c r="M82" i="3"/>
  <c r="P115" i="7"/>
  <c r="Q115" i="7" s="1"/>
  <c r="AE58" i="8"/>
  <c r="N115" i="7"/>
  <c r="AP58" i="8"/>
  <c r="F59" i="8" s="1"/>
  <c r="F92" i="10"/>
  <c r="C92" i="3"/>
  <c r="D92" i="10"/>
  <c r="B93" i="2"/>
  <c r="I82" i="3"/>
  <c r="L82" i="3" s="1"/>
  <c r="AB114" i="7" l="1"/>
  <c r="C115" i="7"/>
  <c r="U114" i="8"/>
  <c r="W114" i="8" s="1"/>
  <c r="H115" i="7"/>
  <c r="J115" i="7" s="1"/>
  <c r="E115" i="8"/>
  <c r="Y115" i="7"/>
  <c r="C93" i="2"/>
  <c r="D93" i="2"/>
  <c r="K93" i="2"/>
  <c r="C93" i="10"/>
  <c r="W115" i="7"/>
  <c r="F116" i="7" s="1"/>
  <c r="AF58" i="8"/>
  <c r="AM58" i="8" s="1"/>
  <c r="Q82" i="3"/>
  <c r="J82" i="3"/>
  <c r="K82" i="3" s="1"/>
  <c r="R115" i="7" l="1"/>
  <c r="S115" i="7" s="1"/>
  <c r="C115" i="8" s="1"/>
  <c r="K115" i="7"/>
  <c r="O116" i="7"/>
  <c r="L93" i="2"/>
  <c r="E93" i="2"/>
  <c r="AQ58" i="8"/>
  <c r="G59" i="8" s="1"/>
  <c r="AG58" i="8"/>
  <c r="AH58" i="8" s="1"/>
  <c r="AN58" i="8" s="1"/>
  <c r="AR58" i="8" s="1"/>
  <c r="H59" i="8" s="1"/>
  <c r="AC82" i="3"/>
  <c r="M82" i="10" s="1"/>
  <c r="U82" i="3"/>
  <c r="N82" i="3"/>
  <c r="T115" i="7" l="1"/>
  <c r="D115" i="8" s="1"/>
  <c r="L115" i="7"/>
  <c r="V115" i="7" s="1"/>
  <c r="B93" i="3"/>
  <c r="E93" i="10"/>
  <c r="P116" i="7"/>
  <c r="Q116" i="7" s="1"/>
  <c r="F93" i="2"/>
  <c r="I59" i="8"/>
  <c r="AO58" i="8"/>
  <c r="X82" i="3"/>
  <c r="V82" i="3"/>
  <c r="Y82" i="3" s="1"/>
  <c r="O82" i="3"/>
  <c r="Z115" i="7" l="1"/>
  <c r="AA115" i="7" s="1"/>
  <c r="B115" i="7" s="1"/>
  <c r="E116" i="7"/>
  <c r="U115" i="7"/>
  <c r="M116" i="7"/>
  <c r="N116" i="7" s="1"/>
  <c r="W116" i="7" s="1"/>
  <c r="F117" i="7" s="1"/>
  <c r="E116" i="8"/>
  <c r="Y116" i="7"/>
  <c r="O59" i="8"/>
  <c r="G93" i="2"/>
  <c r="H93" i="2" s="1"/>
  <c r="J59" i="8"/>
  <c r="N59" i="8" s="1"/>
  <c r="AS58" i="8"/>
  <c r="E83" i="3"/>
  <c r="H82" i="10"/>
  <c r="P82" i="3"/>
  <c r="I82" i="10"/>
  <c r="F83" i="3"/>
  <c r="R82" i="3"/>
  <c r="S82" i="3" s="1"/>
  <c r="W82" i="3"/>
  <c r="Z82" i="3" s="1"/>
  <c r="D116" i="7" l="1"/>
  <c r="X115" i="7"/>
  <c r="AB115" i="7" s="1"/>
  <c r="B115" i="8"/>
  <c r="U115" i="8"/>
  <c r="W115" i="8" s="1"/>
  <c r="C116" i="7"/>
  <c r="R116" i="7" s="1"/>
  <c r="G93" i="10"/>
  <c r="I93" i="2"/>
  <c r="K59" i="8"/>
  <c r="M59" i="8" s="1"/>
  <c r="D93" i="3"/>
  <c r="I116" i="7"/>
  <c r="H116" i="7"/>
  <c r="O117" i="7"/>
  <c r="R59" i="8"/>
  <c r="T82" i="3"/>
  <c r="G83" i="3"/>
  <c r="J82" i="10"/>
  <c r="AA82" i="3"/>
  <c r="K82" i="10" s="1"/>
  <c r="S116" i="7" l="1"/>
  <c r="C116" i="8" s="1"/>
  <c r="P117" i="7"/>
  <c r="Q117" i="7" s="1"/>
  <c r="M93" i="2"/>
  <c r="J93" i="2"/>
  <c r="P59" i="8"/>
  <c r="Q59" i="8" s="1"/>
  <c r="AI59" i="8"/>
  <c r="L59" i="8"/>
  <c r="J116" i="7"/>
  <c r="X59" i="8"/>
  <c r="AB82" i="3"/>
  <c r="L82" i="10" s="1"/>
  <c r="H83" i="3"/>
  <c r="S59" i="8"/>
  <c r="AU59" i="8"/>
  <c r="AJ59" i="8" l="1"/>
  <c r="E117" i="8"/>
  <c r="D93" i="10"/>
  <c r="F93" i="10"/>
  <c r="Y117" i="7"/>
  <c r="B94" i="2"/>
  <c r="C93" i="3"/>
  <c r="Y59" i="8"/>
  <c r="AA59" i="8" s="1"/>
  <c r="K116" i="7"/>
  <c r="L116" i="7" s="1"/>
  <c r="V116" i="7" s="1"/>
  <c r="M83" i="3"/>
  <c r="I83" i="3"/>
  <c r="L83" i="3" s="1"/>
  <c r="Z59" i="8"/>
  <c r="AB59" i="8" s="1"/>
  <c r="T59" i="8"/>
  <c r="V59" i="8" s="1"/>
  <c r="AK59" i="8" l="1"/>
  <c r="C94" i="2"/>
  <c r="D94" i="2"/>
  <c r="K94" i="2"/>
  <c r="C94" i="10"/>
  <c r="Z116" i="7"/>
  <c r="AA116" i="7" s="1"/>
  <c r="B116" i="7" s="1"/>
  <c r="B116" i="8" s="1"/>
  <c r="U116" i="8" s="1"/>
  <c r="E117" i="7"/>
  <c r="U116" i="7"/>
  <c r="T116" i="7"/>
  <c r="D116" i="8" s="1"/>
  <c r="J83" i="3"/>
  <c r="K83" i="3" s="1"/>
  <c r="Q83" i="3"/>
  <c r="AC59" i="8"/>
  <c r="AT59" i="8"/>
  <c r="M117" i="7"/>
  <c r="W116" i="8" l="1"/>
  <c r="L94" i="2"/>
  <c r="E94" i="2"/>
  <c r="X116" i="7"/>
  <c r="D117" i="7"/>
  <c r="U83" i="3"/>
  <c r="N83" i="3"/>
  <c r="AC83" i="3"/>
  <c r="M83" i="10" s="1"/>
  <c r="AD59" i="8"/>
  <c r="N117" i="7"/>
  <c r="W117" i="7" s="1"/>
  <c r="F118" i="7" s="1"/>
  <c r="E94" i="10" l="1"/>
  <c r="B94" i="3"/>
  <c r="F94" i="2"/>
  <c r="C117" i="7"/>
  <c r="R117" i="7" s="1"/>
  <c r="AB116" i="7"/>
  <c r="I117" i="7"/>
  <c r="H117" i="7"/>
  <c r="J117" i="7" s="1"/>
  <c r="V83" i="3"/>
  <c r="Y83" i="3" s="1"/>
  <c r="X83" i="3"/>
  <c r="AL59" i="8"/>
  <c r="O83" i="3"/>
  <c r="R83" i="3" s="1"/>
  <c r="S83" i="3" s="1"/>
  <c r="AE59" i="8"/>
  <c r="O118" i="7"/>
  <c r="G94" i="2" l="1"/>
  <c r="S117" i="7"/>
  <c r="C117" i="8" s="1"/>
  <c r="K117" i="7"/>
  <c r="F84" i="3"/>
  <c r="I83" i="10"/>
  <c r="W83" i="3"/>
  <c r="AP59" i="8"/>
  <c r="F60" i="8" s="1"/>
  <c r="H83" i="10"/>
  <c r="E84" i="3"/>
  <c r="P83" i="3"/>
  <c r="T83" i="3"/>
  <c r="AF59" i="8"/>
  <c r="AM59" i="8" s="1"/>
  <c r="AQ59" i="8" s="1"/>
  <c r="G60" i="8" s="1"/>
  <c r="P118" i="7"/>
  <c r="Q118" i="7" s="1"/>
  <c r="I94" i="2" l="1"/>
  <c r="H94" i="2"/>
  <c r="T117" i="7"/>
  <c r="D117" i="8" s="1"/>
  <c r="L117" i="7"/>
  <c r="V117" i="7" s="1"/>
  <c r="AA83" i="3"/>
  <c r="K83" i="10" s="1"/>
  <c r="Z83" i="3"/>
  <c r="Y118" i="7"/>
  <c r="E118" i="8"/>
  <c r="AB83" i="3"/>
  <c r="L83" i="10" s="1"/>
  <c r="AG59" i="8"/>
  <c r="AH59" i="8" s="1"/>
  <c r="AN59" i="8" s="1"/>
  <c r="AR59" i="8" s="1"/>
  <c r="H60" i="8" s="1"/>
  <c r="J94" i="2"/>
  <c r="D94" i="3"/>
  <c r="G94" i="10"/>
  <c r="M94" i="2"/>
  <c r="U117" i="7"/>
  <c r="E118" i="7"/>
  <c r="Z117" i="7"/>
  <c r="AA117" i="7" s="1"/>
  <c r="B117" i="7" s="1"/>
  <c r="B117" i="8" s="1"/>
  <c r="U117" i="8" s="1"/>
  <c r="W117" i="8" s="1"/>
  <c r="G84" i="3" l="1"/>
  <c r="J83" i="10"/>
  <c r="F94" i="10"/>
  <c r="I60" i="8"/>
  <c r="J60" i="8" s="1"/>
  <c r="N60" i="8" s="1"/>
  <c r="AO59" i="8"/>
  <c r="C94" i="3"/>
  <c r="D94" i="10"/>
  <c r="B95" i="2"/>
  <c r="X117" i="7"/>
  <c r="D118" i="7"/>
  <c r="M118" i="7"/>
  <c r="H84" i="3" l="1"/>
  <c r="AS59" i="8"/>
  <c r="K60" i="8"/>
  <c r="M60" i="8" s="1"/>
  <c r="C95" i="2"/>
  <c r="D95" i="2"/>
  <c r="K95" i="2"/>
  <c r="C95" i="10"/>
  <c r="O60" i="8"/>
  <c r="R60" i="8"/>
  <c r="C118" i="7"/>
  <c r="R118" i="7" s="1"/>
  <c r="I118" i="7"/>
  <c r="N118" i="7"/>
  <c r="W118" i="7" s="1"/>
  <c r="F119" i="7" s="1"/>
  <c r="H118" i="7"/>
  <c r="AB117" i="7"/>
  <c r="I84" i="3" l="1"/>
  <c r="L84" i="3" s="1"/>
  <c r="M84" i="3"/>
  <c r="AI60" i="8"/>
  <c r="P60" i="8"/>
  <c r="Q60" i="8" s="1"/>
  <c r="X60" i="8"/>
  <c r="L60" i="8"/>
  <c r="J118" i="7"/>
  <c r="Q84" i="3"/>
  <c r="E95" i="2"/>
  <c r="L95" i="2"/>
  <c r="O119" i="7"/>
  <c r="S118" i="7"/>
  <c r="C118" i="8" s="1"/>
  <c r="J84" i="3" l="1"/>
  <c r="K84" i="3" s="1"/>
  <c r="AJ60" i="8"/>
  <c r="S60" i="8"/>
  <c r="Y60" i="8"/>
  <c r="AA60" i="8" s="1"/>
  <c r="N84" i="3"/>
  <c r="F95" i="2"/>
  <c r="K118" i="7"/>
  <c r="AU60" i="8"/>
  <c r="E95" i="10"/>
  <c r="B95" i="3"/>
  <c r="P119" i="7"/>
  <c r="Q119" i="7" s="1"/>
  <c r="AC84" i="3" l="1"/>
  <c r="M84" i="10" s="1"/>
  <c r="U84" i="3"/>
  <c r="X84" i="3" s="1"/>
  <c r="O84" i="3"/>
  <c r="G95" i="2"/>
  <c r="V84" i="3"/>
  <c r="Y84" i="3" s="1"/>
  <c r="E85" i="3"/>
  <c r="H84" i="10"/>
  <c r="T60" i="8"/>
  <c r="V60" i="8" s="1"/>
  <c r="Z60" i="8"/>
  <c r="AB60" i="8" s="1"/>
  <c r="AC60" i="8" s="1"/>
  <c r="AK60" i="8"/>
  <c r="T118" i="7"/>
  <c r="D118" i="8" s="1"/>
  <c r="L118" i="7"/>
  <c r="Y119" i="7"/>
  <c r="E119" i="8"/>
  <c r="P84" i="3" l="1"/>
  <c r="I84" i="10"/>
  <c r="F85" i="3"/>
  <c r="R84" i="3"/>
  <c r="S84" i="3" s="1"/>
  <c r="H95" i="2"/>
  <c r="I95" i="2"/>
  <c r="W84" i="3"/>
  <c r="Z84" i="3" s="1"/>
  <c r="AT60" i="8"/>
  <c r="AD60" i="8"/>
  <c r="V118" i="7"/>
  <c r="U118" i="7"/>
  <c r="D119" i="7"/>
  <c r="D95" i="3"/>
  <c r="G95" i="10"/>
  <c r="J84" i="10"/>
  <c r="T84" i="3"/>
  <c r="M95" i="2" l="1"/>
  <c r="J95" i="2"/>
  <c r="G85" i="3"/>
  <c r="AA84" i="3"/>
  <c r="K84" i="10" s="1"/>
  <c r="Z118" i="7"/>
  <c r="AA118" i="7" s="1"/>
  <c r="B118" i="7" s="1"/>
  <c r="B118" i="8" s="1"/>
  <c r="U118" i="8" s="1"/>
  <c r="W118" i="8" s="1"/>
  <c r="E119" i="7"/>
  <c r="X118" i="7"/>
  <c r="AE60" i="8"/>
  <c r="AL60" i="8"/>
  <c r="H119" i="7"/>
  <c r="I119" i="7"/>
  <c r="AB118" i="7"/>
  <c r="C119" i="7"/>
  <c r="R119" i="7" s="1"/>
  <c r="AF60" i="8"/>
  <c r="AM60" i="8" s="1"/>
  <c r="AQ60" i="8" s="1"/>
  <c r="G61" i="8" s="1"/>
  <c r="AB84" i="3"/>
  <c r="L84" i="10" s="1"/>
  <c r="F95" i="10" l="1"/>
  <c r="C95" i="3"/>
  <c r="B96" i="2"/>
  <c r="D95" i="10"/>
  <c r="AP60" i="8"/>
  <c r="F61" i="8" s="1"/>
  <c r="H85" i="3"/>
  <c r="M119" i="7"/>
  <c r="S119" i="7"/>
  <c r="C119" i="8" s="1"/>
  <c r="AG60" i="8"/>
  <c r="AH60" i="8" s="1"/>
  <c r="AN60" i="8" s="1"/>
  <c r="AR60" i="8" s="1"/>
  <c r="H61" i="8" s="1"/>
  <c r="J119" i="7"/>
  <c r="K119" i="7" s="1"/>
  <c r="T119" i="7" s="1"/>
  <c r="D119" i="8" s="1"/>
  <c r="C96" i="2"/>
  <c r="C96" i="10"/>
  <c r="M85" i="3" l="1"/>
  <c r="D96" i="2"/>
  <c r="K96" i="2"/>
  <c r="I85" i="3"/>
  <c r="L85" i="3" s="1"/>
  <c r="N119" i="7"/>
  <c r="W119" i="7" s="1"/>
  <c r="F120" i="7" s="1"/>
  <c r="O120" i="7" s="1"/>
  <c r="L119" i="7"/>
  <c r="V119" i="7" s="1"/>
  <c r="I61" i="8"/>
  <c r="AO60" i="8"/>
  <c r="Z119" i="7"/>
  <c r="AA119" i="7" s="1"/>
  <c r="B119" i="7" s="1"/>
  <c r="B119" i="8" s="1"/>
  <c r="U119" i="8" s="1"/>
  <c r="W119" i="8" s="1"/>
  <c r="E96" i="2"/>
  <c r="L96" i="2"/>
  <c r="U119" i="7" l="1"/>
  <c r="Q85" i="3"/>
  <c r="J85" i="3"/>
  <c r="K85" i="3" s="1"/>
  <c r="E120" i="7"/>
  <c r="P120" i="7"/>
  <c r="Q120" i="7" s="1"/>
  <c r="J61" i="8"/>
  <c r="N61" i="8" s="1"/>
  <c r="O61" i="8"/>
  <c r="AS60" i="8"/>
  <c r="F96" i="2"/>
  <c r="E96" i="10"/>
  <c r="B96" i="3"/>
  <c r="M120" i="7" l="1"/>
  <c r="D120" i="7"/>
  <c r="N85" i="3"/>
  <c r="X119" i="7"/>
  <c r="U85" i="3"/>
  <c r="AC85" i="3"/>
  <c r="M85" i="10" s="1"/>
  <c r="Y120" i="7"/>
  <c r="E120" i="8"/>
  <c r="K61" i="8"/>
  <c r="M61" i="8" s="1"/>
  <c r="R61" i="8"/>
  <c r="G96" i="2"/>
  <c r="H96" i="2" s="1"/>
  <c r="X85" i="3" l="1"/>
  <c r="C120" i="7"/>
  <c r="R120" i="7" s="1"/>
  <c r="AB119" i="7"/>
  <c r="V85" i="3"/>
  <c r="Y85" i="3" s="1"/>
  <c r="N120" i="7"/>
  <c r="W120" i="7" s="1"/>
  <c r="F121" i="7" s="1"/>
  <c r="I120" i="7"/>
  <c r="O85" i="3"/>
  <c r="H120" i="7"/>
  <c r="L61" i="8"/>
  <c r="X61" i="8"/>
  <c r="P61" i="8"/>
  <c r="Q61" i="8" s="1"/>
  <c r="AI61" i="8"/>
  <c r="AJ61" i="8" s="1"/>
  <c r="I96" i="2"/>
  <c r="D96" i="3"/>
  <c r="G96" i="10"/>
  <c r="Y61" i="8" l="1"/>
  <c r="AA61" i="8" s="1"/>
  <c r="E86" i="3"/>
  <c r="I85" i="10"/>
  <c r="AU61" i="8"/>
  <c r="H85" i="10"/>
  <c r="F86" i="3"/>
  <c r="W85" i="3"/>
  <c r="S120" i="7"/>
  <c r="C120" i="8" s="1"/>
  <c r="S61" i="8"/>
  <c r="O121" i="7"/>
  <c r="J120" i="7"/>
  <c r="P85" i="3"/>
  <c r="R85" i="3"/>
  <c r="S85" i="3" s="1"/>
  <c r="AK61" i="8"/>
  <c r="Z61" i="8"/>
  <c r="AB61" i="8" s="1"/>
  <c r="M96" i="2"/>
  <c r="J96" i="2"/>
  <c r="P121" i="7" l="1"/>
  <c r="Q121" i="7" s="1"/>
  <c r="AC61" i="8"/>
  <c r="K120" i="7"/>
  <c r="L120" i="7" s="1"/>
  <c r="V120" i="7" s="1"/>
  <c r="AA85" i="3"/>
  <c r="K85" i="10" s="1"/>
  <c r="T85" i="3"/>
  <c r="Z85" i="3"/>
  <c r="T61" i="8"/>
  <c r="V61" i="8" s="1"/>
  <c r="F96" i="10"/>
  <c r="C96" i="3"/>
  <c r="D96" i="10"/>
  <c r="B97" i="2"/>
  <c r="G86" i="3"/>
  <c r="J85" i="10"/>
  <c r="AB85" i="3"/>
  <c r="L85" i="10" s="1"/>
  <c r="AD61" i="8" l="1"/>
  <c r="Y121" i="7"/>
  <c r="U120" i="7"/>
  <c r="E121" i="7"/>
  <c r="T120" i="7"/>
  <c r="D120" i="8" s="1"/>
  <c r="E121" i="8"/>
  <c r="Z120" i="7"/>
  <c r="AA120" i="7" s="1"/>
  <c r="B120" i="7" s="1"/>
  <c r="B120" i="8" s="1"/>
  <c r="U120" i="8" s="1"/>
  <c r="AT61" i="8"/>
  <c r="C97" i="2"/>
  <c r="D97" i="2"/>
  <c r="K97" i="2"/>
  <c r="C97" i="10"/>
  <c r="M121" i="7"/>
  <c r="H86" i="3"/>
  <c r="AE61" i="8" l="1"/>
  <c r="W120" i="8"/>
  <c r="AL61" i="8"/>
  <c r="D121" i="7"/>
  <c r="X120" i="7"/>
  <c r="H121" i="7"/>
  <c r="I121" i="7"/>
  <c r="AB120" i="7"/>
  <c r="C121" i="7"/>
  <c r="R121" i="7" s="1"/>
  <c r="N121" i="7"/>
  <c r="W121" i="7" s="1"/>
  <c r="F122" i="7" s="1"/>
  <c r="E97" i="2"/>
  <c r="L97" i="2"/>
  <c r="I86" i="3"/>
  <c r="L86" i="3" s="1"/>
  <c r="M86" i="3"/>
  <c r="AP61" i="8" l="1"/>
  <c r="F62" i="8" s="1"/>
  <c r="AF61" i="8"/>
  <c r="AM61" i="8" s="1"/>
  <c r="AQ61" i="8" s="1"/>
  <c r="G62" i="8" s="1"/>
  <c r="J121" i="7"/>
  <c r="O122" i="7"/>
  <c r="S121" i="7"/>
  <c r="C121" i="8" s="1"/>
  <c r="AG61" i="8"/>
  <c r="AH61" i="8" s="1"/>
  <c r="AN61" i="8" s="1"/>
  <c r="AR61" i="8" s="1"/>
  <c r="H62" i="8" s="1"/>
  <c r="F97" i="2"/>
  <c r="E97" i="10"/>
  <c r="B97" i="3"/>
  <c r="Q86" i="3"/>
  <c r="J86" i="3"/>
  <c r="K86" i="3" s="1"/>
  <c r="K121" i="7" l="1"/>
  <c r="P122" i="7"/>
  <c r="Q122" i="7" s="1"/>
  <c r="I62" i="8"/>
  <c r="AO61" i="8"/>
  <c r="G97" i="2"/>
  <c r="H97" i="2" s="1"/>
  <c r="J62" i="8"/>
  <c r="N62" i="8" s="1"/>
  <c r="U86" i="3"/>
  <c r="N86" i="3"/>
  <c r="AC86" i="3"/>
  <c r="M86" i="10" s="1"/>
  <c r="L121" i="7" l="1"/>
  <c r="V121" i="7" s="1"/>
  <c r="T121" i="7"/>
  <c r="D121" i="8" s="1"/>
  <c r="Y122" i="7"/>
  <c r="E122" i="8"/>
  <c r="I97" i="2"/>
  <c r="O62" i="8"/>
  <c r="AS61" i="8"/>
  <c r="D97" i="3"/>
  <c r="G97" i="10"/>
  <c r="K62" i="8"/>
  <c r="M62" i="8" s="1"/>
  <c r="R62" i="8"/>
  <c r="V86" i="3"/>
  <c r="Y86" i="3" s="1"/>
  <c r="O86" i="3"/>
  <c r="X86" i="3"/>
  <c r="Z121" i="7" l="1"/>
  <c r="AA121" i="7" s="1"/>
  <c r="B121" i="7" s="1"/>
  <c r="B121" i="8" s="1"/>
  <c r="U121" i="8" s="1"/>
  <c r="W121" i="8" s="1"/>
  <c r="E122" i="7"/>
  <c r="M122" i="7" s="1"/>
  <c r="U121" i="7"/>
  <c r="M97" i="2"/>
  <c r="J97" i="2"/>
  <c r="D97" i="10"/>
  <c r="D122" i="7"/>
  <c r="X121" i="7"/>
  <c r="P86" i="3"/>
  <c r="AB121" i="7"/>
  <c r="C122" i="7"/>
  <c r="R122" i="7" s="1"/>
  <c r="AI62" i="8"/>
  <c r="X62" i="8"/>
  <c r="P62" i="8"/>
  <c r="Q62" i="8" s="1"/>
  <c r="L62" i="8"/>
  <c r="N122" i="7"/>
  <c r="W122" i="7" s="1"/>
  <c r="F123" i="7" s="1"/>
  <c r="I86" i="10"/>
  <c r="F87" i="3"/>
  <c r="R86" i="3"/>
  <c r="S86" i="3" s="1"/>
  <c r="H86" i="10"/>
  <c r="E87" i="3"/>
  <c r="W86" i="3"/>
  <c r="Z86" i="3" s="1"/>
  <c r="C97" i="3" l="1"/>
  <c r="F97" i="10"/>
  <c r="B98" i="2"/>
  <c r="H122" i="7"/>
  <c r="K98" i="2"/>
  <c r="I122" i="7"/>
  <c r="AJ62" i="8"/>
  <c r="Y62" i="8"/>
  <c r="AA62" i="8" s="1"/>
  <c r="S62" i="8"/>
  <c r="AU62" i="8"/>
  <c r="O123" i="7"/>
  <c r="AA86" i="3"/>
  <c r="K86" i="10" s="1"/>
  <c r="J86" i="10"/>
  <c r="G87" i="3"/>
  <c r="T86" i="3"/>
  <c r="C98" i="10" l="1"/>
  <c r="C98" i="2"/>
  <c r="D98" i="2"/>
  <c r="J122" i="7"/>
  <c r="L98" i="2"/>
  <c r="P123" i="7"/>
  <c r="Q123" i="7" s="1"/>
  <c r="S122" i="7"/>
  <c r="C122" i="8" s="1"/>
  <c r="AK62" i="8"/>
  <c r="Z62" i="8"/>
  <c r="AB62" i="8" s="1"/>
  <c r="T62" i="8"/>
  <c r="V62" i="8" s="1"/>
  <c r="H87" i="3"/>
  <c r="AB86" i="3"/>
  <c r="L86" i="10" s="1"/>
  <c r="E98" i="2" l="1"/>
  <c r="E98" i="10"/>
  <c r="B98" i="3"/>
  <c r="K122" i="7"/>
  <c r="Y123" i="7"/>
  <c r="E123" i="8"/>
  <c r="M87" i="3"/>
  <c r="AC62" i="8"/>
  <c r="AD62" i="8" s="1"/>
  <c r="AT62" i="8"/>
  <c r="I87" i="3"/>
  <c r="L87" i="3" s="1"/>
  <c r="F98" i="2" l="1"/>
  <c r="L122" i="7"/>
  <c r="V122" i="7" s="1"/>
  <c r="T122" i="7"/>
  <c r="D122" i="8" s="1"/>
  <c r="AE62" i="8"/>
  <c r="AL62" i="8"/>
  <c r="Q87" i="3"/>
  <c r="J87" i="3"/>
  <c r="K87" i="3" s="1"/>
  <c r="G98" i="2" l="1"/>
  <c r="I98" i="2"/>
  <c r="E123" i="7"/>
  <c r="Z122" i="7"/>
  <c r="AA122" i="7" s="1"/>
  <c r="B122" i="7" s="1"/>
  <c r="B122" i="8" s="1"/>
  <c r="U122" i="8" s="1"/>
  <c r="W122" i="8" s="1"/>
  <c r="U122" i="7"/>
  <c r="AF62" i="8"/>
  <c r="AM62" i="8" s="1"/>
  <c r="AQ62" i="8" s="1"/>
  <c r="G63" i="8" s="1"/>
  <c r="AP62" i="8"/>
  <c r="F63" i="8" s="1"/>
  <c r="U87" i="3"/>
  <c r="N87" i="3"/>
  <c r="AC87" i="3"/>
  <c r="M87" i="10" s="1"/>
  <c r="H98" i="2" l="1"/>
  <c r="M98" i="2"/>
  <c r="J98" i="2"/>
  <c r="M123" i="7"/>
  <c r="N123" i="7" s="1"/>
  <c r="W123" i="7" s="1"/>
  <c r="F124" i="7" s="1"/>
  <c r="X122" i="7"/>
  <c r="D123" i="7"/>
  <c r="AG62" i="8"/>
  <c r="AH62" i="8" s="1"/>
  <c r="AN62" i="8" s="1"/>
  <c r="AR62" i="8" s="1"/>
  <c r="H63" i="8" s="1"/>
  <c r="X87" i="3"/>
  <c r="V87" i="3"/>
  <c r="Y87" i="3" s="1"/>
  <c r="O87" i="3"/>
  <c r="D98" i="3" l="1"/>
  <c r="G98" i="10"/>
  <c r="F98" i="10"/>
  <c r="C98" i="3"/>
  <c r="D98" i="10"/>
  <c r="B99" i="2"/>
  <c r="AB122" i="7"/>
  <c r="C123" i="7"/>
  <c r="R123" i="7" s="1"/>
  <c r="H123" i="7"/>
  <c r="I123" i="7"/>
  <c r="O124" i="7"/>
  <c r="I63" i="8"/>
  <c r="AO62" i="8"/>
  <c r="P87" i="3"/>
  <c r="E88" i="3"/>
  <c r="H87" i="10"/>
  <c r="I87" i="10"/>
  <c r="F88" i="3"/>
  <c r="R87" i="3"/>
  <c r="S87" i="3" s="1"/>
  <c r="W87" i="3"/>
  <c r="S123" i="7" l="1"/>
  <c r="C123" i="8" s="1"/>
  <c r="C99" i="2"/>
  <c r="D99" i="2"/>
  <c r="K99" i="2"/>
  <c r="C99" i="10"/>
  <c r="J123" i="7"/>
  <c r="K123" i="7" s="1"/>
  <c r="P124" i="7"/>
  <c r="Q124" i="7" s="1"/>
  <c r="AS62" i="8"/>
  <c r="L123" i="7"/>
  <c r="V123" i="7" s="1"/>
  <c r="J63" i="8"/>
  <c r="N63" i="8" s="1"/>
  <c r="O63" i="8"/>
  <c r="AA87" i="3"/>
  <c r="K87" i="10" s="1"/>
  <c r="Z87" i="3"/>
  <c r="E99" i="2"/>
  <c r="T87" i="3"/>
  <c r="L99" i="2" l="1"/>
  <c r="Y124" i="7"/>
  <c r="E124" i="8"/>
  <c r="T123" i="7"/>
  <c r="D123" i="8" s="1"/>
  <c r="U123" i="7"/>
  <c r="Z123" i="7"/>
  <c r="AA123" i="7" s="1"/>
  <c r="B123" i="7" s="1"/>
  <c r="B123" i="8" s="1"/>
  <c r="U123" i="8" s="1"/>
  <c r="R63" i="8"/>
  <c r="K63" i="8"/>
  <c r="M63" i="8" s="1"/>
  <c r="E124" i="7"/>
  <c r="P63" i="8"/>
  <c r="Q63" i="8" s="1"/>
  <c r="G88" i="3"/>
  <c r="J87" i="10"/>
  <c r="F99" i="2"/>
  <c r="AB87" i="3"/>
  <c r="L87" i="10" s="1"/>
  <c r="B99" i="3" l="1"/>
  <c r="W123" i="8"/>
  <c r="E99" i="10"/>
  <c r="X63" i="8"/>
  <c r="AI63" i="8"/>
  <c r="L63" i="8"/>
  <c r="D124" i="7"/>
  <c r="X123" i="7"/>
  <c r="C124" i="7" s="1"/>
  <c r="R124" i="7" s="1"/>
  <c r="M124" i="7"/>
  <c r="AB123" i="7"/>
  <c r="S63" i="8"/>
  <c r="H88" i="3"/>
  <c r="G99" i="2"/>
  <c r="Y63" i="8" l="1"/>
  <c r="AA63" i="8" s="1"/>
  <c r="Z63" i="8"/>
  <c r="AB63" i="8" s="1"/>
  <c r="AJ63" i="8"/>
  <c r="AU63" i="8"/>
  <c r="I124" i="7"/>
  <c r="S124" i="7" s="1"/>
  <c r="C124" i="8" s="1"/>
  <c r="H124" i="7"/>
  <c r="N124" i="7"/>
  <c r="W124" i="7" s="1"/>
  <c r="F125" i="7" s="1"/>
  <c r="T63" i="8"/>
  <c r="V63" i="8" s="1"/>
  <c r="M88" i="3"/>
  <c r="I88" i="3"/>
  <c r="L88" i="3" s="1"/>
  <c r="I99" i="2"/>
  <c r="H99" i="2"/>
  <c r="AC63" i="8" l="1"/>
  <c r="AK63" i="8"/>
  <c r="J124" i="7"/>
  <c r="K124" i="7"/>
  <c r="T124" i="7" s="1"/>
  <c r="D124" i="8" s="1"/>
  <c r="O125" i="7"/>
  <c r="L124" i="7"/>
  <c r="V124" i="7" s="1"/>
  <c r="AT63" i="8"/>
  <c r="Q88" i="3"/>
  <c r="M99" i="2"/>
  <c r="J99" i="2"/>
  <c r="D99" i="3"/>
  <c r="G99" i="10"/>
  <c r="J88" i="3"/>
  <c r="K88" i="3" s="1"/>
  <c r="E125" i="7" l="1"/>
  <c r="P125" i="7"/>
  <c r="Q125" i="7" s="1"/>
  <c r="AD63" i="8"/>
  <c r="Z124" i="7"/>
  <c r="AA124" i="7" s="1"/>
  <c r="B124" i="7" s="1"/>
  <c r="M125" i="7"/>
  <c r="U124" i="7"/>
  <c r="E125" i="8"/>
  <c r="Y125" i="7"/>
  <c r="B124" i="8"/>
  <c r="U124" i="8" s="1"/>
  <c r="W124" i="8" s="1"/>
  <c r="AE63" i="8"/>
  <c r="AL63" i="8"/>
  <c r="F99" i="10"/>
  <c r="C99" i="3"/>
  <c r="D99" i="10"/>
  <c r="B100" i="2"/>
  <c r="U88" i="3"/>
  <c r="N88" i="3"/>
  <c r="AC88" i="3"/>
  <c r="M88" i="10" s="1"/>
  <c r="N125" i="7" l="1"/>
  <c r="W125" i="7" s="1"/>
  <c r="F126" i="7" s="1"/>
  <c r="D125" i="7"/>
  <c r="X124" i="7"/>
  <c r="AF63" i="8"/>
  <c r="AM63" i="8" s="1"/>
  <c r="AQ63" i="8" s="1"/>
  <c r="G64" i="8" s="1"/>
  <c r="AP63" i="8"/>
  <c r="F64" i="8" s="1"/>
  <c r="X88" i="3"/>
  <c r="C100" i="2"/>
  <c r="D100" i="2"/>
  <c r="K100" i="2"/>
  <c r="C100" i="10"/>
  <c r="V88" i="3"/>
  <c r="Y88" i="3" s="1"/>
  <c r="O88" i="3"/>
  <c r="O126" i="7" l="1"/>
  <c r="I125" i="7"/>
  <c r="H125" i="7"/>
  <c r="J125" i="7" s="1"/>
  <c r="C125" i="7"/>
  <c r="R125" i="7" s="1"/>
  <c r="AB124" i="7"/>
  <c r="P88" i="3"/>
  <c r="E89" i="3"/>
  <c r="H88" i="10"/>
  <c r="AG63" i="8"/>
  <c r="AH63" i="8" s="1"/>
  <c r="AN63" i="8" s="1"/>
  <c r="AR63" i="8" s="1"/>
  <c r="H64" i="8" s="1"/>
  <c r="E100" i="2"/>
  <c r="I88" i="10"/>
  <c r="F89" i="3"/>
  <c r="R88" i="3"/>
  <c r="S88" i="3" s="1"/>
  <c r="L100" i="2"/>
  <c r="W88" i="3"/>
  <c r="Z88" i="3" s="1"/>
  <c r="P126" i="7" l="1"/>
  <c r="Q126" i="7" s="1"/>
  <c r="S125" i="7"/>
  <c r="C125" i="8" s="1"/>
  <c r="K125" i="7"/>
  <c r="AA88" i="3"/>
  <c r="K88" i="10" s="1"/>
  <c r="E126" i="8"/>
  <c r="Y126" i="7"/>
  <c r="I64" i="8"/>
  <c r="F100" i="2"/>
  <c r="AO63" i="8"/>
  <c r="E100" i="10"/>
  <c r="B100" i="3"/>
  <c r="G89" i="3"/>
  <c r="J88" i="10"/>
  <c r="T88" i="3"/>
  <c r="T125" i="7" l="1"/>
  <c r="D125" i="8" s="1"/>
  <c r="L125" i="7"/>
  <c r="V125" i="7" s="1"/>
  <c r="G100" i="2"/>
  <c r="H100" i="2" s="1"/>
  <c r="O64" i="8"/>
  <c r="J64" i="8"/>
  <c r="N64" i="8" s="1"/>
  <c r="AS63" i="8"/>
  <c r="H89" i="3"/>
  <c r="AB88" i="3"/>
  <c r="L88" i="10" s="1"/>
  <c r="U125" i="7" l="1"/>
  <c r="Z125" i="7"/>
  <c r="AA125" i="7" s="1"/>
  <c r="B125" i="7" s="1"/>
  <c r="B125" i="8" s="1"/>
  <c r="E126" i="7"/>
  <c r="G100" i="10"/>
  <c r="I100" i="2"/>
  <c r="M100" i="2" s="1"/>
  <c r="D100" i="3"/>
  <c r="R64" i="8"/>
  <c r="K64" i="8"/>
  <c r="M64" i="8" s="1"/>
  <c r="I89" i="3"/>
  <c r="L89" i="3" s="1"/>
  <c r="M89" i="3"/>
  <c r="X125" i="7" l="1"/>
  <c r="D126" i="7"/>
  <c r="M126" i="7"/>
  <c r="U125" i="8"/>
  <c r="W125" i="8" s="1"/>
  <c r="J100" i="2"/>
  <c r="F100" i="10"/>
  <c r="C100" i="3"/>
  <c r="L64" i="8"/>
  <c r="AI64" i="8"/>
  <c r="P64" i="8"/>
  <c r="Q64" i="8" s="1"/>
  <c r="X64" i="8"/>
  <c r="Q89" i="3"/>
  <c r="J89" i="3"/>
  <c r="K89" i="3" s="1"/>
  <c r="C126" i="7" l="1"/>
  <c r="R126" i="7" s="1"/>
  <c r="AB125" i="7"/>
  <c r="I126" i="7"/>
  <c r="H126" i="7"/>
  <c r="N126" i="7"/>
  <c r="W126" i="7" s="1"/>
  <c r="F127" i="7" s="1"/>
  <c r="O127" i="7" s="1"/>
  <c r="D100" i="10"/>
  <c r="B101" i="2"/>
  <c r="AU64" i="8"/>
  <c r="AJ64" i="8"/>
  <c r="S64" i="8"/>
  <c r="Y64" i="8"/>
  <c r="AA64" i="8" s="1"/>
  <c r="U89" i="3"/>
  <c r="N89" i="3"/>
  <c r="AC89" i="3"/>
  <c r="M89" i="10" s="1"/>
  <c r="J126" i="7" l="1"/>
  <c r="P127" i="7"/>
  <c r="Q127" i="7" s="1"/>
  <c r="Y127" i="7" s="1"/>
  <c r="S126" i="7"/>
  <c r="C126" i="8" s="1"/>
  <c r="C101" i="2"/>
  <c r="D101" i="2"/>
  <c r="Z64" i="8"/>
  <c r="AB64" i="8" s="1"/>
  <c r="K101" i="2"/>
  <c r="C101" i="10"/>
  <c r="AK64" i="8"/>
  <c r="T64" i="8"/>
  <c r="V64" i="8" s="1"/>
  <c r="AT64" i="8" s="1"/>
  <c r="V89" i="3"/>
  <c r="Y89" i="3" s="1"/>
  <c r="O89" i="3"/>
  <c r="X89" i="3"/>
  <c r="E101" i="2" l="1"/>
  <c r="F101" i="2" s="1"/>
  <c r="L101" i="2"/>
  <c r="AC64" i="8"/>
  <c r="K126" i="7"/>
  <c r="E127" i="8"/>
  <c r="P89" i="3"/>
  <c r="AD64" i="8"/>
  <c r="I89" i="10"/>
  <c r="F90" i="3"/>
  <c r="R89" i="3"/>
  <c r="S89" i="3" s="1"/>
  <c r="H89" i="10"/>
  <c r="E90" i="3"/>
  <c r="W89" i="3"/>
  <c r="Z89" i="3" s="1"/>
  <c r="B101" i="3" l="1"/>
  <c r="E101" i="10"/>
  <c r="G101" i="2"/>
  <c r="L126" i="7"/>
  <c r="T126" i="7"/>
  <c r="D126" i="8" s="1"/>
  <c r="AL64" i="8"/>
  <c r="AE64" i="8"/>
  <c r="J89" i="10"/>
  <c r="G90" i="3"/>
  <c r="AA89" i="3"/>
  <c r="K89" i="10" s="1"/>
  <c r="T89" i="3"/>
  <c r="I101" i="2" l="1"/>
  <c r="H101" i="2"/>
  <c r="U126" i="7"/>
  <c r="V126" i="7"/>
  <c r="AP64" i="8"/>
  <c r="F65" i="8" s="1"/>
  <c r="AF64" i="8"/>
  <c r="AM64" i="8" s="1"/>
  <c r="AQ64" i="8" s="1"/>
  <c r="G65" i="8" s="1"/>
  <c r="H90" i="3"/>
  <c r="AB89" i="3"/>
  <c r="L89" i="10" s="1"/>
  <c r="M101" i="2" l="1"/>
  <c r="J101" i="2"/>
  <c r="D101" i="3"/>
  <c r="G101" i="10"/>
  <c r="X126" i="7"/>
  <c r="D127" i="7"/>
  <c r="Z126" i="7"/>
  <c r="AA126" i="7" s="1"/>
  <c r="B126" i="7" s="1"/>
  <c r="B126" i="8" s="1"/>
  <c r="U126" i="8" s="1"/>
  <c r="W126" i="8" s="1"/>
  <c r="E127" i="7"/>
  <c r="AG64" i="8"/>
  <c r="AH64" i="8" s="1"/>
  <c r="AN64" i="8" s="1"/>
  <c r="AR64" i="8" s="1"/>
  <c r="H65" i="8" s="1"/>
  <c r="I90" i="3"/>
  <c r="L90" i="3" s="1"/>
  <c r="M90" i="3"/>
  <c r="C101" i="3" l="1"/>
  <c r="F101" i="10"/>
  <c r="D101" i="10"/>
  <c r="B102" i="2"/>
  <c r="AB126" i="7"/>
  <c r="C127" i="7"/>
  <c r="R127" i="7" s="1"/>
  <c r="I127" i="7"/>
  <c r="H127" i="7"/>
  <c r="M127" i="7"/>
  <c r="I65" i="8"/>
  <c r="AO64" i="8"/>
  <c r="Q90" i="3"/>
  <c r="J90" i="3"/>
  <c r="K90" i="3" s="1"/>
  <c r="C102" i="2" l="1"/>
  <c r="C102" i="10"/>
  <c r="K102" i="2"/>
  <c r="D102" i="2"/>
  <c r="L102" i="2" s="1"/>
  <c r="N127" i="7"/>
  <c r="W127" i="7" s="1"/>
  <c r="F128" i="7" s="1"/>
  <c r="O128" i="7" s="1"/>
  <c r="P128" i="7" s="1"/>
  <c r="Q128" i="7" s="1"/>
  <c r="J127" i="7"/>
  <c r="S127" i="7"/>
  <c r="C127" i="8" s="1"/>
  <c r="O65" i="8"/>
  <c r="AS64" i="8"/>
  <c r="J65" i="8"/>
  <c r="N65" i="8" s="1"/>
  <c r="U90" i="3"/>
  <c r="N90" i="3"/>
  <c r="AC90" i="3"/>
  <c r="M90" i="10" s="1"/>
  <c r="E102" i="2" l="1"/>
  <c r="Y128" i="7"/>
  <c r="E128" i="8"/>
  <c r="E102" i="10"/>
  <c r="B102" i="3"/>
  <c r="K127" i="7"/>
  <c r="X90" i="3"/>
  <c r="R65" i="8"/>
  <c r="K65" i="8"/>
  <c r="M65" i="8" s="1"/>
  <c r="V90" i="3"/>
  <c r="Y90" i="3" s="1"/>
  <c r="O90" i="3"/>
  <c r="F102" i="2" l="1"/>
  <c r="T127" i="7"/>
  <c r="D127" i="8" s="1"/>
  <c r="L127" i="7"/>
  <c r="E91" i="3"/>
  <c r="H90" i="10"/>
  <c r="X65" i="8"/>
  <c r="P65" i="8"/>
  <c r="Q65" i="8" s="1"/>
  <c r="AI65" i="8"/>
  <c r="P90" i="3"/>
  <c r="L65" i="8"/>
  <c r="I90" i="10"/>
  <c r="F91" i="3"/>
  <c r="R90" i="3"/>
  <c r="S90" i="3" s="1"/>
  <c r="W90" i="3"/>
  <c r="Z90" i="3" s="1"/>
  <c r="G102" i="2" l="1"/>
  <c r="U127" i="7"/>
  <c r="V127" i="7"/>
  <c r="AU65" i="8"/>
  <c r="Y65" i="8"/>
  <c r="AA65" i="8" s="1"/>
  <c r="S65" i="8"/>
  <c r="AJ65" i="8"/>
  <c r="J90" i="10"/>
  <c r="G91" i="3"/>
  <c r="AA90" i="3"/>
  <c r="K90" i="10" s="1"/>
  <c r="T90" i="3"/>
  <c r="I102" i="2" l="1"/>
  <c r="H102" i="2"/>
  <c r="D128" i="7"/>
  <c r="X127" i="7"/>
  <c r="Z127" i="7"/>
  <c r="AA127" i="7" s="1"/>
  <c r="B127" i="7" s="1"/>
  <c r="B127" i="8" s="1"/>
  <c r="U127" i="8" s="1"/>
  <c r="W127" i="8" s="1"/>
  <c r="E128" i="7"/>
  <c r="Z65" i="8"/>
  <c r="AB65" i="8" s="1"/>
  <c r="T65" i="8"/>
  <c r="V65" i="8" s="1"/>
  <c r="AK65" i="8"/>
  <c r="H91" i="3"/>
  <c r="AB90" i="3"/>
  <c r="L90" i="10" s="1"/>
  <c r="M102" i="2" l="1"/>
  <c r="J102" i="2"/>
  <c r="D102" i="3"/>
  <c r="G102" i="10"/>
  <c r="I128" i="7"/>
  <c r="H128" i="7"/>
  <c r="C128" i="7"/>
  <c r="R128" i="7" s="1"/>
  <c r="AB127" i="7"/>
  <c r="M128" i="7"/>
  <c r="AC65" i="8"/>
  <c r="M91" i="3"/>
  <c r="AT65" i="8"/>
  <c r="I91" i="3"/>
  <c r="L91" i="3" s="1"/>
  <c r="F102" i="10" l="1"/>
  <c r="C102" i="3"/>
  <c r="D102" i="10"/>
  <c r="B103" i="2"/>
  <c r="J128" i="7"/>
  <c r="S128" i="7"/>
  <c r="C128" i="8" s="1"/>
  <c r="N128" i="7"/>
  <c r="W128" i="7" s="1"/>
  <c r="F129" i="7" s="1"/>
  <c r="AD65" i="8"/>
  <c r="Q91" i="3"/>
  <c r="J91" i="3"/>
  <c r="K91" i="3" s="1"/>
  <c r="K128" i="7" l="1"/>
  <c r="C103" i="10"/>
  <c r="D103" i="2"/>
  <c r="C103" i="2"/>
  <c r="K103" i="2"/>
  <c r="O129" i="7"/>
  <c r="AE65" i="8"/>
  <c r="AL65" i="8"/>
  <c r="U91" i="3"/>
  <c r="N91" i="3"/>
  <c r="AC91" i="3"/>
  <c r="M91" i="10" s="1"/>
  <c r="L128" i="7" l="1"/>
  <c r="T128" i="7"/>
  <c r="D128" i="8" s="1"/>
  <c r="L103" i="2"/>
  <c r="E103" i="2"/>
  <c r="P129" i="7"/>
  <c r="Q129" i="7" s="1"/>
  <c r="AF65" i="8"/>
  <c r="AM65" i="8" s="1"/>
  <c r="AQ65" i="8" s="1"/>
  <c r="G66" i="8" s="1"/>
  <c r="AP65" i="8"/>
  <c r="F66" i="8" s="1"/>
  <c r="V91" i="3"/>
  <c r="Y91" i="3" s="1"/>
  <c r="O91" i="3"/>
  <c r="P91" i="3"/>
  <c r="X91" i="3"/>
  <c r="E103" i="10" l="1"/>
  <c r="B103" i="3"/>
  <c r="U128" i="7"/>
  <c r="V128" i="7"/>
  <c r="E129" i="8"/>
  <c r="F103" i="2"/>
  <c r="Y129" i="7"/>
  <c r="AG65" i="8"/>
  <c r="AH65" i="8" s="1"/>
  <c r="AN65" i="8" s="1"/>
  <c r="I91" i="10"/>
  <c r="F92" i="3"/>
  <c r="R91" i="3"/>
  <c r="S91" i="3" s="1"/>
  <c r="H91" i="10"/>
  <c r="E92" i="3"/>
  <c r="W91" i="3"/>
  <c r="Z91" i="3" s="1"/>
  <c r="X128" i="7" l="1"/>
  <c r="Z128" i="7"/>
  <c r="AA128" i="7" s="1"/>
  <c r="B128" i="7" s="1"/>
  <c r="B128" i="8" s="1"/>
  <c r="U128" i="8" s="1"/>
  <c r="W128" i="8" s="1"/>
  <c r="D129" i="7"/>
  <c r="E129" i="7"/>
  <c r="G103" i="2"/>
  <c r="H103" i="2" s="1"/>
  <c r="AO65" i="8"/>
  <c r="AR65" i="8"/>
  <c r="H66" i="8" s="1"/>
  <c r="G92" i="3"/>
  <c r="J91" i="10"/>
  <c r="T91" i="3"/>
  <c r="AA91" i="3"/>
  <c r="K91" i="10" s="1"/>
  <c r="G103" i="10" l="1"/>
  <c r="D103" i="3"/>
  <c r="I103" i="2"/>
  <c r="C129" i="7"/>
  <c r="R129" i="7" s="1"/>
  <c r="AB128" i="7"/>
  <c r="M129" i="7"/>
  <c r="I129" i="7"/>
  <c r="H129" i="7"/>
  <c r="J129" i="7"/>
  <c r="J103" i="2"/>
  <c r="M103" i="2"/>
  <c r="S129" i="7"/>
  <c r="C129" i="8" s="1"/>
  <c r="I66" i="8"/>
  <c r="N129" i="7"/>
  <c r="W129" i="7" s="1"/>
  <c r="F130" i="7" s="1"/>
  <c r="AS65" i="8"/>
  <c r="H92" i="3"/>
  <c r="AB91" i="3"/>
  <c r="L91" i="10" s="1"/>
  <c r="K129" i="7" l="1"/>
  <c r="T129" i="7" s="1"/>
  <c r="D129" i="8" s="1"/>
  <c r="D103" i="10"/>
  <c r="B104" i="2"/>
  <c r="C103" i="3"/>
  <c r="F103" i="10"/>
  <c r="O66" i="8"/>
  <c r="J66" i="8"/>
  <c r="N66" i="8" s="1"/>
  <c r="O130" i="7"/>
  <c r="M92" i="3"/>
  <c r="I92" i="3"/>
  <c r="L92" i="3" s="1"/>
  <c r="L129" i="7" l="1"/>
  <c r="V129" i="7" s="1"/>
  <c r="P130" i="7"/>
  <c r="Q130" i="7" s="1"/>
  <c r="K66" i="8"/>
  <c r="M66" i="8" s="1"/>
  <c r="D104" i="2"/>
  <c r="C104" i="10"/>
  <c r="C104" i="2"/>
  <c r="K104" i="2"/>
  <c r="Z129" i="7"/>
  <c r="AA129" i="7" s="1"/>
  <c r="B129" i="7" s="1"/>
  <c r="B129" i="8" s="1"/>
  <c r="E130" i="7"/>
  <c r="M130" i="7" s="1"/>
  <c r="R66" i="8"/>
  <c r="Y130" i="7"/>
  <c r="E130" i="8"/>
  <c r="Q92" i="3"/>
  <c r="J92" i="3"/>
  <c r="K92" i="3" s="1"/>
  <c r="U129" i="7" l="1"/>
  <c r="N130" i="7"/>
  <c r="W130" i="7" s="1"/>
  <c r="F131" i="7" s="1"/>
  <c r="AI66" i="8"/>
  <c r="P66" i="8"/>
  <c r="Q66" i="8" s="1"/>
  <c r="X66" i="8"/>
  <c r="L66" i="8"/>
  <c r="AU66" i="8" s="1"/>
  <c r="L104" i="2"/>
  <c r="E104" i="10"/>
  <c r="B104" i="3"/>
  <c r="E104" i="2"/>
  <c r="U129" i="8"/>
  <c r="W129" i="8" s="1"/>
  <c r="U92" i="3"/>
  <c r="N92" i="3"/>
  <c r="AC92" i="3"/>
  <c r="M92" i="10" s="1"/>
  <c r="X129" i="7" l="1"/>
  <c r="D130" i="7"/>
  <c r="O131" i="7"/>
  <c r="AJ66" i="8"/>
  <c r="S66" i="8"/>
  <c r="Y66" i="8"/>
  <c r="AA66" i="8" s="1"/>
  <c r="F104" i="2"/>
  <c r="G104" i="2" s="1"/>
  <c r="H104" i="2" s="1"/>
  <c r="P131" i="7"/>
  <c r="Q131" i="7" s="1"/>
  <c r="X92" i="3"/>
  <c r="Z66" i="8"/>
  <c r="AB66" i="8" s="1"/>
  <c r="V92" i="3"/>
  <c r="Y92" i="3" s="1"/>
  <c r="O92" i="3"/>
  <c r="C130" i="7" l="1"/>
  <c r="R130" i="7" s="1"/>
  <c r="AB129" i="7"/>
  <c r="H130" i="7"/>
  <c r="I130" i="7"/>
  <c r="S130" i="7" s="1"/>
  <c r="C130" i="8" s="1"/>
  <c r="E131" i="8"/>
  <c r="AK66" i="8"/>
  <c r="T66" i="8"/>
  <c r="V66" i="8" s="1"/>
  <c r="D104" i="3"/>
  <c r="G104" i="10"/>
  <c r="I104" i="2"/>
  <c r="Y131" i="7"/>
  <c r="E93" i="3"/>
  <c r="H92" i="10"/>
  <c r="AC66" i="8"/>
  <c r="I92" i="10"/>
  <c r="F93" i="3"/>
  <c r="R92" i="3"/>
  <c r="S92" i="3" s="1"/>
  <c r="W92" i="3"/>
  <c r="Z92" i="3" s="1"/>
  <c r="P92" i="3"/>
  <c r="AT66" i="8" l="1"/>
  <c r="J130" i="7"/>
  <c r="J104" i="2"/>
  <c r="M104" i="2"/>
  <c r="AD66" i="8"/>
  <c r="AA92" i="3"/>
  <c r="K92" i="10" s="1"/>
  <c r="G93" i="3"/>
  <c r="J92" i="10"/>
  <c r="T92" i="3"/>
  <c r="K130" i="7" l="1"/>
  <c r="T130" i="7"/>
  <c r="D130" i="8" s="1"/>
  <c r="D104" i="10"/>
  <c r="B105" i="2"/>
  <c r="C104" i="3"/>
  <c r="F104" i="10"/>
  <c r="AE66" i="8"/>
  <c r="AL66" i="8"/>
  <c r="H93" i="3"/>
  <c r="AB92" i="3"/>
  <c r="L92" i="10" s="1"/>
  <c r="L130" i="7" l="1"/>
  <c r="C105" i="10"/>
  <c r="K105" i="2"/>
  <c r="D105" i="2"/>
  <c r="L105" i="2" s="1"/>
  <c r="C105" i="2"/>
  <c r="E105" i="2" s="1"/>
  <c r="AF66" i="8"/>
  <c r="AM66" i="8" s="1"/>
  <c r="AQ66" i="8" s="1"/>
  <c r="G67" i="8" s="1"/>
  <c r="AP66" i="8"/>
  <c r="F67" i="8" s="1"/>
  <c r="I93" i="3"/>
  <c r="L93" i="3" s="1"/>
  <c r="M93" i="3"/>
  <c r="U130" i="7" l="1"/>
  <c r="V130" i="7"/>
  <c r="B105" i="3"/>
  <c r="E105" i="10"/>
  <c r="F105" i="2"/>
  <c r="AG66" i="8"/>
  <c r="AH66" i="8" s="1"/>
  <c r="AN66" i="8" s="1"/>
  <c r="AR66" i="8" s="1"/>
  <c r="H67" i="8" s="1"/>
  <c r="Q93" i="3"/>
  <c r="J93" i="3"/>
  <c r="K93" i="3" s="1"/>
  <c r="D131" i="7" l="1"/>
  <c r="X130" i="7"/>
  <c r="Z130" i="7"/>
  <c r="AA130" i="7" s="1"/>
  <c r="B130" i="7" s="1"/>
  <c r="B130" i="8" s="1"/>
  <c r="U130" i="8" s="1"/>
  <c r="W130" i="8" s="1"/>
  <c r="E131" i="7"/>
  <c r="G105" i="2"/>
  <c r="H105" i="2" s="1"/>
  <c r="I67" i="8"/>
  <c r="AO66" i="8"/>
  <c r="U93" i="3"/>
  <c r="N93" i="3"/>
  <c r="AC93" i="3"/>
  <c r="M93" i="10" s="1"/>
  <c r="I131" i="7" l="1"/>
  <c r="H131" i="7"/>
  <c r="AB130" i="7"/>
  <c r="C131" i="7"/>
  <c r="R131" i="7" s="1"/>
  <c r="M131" i="7"/>
  <c r="D105" i="3"/>
  <c r="G105" i="10"/>
  <c r="I105" i="2"/>
  <c r="J67" i="8"/>
  <c r="N67" i="8" s="1"/>
  <c r="O67" i="8"/>
  <c r="AS66" i="8"/>
  <c r="X93" i="3"/>
  <c r="V93" i="3"/>
  <c r="Y93" i="3" s="1"/>
  <c r="O93" i="3"/>
  <c r="J131" i="7" l="1"/>
  <c r="N131" i="7"/>
  <c r="W131" i="7" s="1"/>
  <c r="F132" i="7" s="1"/>
  <c r="S131" i="7"/>
  <c r="C131" i="8" s="1"/>
  <c r="M105" i="2"/>
  <c r="J105" i="2"/>
  <c r="K67" i="8"/>
  <c r="M67" i="8" s="1"/>
  <c r="R67" i="8"/>
  <c r="P93" i="3"/>
  <c r="E94" i="3"/>
  <c r="H93" i="10"/>
  <c r="I93" i="10"/>
  <c r="F94" i="3"/>
  <c r="R93" i="3"/>
  <c r="S93" i="3" s="1"/>
  <c r="W93" i="3"/>
  <c r="K131" i="7" l="1"/>
  <c r="O132" i="7"/>
  <c r="P132" i="7"/>
  <c r="Q132" i="7" s="1"/>
  <c r="X67" i="8"/>
  <c r="P67" i="8"/>
  <c r="Q67" i="8" s="1"/>
  <c r="C105" i="3"/>
  <c r="F105" i="10"/>
  <c r="B106" i="2"/>
  <c r="D105" i="10"/>
  <c r="AI67" i="8"/>
  <c r="L67" i="8"/>
  <c r="AA93" i="3"/>
  <c r="K93" i="10" s="1"/>
  <c r="Z93" i="3"/>
  <c r="T93" i="3"/>
  <c r="E132" i="8" l="1"/>
  <c r="Y132" i="7"/>
  <c r="T131" i="7"/>
  <c r="D131" i="8" s="1"/>
  <c r="L131" i="7"/>
  <c r="V131" i="7" s="1"/>
  <c r="Y67" i="8"/>
  <c r="AA67" i="8" s="1"/>
  <c r="S67" i="8"/>
  <c r="C106" i="10"/>
  <c r="D106" i="2"/>
  <c r="K106" i="2"/>
  <c r="C106" i="2"/>
  <c r="AU67" i="8"/>
  <c r="AJ67" i="8"/>
  <c r="AB93" i="3"/>
  <c r="L93" i="10" s="1"/>
  <c r="Z67" i="8"/>
  <c r="AB67" i="8" s="1"/>
  <c r="J93" i="10"/>
  <c r="G94" i="3"/>
  <c r="E132" i="7" l="1"/>
  <c r="Z131" i="7"/>
  <c r="AA131" i="7" s="1"/>
  <c r="B131" i="7" s="1"/>
  <c r="B131" i="8" s="1"/>
  <c r="U131" i="8" s="1"/>
  <c r="W131" i="8" s="1"/>
  <c r="T67" i="8"/>
  <c r="V67" i="8" s="1"/>
  <c r="U131" i="7"/>
  <c r="L106" i="2"/>
  <c r="AK67" i="8"/>
  <c r="E106" i="10"/>
  <c r="B106" i="3"/>
  <c r="E106" i="2"/>
  <c r="AC67" i="8"/>
  <c r="H94" i="3"/>
  <c r="M132" i="7" l="1"/>
  <c r="X131" i="7"/>
  <c r="D132" i="7"/>
  <c r="AT67" i="8"/>
  <c r="AD67" i="8"/>
  <c r="F106" i="2"/>
  <c r="M94" i="3"/>
  <c r="I94" i="3"/>
  <c r="L94" i="3" s="1"/>
  <c r="AB131" i="7" l="1"/>
  <c r="C132" i="7"/>
  <c r="R132" i="7" s="1"/>
  <c r="H132" i="7"/>
  <c r="I132" i="7"/>
  <c r="N132" i="7"/>
  <c r="W132" i="7" s="1"/>
  <c r="F133" i="7" s="1"/>
  <c r="AL67" i="8"/>
  <c r="AE67" i="8"/>
  <c r="G106" i="2"/>
  <c r="Q94" i="3"/>
  <c r="J94" i="3"/>
  <c r="K94" i="3" s="1"/>
  <c r="O133" i="7" l="1"/>
  <c r="P133" i="7"/>
  <c r="Q133" i="7" s="1"/>
  <c r="S132" i="7"/>
  <c r="C132" i="8" s="1"/>
  <c r="J132" i="7"/>
  <c r="AP67" i="8"/>
  <c r="F68" i="8" s="1"/>
  <c r="AF67" i="8"/>
  <c r="AM67" i="8" s="1"/>
  <c r="AQ67" i="8" s="1"/>
  <c r="G68" i="8" s="1"/>
  <c r="I106" i="2"/>
  <c r="H106" i="2"/>
  <c r="AG67" i="8"/>
  <c r="AH67" i="8" s="1"/>
  <c r="AN67" i="8" s="1"/>
  <c r="AR67" i="8" s="1"/>
  <c r="H68" i="8" s="1"/>
  <c r="U94" i="3"/>
  <c r="N94" i="3"/>
  <c r="AC94" i="3"/>
  <c r="M94" i="10" s="1"/>
  <c r="E133" i="8" l="1"/>
  <c r="Y133" i="7"/>
  <c r="K132" i="7"/>
  <c r="T132" i="7" s="1"/>
  <c r="D132" i="8" s="1"/>
  <c r="L132" i="7"/>
  <c r="V132" i="7" s="1"/>
  <c r="U132" i="7"/>
  <c r="M106" i="2"/>
  <c r="J106" i="2"/>
  <c r="D106" i="3"/>
  <c r="G106" i="10"/>
  <c r="I68" i="8"/>
  <c r="AO67" i="8"/>
  <c r="V94" i="3"/>
  <c r="Y94" i="3" s="1"/>
  <c r="O94" i="3"/>
  <c r="X94" i="3"/>
  <c r="E133" i="7" l="1"/>
  <c r="Z132" i="7"/>
  <c r="AA132" i="7" s="1"/>
  <c r="B132" i="7" s="1"/>
  <c r="B132" i="8" s="1"/>
  <c r="U132" i="8" s="1"/>
  <c r="W132" i="8" s="1"/>
  <c r="D133" i="7"/>
  <c r="X132" i="7"/>
  <c r="C106" i="3"/>
  <c r="F106" i="10"/>
  <c r="B107" i="2"/>
  <c r="D106" i="10"/>
  <c r="P94" i="3"/>
  <c r="J68" i="8"/>
  <c r="N68" i="8" s="1"/>
  <c r="AS67" i="8"/>
  <c r="O68" i="8"/>
  <c r="I94" i="10"/>
  <c r="F95" i="3"/>
  <c r="R94" i="3"/>
  <c r="S94" i="3" s="1"/>
  <c r="H94" i="10"/>
  <c r="E95" i="3"/>
  <c r="W94" i="3"/>
  <c r="Z94" i="3" s="1"/>
  <c r="M133" i="7" l="1"/>
  <c r="I133" i="7"/>
  <c r="S133" i="7" s="1"/>
  <c r="C133" i="8" s="1"/>
  <c r="H133" i="7"/>
  <c r="AB132" i="7"/>
  <c r="C133" i="7"/>
  <c r="R133" i="7" s="1"/>
  <c r="C107" i="10"/>
  <c r="D107" i="2"/>
  <c r="K107" i="2"/>
  <c r="C107" i="2"/>
  <c r="E107" i="2" s="1"/>
  <c r="R68" i="8"/>
  <c r="K68" i="8"/>
  <c r="M68" i="8" s="1"/>
  <c r="G95" i="3"/>
  <c r="J94" i="10"/>
  <c r="T94" i="3"/>
  <c r="AA94" i="3"/>
  <c r="K94" i="10" s="1"/>
  <c r="J133" i="7" l="1"/>
  <c r="N133" i="7"/>
  <c r="W133" i="7" s="1"/>
  <c r="F134" i="7" s="1"/>
  <c r="F107" i="2"/>
  <c r="L107" i="2"/>
  <c r="P68" i="8"/>
  <c r="Q68" i="8" s="1"/>
  <c r="AI68" i="8"/>
  <c r="X68" i="8"/>
  <c r="L68" i="8"/>
  <c r="H95" i="3"/>
  <c r="AB94" i="3"/>
  <c r="L94" i="10" s="1"/>
  <c r="K133" i="7" l="1"/>
  <c r="L133" i="7"/>
  <c r="O134" i="7"/>
  <c r="P134" i="7"/>
  <c r="Q134" i="7" s="1"/>
  <c r="G107" i="2"/>
  <c r="H107" i="2" s="1"/>
  <c r="E107" i="10"/>
  <c r="B107" i="3"/>
  <c r="S68" i="8"/>
  <c r="AJ68" i="8"/>
  <c r="Y68" i="8"/>
  <c r="AA68" i="8" s="1"/>
  <c r="AU68" i="8"/>
  <c r="I95" i="3"/>
  <c r="L95" i="3" s="1"/>
  <c r="M95" i="3"/>
  <c r="Y134" i="7" l="1"/>
  <c r="E134" i="8"/>
  <c r="V133" i="7"/>
  <c r="T133" i="7"/>
  <c r="D133" i="8" s="1"/>
  <c r="U133" i="7"/>
  <c r="G107" i="10"/>
  <c r="D107" i="3"/>
  <c r="I107" i="2"/>
  <c r="Z68" i="8"/>
  <c r="AB68" i="8" s="1"/>
  <c r="AK68" i="8"/>
  <c r="T68" i="8"/>
  <c r="V68" i="8" s="1"/>
  <c r="AT68" i="8" s="1"/>
  <c r="Q95" i="3"/>
  <c r="J95" i="3"/>
  <c r="Z133" i="7" l="1"/>
  <c r="AA133" i="7" s="1"/>
  <c r="B133" i="7" s="1"/>
  <c r="B133" i="8" s="1"/>
  <c r="U133" i="8" s="1"/>
  <c r="W133" i="8" s="1"/>
  <c r="E134" i="7"/>
  <c r="D134" i="7"/>
  <c r="X133" i="7"/>
  <c r="M107" i="2"/>
  <c r="J107" i="2"/>
  <c r="AC68" i="8"/>
  <c r="AC95" i="3"/>
  <c r="M95" i="10" s="1"/>
  <c r="K95" i="3"/>
  <c r="M134" i="7" l="1"/>
  <c r="H134" i="7"/>
  <c r="J134" i="7" s="1"/>
  <c r="I134" i="7"/>
  <c r="AB133" i="7"/>
  <c r="C134" i="7"/>
  <c r="R134" i="7" s="1"/>
  <c r="F107" i="10"/>
  <c r="C107" i="3"/>
  <c r="D107" i="10"/>
  <c r="B108" i="2"/>
  <c r="AD68" i="8"/>
  <c r="U95" i="3"/>
  <c r="N95" i="3"/>
  <c r="S134" i="7" l="1"/>
  <c r="C134" i="8" s="1"/>
  <c r="N134" i="7"/>
  <c r="W134" i="7" s="1"/>
  <c r="F135" i="7" s="1"/>
  <c r="K134" i="7"/>
  <c r="T134" i="7" s="1"/>
  <c r="D134" i="8" s="1"/>
  <c r="C108" i="10"/>
  <c r="K108" i="2"/>
  <c r="D108" i="2"/>
  <c r="L108" i="2" s="1"/>
  <c r="C108" i="2"/>
  <c r="E108" i="2" s="1"/>
  <c r="AE68" i="8"/>
  <c r="AL68" i="8"/>
  <c r="X95" i="3"/>
  <c r="V95" i="3"/>
  <c r="Y95" i="3" s="1"/>
  <c r="O95" i="3"/>
  <c r="O135" i="7" l="1"/>
  <c r="P135" i="7"/>
  <c r="Q135" i="7" s="1"/>
  <c r="L134" i="7"/>
  <c r="V134" i="7" s="1"/>
  <c r="E108" i="10"/>
  <c r="B108" i="3"/>
  <c r="F108" i="2"/>
  <c r="H95" i="10"/>
  <c r="AF68" i="8"/>
  <c r="AM68" i="8" s="1"/>
  <c r="AQ68" i="8" s="1"/>
  <c r="G69" i="8" s="1"/>
  <c r="AP68" i="8"/>
  <c r="F69" i="8" s="1"/>
  <c r="E96" i="3"/>
  <c r="I95" i="10"/>
  <c r="F96" i="3"/>
  <c r="R95" i="3"/>
  <c r="S95" i="3" s="1"/>
  <c r="W95" i="3"/>
  <c r="Z95" i="3" s="1"/>
  <c r="P95" i="3"/>
  <c r="E135" i="8" l="1"/>
  <c r="Y135" i="7"/>
  <c r="E135" i="7"/>
  <c r="Z134" i="7"/>
  <c r="AA134" i="7" s="1"/>
  <c r="B134" i="7" s="1"/>
  <c r="B134" i="8" s="1"/>
  <c r="U134" i="8" s="1"/>
  <c r="W134" i="8" s="1"/>
  <c r="U134" i="7"/>
  <c r="G108" i="2"/>
  <c r="H108" i="2" s="1"/>
  <c r="AG68" i="8"/>
  <c r="AH68" i="8" s="1"/>
  <c r="AN68" i="8" s="1"/>
  <c r="AR68" i="8" s="1"/>
  <c r="H69" i="8" s="1"/>
  <c r="J95" i="10"/>
  <c r="G96" i="3"/>
  <c r="AA95" i="3"/>
  <c r="K95" i="10" s="1"/>
  <c r="T95" i="3"/>
  <c r="M135" i="7" l="1"/>
  <c r="X134" i="7"/>
  <c r="D135" i="7"/>
  <c r="G108" i="10"/>
  <c r="D108" i="3"/>
  <c r="I108" i="2"/>
  <c r="AO68" i="8"/>
  <c r="I69" i="8"/>
  <c r="H96" i="3"/>
  <c r="AB95" i="3"/>
  <c r="L95" i="10" s="1"/>
  <c r="AB134" i="7" l="1"/>
  <c r="C135" i="7"/>
  <c r="R135" i="7" s="1"/>
  <c r="I135" i="7"/>
  <c r="S135" i="7" s="1"/>
  <c r="C135" i="8" s="1"/>
  <c r="H135" i="7"/>
  <c r="N135" i="7"/>
  <c r="W135" i="7" s="1"/>
  <c r="F136" i="7" s="1"/>
  <c r="M108" i="2"/>
  <c r="J108" i="2"/>
  <c r="J69" i="8"/>
  <c r="N69" i="8" s="1"/>
  <c r="AS68" i="8"/>
  <c r="O69" i="8"/>
  <c r="M96" i="3"/>
  <c r="I96" i="3"/>
  <c r="L96" i="3" s="1"/>
  <c r="O136" i="7" l="1"/>
  <c r="P136" i="7"/>
  <c r="Q136" i="7" s="1"/>
  <c r="J135" i="7"/>
  <c r="F108" i="10"/>
  <c r="C108" i="3"/>
  <c r="B109" i="2"/>
  <c r="D108" i="10"/>
  <c r="R69" i="8"/>
  <c r="K69" i="8"/>
  <c r="M69" i="8" s="1"/>
  <c r="Q96" i="3"/>
  <c r="J96" i="3"/>
  <c r="K96" i="3" s="1"/>
  <c r="Y136" i="7" l="1"/>
  <c r="E136" i="8"/>
  <c r="K135" i="7"/>
  <c r="T135" i="7" s="1"/>
  <c r="D135" i="8" s="1"/>
  <c r="L135" i="7"/>
  <c r="V135" i="7" s="1"/>
  <c r="C109" i="2"/>
  <c r="E109" i="2" s="1"/>
  <c r="C109" i="10"/>
  <c r="K109" i="2"/>
  <c r="D109" i="2"/>
  <c r="L109" i="2" s="1"/>
  <c r="X69" i="8"/>
  <c r="P69" i="8"/>
  <c r="Q69" i="8" s="1"/>
  <c r="AI69" i="8"/>
  <c r="L69" i="8"/>
  <c r="U96" i="3"/>
  <c r="N96" i="3"/>
  <c r="AC96" i="3"/>
  <c r="M96" i="10" s="1"/>
  <c r="Z135" i="7" l="1"/>
  <c r="AA135" i="7" s="1"/>
  <c r="B135" i="7" s="1"/>
  <c r="B135" i="8" s="1"/>
  <c r="U135" i="8" s="1"/>
  <c r="W135" i="8" s="1"/>
  <c r="E136" i="7"/>
  <c r="U135" i="7"/>
  <c r="E109" i="10"/>
  <c r="B109" i="3"/>
  <c r="Y69" i="8"/>
  <c r="AA69" i="8" s="1"/>
  <c r="Z69" i="8"/>
  <c r="AB69" i="8" s="1"/>
  <c r="S69" i="8"/>
  <c r="F109" i="2"/>
  <c r="AJ69" i="8"/>
  <c r="AU69" i="8"/>
  <c r="T69" i="8"/>
  <c r="V69" i="8" s="1"/>
  <c r="V96" i="3"/>
  <c r="Y96" i="3" s="1"/>
  <c r="O96" i="3"/>
  <c r="X96" i="3"/>
  <c r="M136" i="7" l="1"/>
  <c r="X135" i="7"/>
  <c r="D136" i="7"/>
  <c r="G109" i="2"/>
  <c r="H109" i="2" s="1"/>
  <c r="D109" i="3"/>
  <c r="I109" i="2"/>
  <c r="AC69" i="8"/>
  <c r="AK69" i="8"/>
  <c r="AT69" i="8"/>
  <c r="P96" i="3"/>
  <c r="W96" i="3"/>
  <c r="Z96" i="3" s="1"/>
  <c r="AD69" i="8"/>
  <c r="I96" i="10"/>
  <c r="F97" i="3"/>
  <c r="R96" i="3"/>
  <c r="S96" i="3" s="1"/>
  <c r="H96" i="10"/>
  <c r="E97" i="3"/>
  <c r="AB135" i="7" l="1"/>
  <c r="C136" i="7"/>
  <c r="R136" i="7" s="1"/>
  <c r="H136" i="7"/>
  <c r="J136" i="7" s="1"/>
  <c r="I136" i="7"/>
  <c r="S136" i="7" s="1"/>
  <c r="C136" i="8" s="1"/>
  <c r="N136" i="7"/>
  <c r="W136" i="7" s="1"/>
  <c r="F137" i="7" s="1"/>
  <c r="G109" i="10"/>
  <c r="M109" i="2"/>
  <c r="J109" i="2"/>
  <c r="J96" i="10"/>
  <c r="G97" i="3"/>
  <c r="AA96" i="3"/>
  <c r="K96" i="10" s="1"/>
  <c r="AE69" i="8"/>
  <c r="AL69" i="8"/>
  <c r="T96" i="3"/>
  <c r="O137" i="7" l="1"/>
  <c r="P137" i="7"/>
  <c r="Q137" i="7" s="1"/>
  <c r="K136" i="7"/>
  <c r="F109" i="10"/>
  <c r="C109" i="3"/>
  <c r="D109" i="10"/>
  <c r="B110" i="2"/>
  <c r="H97" i="3"/>
  <c r="AF69" i="8"/>
  <c r="AM69" i="8" s="1"/>
  <c r="AQ69" i="8" s="1"/>
  <c r="G70" i="8" s="1"/>
  <c r="AP69" i="8"/>
  <c r="F70" i="8" s="1"/>
  <c r="AB96" i="3"/>
  <c r="L96" i="10" s="1"/>
  <c r="Y137" i="7" l="1"/>
  <c r="E137" i="8"/>
  <c r="T136" i="7"/>
  <c r="D136" i="8" s="1"/>
  <c r="L136" i="7"/>
  <c r="V136" i="7" s="1"/>
  <c r="C110" i="10"/>
  <c r="K110" i="2"/>
  <c r="D110" i="2"/>
  <c r="L110" i="2" s="1"/>
  <c r="C110" i="2"/>
  <c r="E110" i="2" s="1"/>
  <c r="M97" i="3"/>
  <c r="I97" i="3"/>
  <c r="L97" i="3" s="1"/>
  <c r="AG69" i="8"/>
  <c r="AH69" i="8" s="1"/>
  <c r="AN69" i="8" s="1"/>
  <c r="Z136" i="7" l="1"/>
  <c r="AA136" i="7" s="1"/>
  <c r="B136" i="7" s="1"/>
  <c r="B136" i="8" s="1"/>
  <c r="U136" i="8" s="1"/>
  <c r="W136" i="8" s="1"/>
  <c r="E137" i="7"/>
  <c r="U136" i="7"/>
  <c r="B110" i="3"/>
  <c r="E110" i="10"/>
  <c r="F110" i="2"/>
  <c r="J97" i="3"/>
  <c r="K97" i="3" s="1"/>
  <c r="Q97" i="3"/>
  <c r="AR69" i="8"/>
  <c r="H70" i="8" s="1"/>
  <c r="AO69" i="8"/>
  <c r="M137" i="7" l="1"/>
  <c r="D137" i="7"/>
  <c r="X136" i="7"/>
  <c r="G110" i="2"/>
  <c r="AC97" i="3"/>
  <c r="M97" i="10" s="1"/>
  <c r="U97" i="3"/>
  <c r="N97" i="3"/>
  <c r="AS69" i="8"/>
  <c r="I70" i="8"/>
  <c r="H137" i="7" l="1"/>
  <c r="I137" i="7"/>
  <c r="AB136" i="7"/>
  <c r="C137" i="7"/>
  <c r="R137" i="7" s="1"/>
  <c r="N137" i="7"/>
  <c r="W137" i="7" s="1"/>
  <c r="F138" i="7" s="1"/>
  <c r="I110" i="2"/>
  <c r="H110" i="2"/>
  <c r="O97" i="3"/>
  <c r="V97" i="3"/>
  <c r="Y97" i="3" s="1"/>
  <c r="X97" i="3"/>
  <c r="O70" i="8"/>
  <c r="J70" i="8"/>
  <c r="N70" i="8" s="1"/>
  <c r="O138" i="7" l="1"/>
  <c r="P138" i="7"/>
  <c r="Q138" i="7" s="1"/>
  <c r="J137" i="7"/>
  <c r="S137" i="7"/>
  <c r="C137" i="8" s="1"/>
  <c r="M110" i="2"/>
  <c r="J110" i="2"/>
  <c r="D110" i="3"/>
  <c r="G110" i="10"/>
  <c r="W97" i="3"/>
  <c r="Z97" i="3" s="1"/>
  <c r="E98" i="3"/>
  <c r="P97" i="3"/>
  <c r="I97" i="10"/>
  <c r="F98" i="3"/>
  <c r="R97" i="3"/>
  <c r="S97" i="3" s="1"/>
  <c r="H97" i="10"/>
  <c r="R70" i="8"/>
  <c r="K70" i="8"/>
  <c r="M70" i="8" s="1"/>
  <c r="E138" i="8" l="1"/>
  <c r="Y138" i="7"/>
  <c r="K137" i="7"/>
  <c r="C110" i="3"/>
  <c r="F110" i="10"/>
  <c r="B111" i="2"/>
  <c r="D110" i="10"/>
  <c r="AA97" i="3"/>
  <c r="K97" i="10" s="1"/>
  <c r="G98" i="3"/>
  <c r="J97" i="10"/>
  <c r="T97" i="3"/>
  <c r="AI70" i="8"/>
  <c r="X70" i="8"/>
  <c r="P70" i="8"/>
  <c r="Q70" i="8" s="1"/>
  <c r="L70" i="8"/>
  <c r="T137" i="7" l="1"/>
  <c r="D137" i="8" s="1"/>
  <c r="L137" i="7"/>
  <c r="V137" i="7" s="1"/>
  <c r="K111" i="2"/>
  <c r="D111" i="2"/>
  <c r="L111" i="2" s="1"/>
  <c r="C111" i="10"/>
  <c r="C111" i="2"/>
  <c r="E111" i="2" s="1"/>
  <c r="H98" i="3"/>
  <c r="AB97" i="3"/>
  <c r="L97" i="10" s="1"/>
  <c r="AJ70" i="8"/>
  <c r="Y70" i="8"/>
  <c r="AA70" i="8" s="1"/>
  <c r="S70" i="8"/>
  <c r="AU70" i="8"/>
  <c r="Z137" i="7" l="1"/>
  <c r="AA137" i="7" s="1"/>
  <c r="B137" i="7" s="1"/>
  <c r="B137" i="8" s="1"/>
  <c r="U137" i="8" s="1"/>
  <c r="W137" i="8" s="1"/>
  <c r="E138" i="7"/>
  <c r="U137" i="7"/>
  <c r="B111" i="3"/>
  <c r="E111" i="10"/>
  <c r="M98" i="3"/>
  <c r="F111" i="2"/>
  <c r="I98" i="3"/>
  <c r="L98" i="3" s="1"/>
  <c r="Z70" i="8"/>
  <c r="AB70" i="8" s="1"/>
  <c r="T70" i="8"/>
  <c r="V70" i="8" s="1"/>
  <c r="AT70" i="8" s="1"/>
  <c r="AK70" i="8"/>
  <c r="M138" i="7" l="1"/>
  <c r="D138" i="7"/>
  <c r="X137" i="7"/>
  <c r="G111" i="2"/>
  <c r="Q98" i="3"/>
  <c r="J98" i="3"/>
  <c r="K98" i="3" s="1"/>
  <c r="AC70" i="8"/>
  <c r="I138" i="7" l="1"/>
  <c r="S138" i="7" s="1"/>
  <c r="C138" i="8" s="1"/>
  <c r="H138" i="7"/>
  <c r="J138" i="7" s="1"/>
  <c r="AB137" i="7"/>
  <c r="C138" i="7"/>
  <c r="R138" i="7" s="1"/>
  <c r="N138" i="7"/>
  <c r="I111" i="2"/>
  <c r="H111" i="2"/>
  <c r="U98" i="3"/>
  <c r="N98" i="3"/>
  <c r="AC98" i="3"/>
  <c r="M98" i="10" s="1"/>
  <c r="AD70" i="8"/>
  <c r="AL70" i="8" s="1"/>
  <c r="W138" i="7" l="1"/>
  <c r="F139" i="7" s="1"/>
  <c r="K138" i="7"/>
  <c r="T138" i="7" s="1"/>
  <c r="D138" i="8" s="1"/>
  <c r="M111" i="2"/>
  <c r="J111" i="2"/>
  <c r="D111" i="3"/>
  <c r="G111" i="10"/>
  <c r="V98" i="3"/>
  <c r="Y98" i="3" s="1"/>
  <c r="O98" i="3"/>
  <c r="X98" i="3"/>
  <c r="AE70" i="8"/>
  <c r="AP70" i="8"/>
  <c r="F71" i="8" s="1"/>
  <c r="O139" i="7" l="1"/>
  <c r="L138" i="7"/>
  <c r="V138" i="7" s="1"/>
  <c r="F111" i="10"/>
  <c r="C111" i="3"/>
  <c r="B112" i="2"/>
  <c r="D111" i="10"/>
  <c r="P98" i="3"/>
  <c r="W98" i="3"/>
  <c r="Z98" i="3" s="1"/>
  <c r="I98" i="10"/>
  <c r="F99" i="3"/>
  <c r="R98" i="3"/>
  <c r="S98" i="3" s="1"/>
  <c r="H98" i="10"/>
  <c r="E99" i="3"/>
  <c r="G99" i="3"/>
  <c r="AF70" i="8"/>
  <c r="AM70" i="8" s="1"/>
  <c r="AQ70" i="8" s="1"/>
  <c r="G71" i="8" s="1"/>
  <c r="E139" i="7" l="1"/>
  <c r="Z138" i="7"/>
  <c r="AA138" i="7" s="1"/>
  <c r="B138" i="7" s="1"/>
  <c r="B138" i="8" s="1"/>
  <c r="U138" i="8" s="1"/>
  <c r="W138" i="8" s="1"/>
  <c r="P139" i="7"/>
  <c r="Q139" i="7" s="1"/>
  <c r="U138" i="7"/>
  <c r="C112" i="10"/>
  <c r="K112" i="2"/>
  <c r="D112" i="2"/>
  <c r="L112" i="2" s="1"/>
  <c r="C112" i="2"/>
  <c r="E112" i="2" s="1"/>
  <c r="AA98" i="3"/>
  <c r="K98" i="10" s="1"/>
  <c r="J98" i="10"/>
  <c r="T98" i="3"/>
  <c r="H99" i="3"/>
  <c r="AG70" i="8"/>
  <c r="AH70" i="8" s="1"/>
  <c r="AN70" i="8" s="1"/>
  <c r="AR70" i="8" s="1"/>
  <c r="H71" i="8" s="1"/>
  <c r="N139" i="7" l="1"/>
  <c r="W139" i="7" s="1"/>
  <c r="F140" i="7" s="1"/>
  <c r="M139" i="7"/>
  <c r="Y139" i="7"/>
  <c r="E139" i="8"/>
  <c r="X138" i="7"/>
  <c r="D139" i="7"/>
  <c r="B112" i="3"/>
  <c r="E112" i="10"/>
  <c r="F112" i="2"/>
  <c r="AB98" i="3"/>
  <c r="L98" i="10" s="1"/>
  <c r="M99" i="3"/>
  <c r="I99" i="3"/>
  <c r="L99" i="3" s="1"/>
  <c r="I71" i="8"/>
  <c r="AO70" i="8"/>
  <c r="O140" i="7" l="1"/>
  <c r="AB138" i="7"/>
  <c r="C139" i="7"/>
  <c r="R139" i="7" s="1"/>
  <c r="I139" i="7"/>
  <c r="H139" i="7"/>
  <c r="J139" i="7" s="1"/>
  <c r="Q99" i="3"/>
  <c r="J99" i="3"/>
  <c r="G112" i="2"/>
  <c r="O71" i="8"/>
  <c r="J71" i="8"/>
  <c r="N71" i="8" s="1"/>
  <c r="R71" i="8" s="1"/>
  <c r="AS70" i="8"/>
  <c r="AC99" i="3" l="1"/>
  <c r="M99" i="10" s="1"/>
  <c r="K99" i="3"/>
  <c r="P140" i="7"/>
  <c r="Q140" i="7" s="1"/>
  <c r="S139" i="7"/>
  <c r="C139" i="8" s="1"/>
  <c r="K139" i="7"/>
  <c r="T139" i="7" s="1"/>
  <c r="D139" i="8" s="1"/>
  <c r="I112" i="2"/>
  <c r="H112" i="2"/>
  <c r="K71" i="8"/>
  <c r="M71" i="8" s="1"/>
  <c r="E140" i="8" l="1"/>
  <c r="Y140" i="7"/>
  <c r="U139" i="7"/>
  <c r="L139" i="7"/>
  <c r="V139" i="7" s="1"/>
  <c r="N99" i="3"/>
  <c r="U99" i="3"/>
  <c r="J112" i="2"/>
  <c r="M112" i="2"/>
  <c r="D112" i="3"/>
  <c r="G112" i="10"/>
  <c r="X71" i="8"/>
  <c r="AI71" i="8"/>
  <c r="P71" i="8"/>
  <c r="Q71" i="8" s="1"/>
  <c r="L71" i="8"/>
  <c r="V99" i="3"/>
  <c r="Y99" i="3" s="1"/>
  <c r="O99" i="3"/>
  <c r="X99" i="3"/>
  <c r="X139" i="7" l="1"/>
  <c r="D140" i="7"/>
  <c r="E140" i="7"/>
  <c r="Z139" i="7"/>
  <c r="AA139" i="7" s="1"/>
  <c r="B139" i="7" s="1"/>
  <c r="B139" i="8" s="1"/>
  <c r="U139" i="8" s="1"/>
  <c r="W139" i="8" s="1"/>
  <c r="D112" i="10"/>
  <c r="B113" i="2"/>
  <c r="C112" i="3"/>
  <c r="F112" i="10"/>
  <c r="AU71" i="8"/>
  <c r="Y71" i="8"/>
  <c r="AA71" i="8" s="1"/>
  <c r="AJ71" i="8"/>
  <c r="S71" i="8"/>
  <c r="I99" i="10"/>
  <c r="F100" i="3"/>
  <c r="R99" i="3"/>
  <c r="S99" i="3" s="1"/>
  <c r="H99" i="10"/>
  <c r="E100" i="3"/>
  <c r="W99" i="3"/>
  <c r="Z99" i="3" s="1"/>
  <c r="P99" i="3"/>
  <c r="AB139" i="7" l="1"/>
  <c r="C140" i="7"/>
  <c r="R140" i="7" s="1"/>
  <c r="S140" i="7" s="1"/>
  <c r="C140" i="8" s="1"/>
  <c r="H140" i="7"/>
  <c r="J140" i="7" s="1"/>
  <c r="K140" i="7" s="1"/>
  <c r="T140" i="7" s="1"/>
  <c r="D140" i="8" s="1"/>
  <c r="I140" i="7"/>
  <c r="M140" i="7"/>
  <c r="C113" i="2"/>
  <c r="D113" i="2"/>
  <c r="C113" i="10"/>
  <c r="K113" i="2"/>
  <c r="Z71" i="8"/>
  <c r="AB71" i="8" s="1"/>
  <c r="AK71" i="8"/>
  <c r="T71" i="8"/>
  <c r="V71" i="8" s="1"/>
  <c r="AT71" i="8" s="1"/>
  <c r="G100" i="3"/>
  <c r="J99" i="10"/>
  <c r="AA99" i="3"/>
  <c r="K99" i="10" s="1"/>
  <c r="T99" i="3"/>
  <c r="N140" i="7" l="1"/>
  <c r="W140" i="7" s="1"/>
  <c r="F141" i="7" s="1"/>
  <c r="L140" i="7"/>
  <c r="V140" i="7" s="1"/>
  <c r="E113" i="2"/>
  <c r="L113" i="2"/>
  <c r="AC71" i="8"/>
  <c r="AD71" i="8"/>
  <c r="H100" i="3"/>
  <c r="AB99" i="3"/>
  <c r="L99" i="10" s="1"/>
  <c r="O141" i="7" l="1"/>
  <c r="P141" i="7"/>
  <c r="Q141" i="7" s="1"/>
  <c r="Z140" i="7"/>
  <c r="AA140" i="7" s="1"/>
  <c r="B140" i="7" s="1"/>
  <c r="B140" i="8" s="1"/>
  <c r="U140" i="8" s="1"/>
  <c r="W140" i="8" s="1"/>
  <c r="E141" i="7"/>
  <c r="U140" i="7"/>
  <c r="F113" i="2"/>
  <c r="B113" i="3"/>
  <c r="E113" i="10"/>
  <c r="AL71" i="8"/>
  <c r="AP71" i="8" s="1"/>
  <c r="F72" i="8" s="1"/>
  <c r="AE71" i="8"/>
  <c r="M100" i="3"/>
  <c r="I100" i="3"/>
  <c r="L100" i="3" s="1"/>
  <c r="E141" i="8" l="1"/>
  <c r="Y141" i="7"/>
  <c r="M141" i="7"/>
  <c r="X140" i="7"/>
  <c r="D141" i="7"/>
  <c r="G113" i="2"/>
  <c r="AF71" i="8"/>
  <c r="AM71" i="8" s="1"/>
  <c r="AQ71" i="8" s="1"/>
  <c r="G72" i="8" s="1"/>
  <c r="Q100" i="3"/>
  <c r="J100" i="3"/>
  <c r="K100" i="3" s="1"/>
  <c r="AB140" i="7" l="1"/>
  <c r="C141" i="7"/>
  <c r="R141" i="7" s="1"/>
  <c r="I141" i="7"/>
  <c r="S141" i="7" s="1"/>
  <c r="C141" i="8" s="1"/>
  <c r="H141" i="7"/>
  <c r="J141" i="7" s="1"/>
  <c r="N141" i="7"/>
  <c r="W141" i="7" s="1"/>
  <c r="F142" i="7" s="1"/>
  <c r="I113" i="2"/>
  <c r="H113" i="2"/>
  <c r="AG71" i="8"/>
  <c r="AH71" i="8" s="1"/>
  <c r="AN71" i="8" s="1"/>
  <c r="AR71" i="8" s="1"/>
  <c r="H72" i="8" s="1"/>
  <c r="U100" i="3"/>
  <c r="N100" i="3"/>
  <c r="AC100" i="3"/>
  <c r="M100" i="10" s="1"/>
  <c r="O142" i="7" l="1"/>
  <c r="K141" i="7"/>
  <c r="M113" i="2"/>
  <c r="J113" i="2"/>
  <c r="D113" i="3"/>
  <c r="G113" i="10"/>
  <c r="AO71" i="8"/>
  <c r="I72" i="8"/>
  <c r="V100" i="3"/>
  <c r="Y100" i="3" s="1"/>
  <c r="O100" i="3"/>
  <c r="X100" i="3"/>
  <c r="L141" i="7" l="1"/>
  <c r="V141" i="7" s="1"/>
  <c r="T141" i="7"/>
  <c r="D141" i="8" s="1"/>
  <c r="P142" i="7"/>
  <c r="Q142" i="7" s="1"/>
  <c r="U141" i="7"/>
  <c r="C113" i="3"/>
  <c r="F113" i="10"/>
  <c r="B114" i="2"/>
  <c r="D113" i="10"/>
  <c r="AS71" i="8"/>
  <c r="J72" i="8"/>
  <c r="N72" i="8" s="1"/>
  <c r="R72" i="8" s="1"/>
  <c r="O72" i="8"/>
  <c r="P100" i="3"/>
  <c r="I100" i="10"/>
  <c r="F101" i="3"/>
  <c r="R100" i="3"/>
  <c r="S100" i="3" s="1"/>
  <c r="H100" i="10"/>
  <c r="E101" i="3"/>
  <c r="W100" i="3"/>
  <c r="Z100" i="3" s="1"/>
  <c r="E142" i="7" l="1"/>
  <c r="Z141" i="7"/>
  <c r="AA141" i="7" s="1"/>
  <c r="B141" i="7" s="1"/>
  <c r="B141" i="8" s="1"/>
  <c r="U141" i="8" s="1"/>
  <c r="W141" i="8" s="1"/>
  <c r="E142" i="8"/>
  <c r="Y142" i="7"/>
  <c r="D142" i="7"/>
  <c r="X141" i="7"/>
  <c r="C114" i="10"/>
  <c r="K114" i="2"/>
  <c r="C114" i="2"/>
  <c r="D114" i="2"/>
  <c r="K72" i="8"/>
  <c r="T100" i="3"/>
  <c r="G101" i="3"/>
  <c r="J100" i="10"/>
  <c r="AA100" i="3"/>
  <c r="K100" i="10" s="1"/>
  <c r="M142" i="7" l="1"/>
  <c r="I142" i="7"/>
  <c r="H142" i="7"/>
  <c r="J142" i="7" s="1"/>
  <c r="C142" i="7"/>
  <c r="R142" i="7" s="1"/>
  <c r="AB141" i="7"/>
  <c r="L114" i="2"/>
  <c r="E114" i="2"/>
  <c r="L72" i="8"/>
  <c r="M72" i="8"/>
  <c r="AB100" i="3"/>
  <c r="L100" i="10" s="1"/>
  <c r="H101" i="3"/>
  <c r="K142" i="7" l="1"/>
  <c r="S142" i="7"/>
  <c r="C142" i="8" s="1"/>
  <c r="B114" i="3"/>
  <c r="E114" i="10"/>
  <c r="N142" i="7"/>
  <c r="W142" i="7" s="1"/>
  <c r="F143" i="7" s="1"/>
  <c r="F114" i="2"/>
  <c r="G114" i="2"/>
  <c r="H114" i="2" s="1"/>
  <c r="P72" i="8"/>
  <c r="Q72" i="8" s="1"/>
  <c r="AI72" i="8"/>
  <c r="X72" i="8"/>
  <c r="AU72" i="8"/>
  <c r="I101" i="3"/>
  <c r="L101" i="3" s="1"/>
  <c r="M101" i="3"/>
  <c r="O143" i="7" l="1"/>
  <c r="P143" i="7"/>
  <c r="Q143" i="7" s="1"/>
  <c r="T142" i="7"/>
  <c r="D142" i="8" s="1"/>
  <c r="L142" i="7"/>
  <c r="I114" i="2"/>
  <c r="D114" i="3"/>
  <c r="G114" i="10"/>
  <c r="J114" i="2"/>
  <c r="M114" i="2"/>
  <c r="S72" i="8"/>
  <c r="AJ72" i="8"/>
  <c r="Y72" i="8"/>
  <c r="AA72" i="8" s="1"/>
  <c r="Q101" i="3"/>
  <c r="J101" i="3"/>
  <c r="Y143" i="7" l="1"/>
  <c r="E143" i="8"/>
  <c r="U142" i="7"/>
  <c r="V142" i="7"/>
  <c r="D114" i="10"/>
  <c r="B115" i="2"/>
  <c r="F114" i="10"/>
  <c r="C114" i="3"/>
  <c r="Z72" i="8"/>
  <c r="AB72" i="8" s="1"/>
  <c r="T72" i="8"/>
  <c r="V72" i="8" s="1"/>
  <c r="AK72" i="8"/>
  <c r="AC101" i="3"/>
  <c r="M101" i="10" s="1"/>
  <c r="K101" i="3"/>
  <c r="X142" i="7" l="1"/>
  <c r="D143" i="7"/>
  <c r="E143" i="7"/>
  <c r="Z142" i="7"/>
  <c r="AA142" i="7" s="1"/>
  <c r="B142" i="7" s="1"/>
  <c r="B142" i="8" s="1"/>
  <c r="U142" i="8" s="1"/>
  <c r="W142" i="8" s="1"/>
  <c r="C115" i="10"/>
  <c r="D115" i="2"/>
  <c r="C115" i="2"/>
  <c r="E115" i="2" s="1"/>
  <c r="K115" i="2"/>
  <c r="AC72" i="8"/>
  <c r="AT72" i="8"/>
  <c r="U101" i="3"/>
  <c r="N101" i="3"/>
  <c r="C143" i="7" l="1"/>
  <c r="R143" i="7" s="1"/>
  <c r="AB142" i="7"/>
  <c r="I143" i="7"/>
  <c r="S143" i="7" s="1"/>
  <c r="C143" i="8" s="1"/>
  <c r="H143" i="7"/>
  <c r="J143" i="7" s="1"/>
  <c r="M143" i="7"/>
  <c r="AD72" i="8"/>
  <c r="F115" i="2"/>
  <c r="L115" i="2"/>
  <c r="AL72" i="8"/>
  <c r="X101" i="3"/>
  <c r="V101" i="3"/>
  <c r="Y101" i="3" s="1"/>
  <c r="O101" i="3"/>
  <c r="K143" i="7" l="1"/>
  <c r="N143" i="7"/>
  <c r="AE72" i="8"/>
  <c r="L143" i="7"/>
  <c r="B115" i="3"/>
  <c r="E115" i="10"/>
  <c r="G115" i="2"/>
  <c r="AP72" i="8"/>
  <c r="F73" i="8" s="1"/>
  <c r="E102" i="3"/>
  <c r="H101" i="10"/>
  <c r="P101" i="3"/>
  <c r="I101" i="10"/>
  <c r="F102" i="3"/>
  <c r="R101" i="3"/>
  <c r="S101" i="3" s="1"/>
  <c r="W101" i="3"/>
  <c r="Z101" i="3" s="1"/>
  <c r="V143" i="7" l="1"/>
  <c r="W143" i="7"/>
  <c r="F144" i="7" s="1"/>
  <c r="AF72" i="8"/>
  <c r="AM72" i="8" s="1"/>
  <c r="AQ72" i="8" s="1"/>
  <c r="G73" i="8" s="1"/>
  <c r="U143" i="7"/>
  <c r="T143" i="7"/>
  <c r="D143" i="8" s="1"/>
  <c r="I115" i="2"/>
  <c r="H115" i="2"/>
  <c r="AG72" i="8"/>
  <c r="AH72" i="8" s="1"/>
  <c r="AN72" i="8" s="1"/>
  <c r="AR72" i="8" s="1"/>
  <c r="H73" i="8" s="1"/>
  <c r="J101" i="10"/>
  <c r="G102" i="3"/>
  <c r="T101" i="3"/>
  <c r="AA101" i="3"/>
  <c r="K101" i="10" s="1"/>
  <c r="Z143" i="7" l="1"/>
  <c r="AA143" i="7" s="1"/>
  <c r="B143" i="7" s="1"/>
  <c r="B143" i="8" s="1"/>
  <c r="U143" i="8" s="1"/>
  <c r="W143" i="8" s="1"/>
  <c r="E144" i="7"/>
  <c r="O144" i="7"/>
  <c r="D144" i="7"/>
  <c r="X143" i="7"/>
  <c r="M115" i="2"/>
  <c r="J115" i="2"/>
  <c r="G115" i="10"/>
  <c r="D115" i="3"/>
  <c r="I73" i="8"/>
  <c r="AO72" i="8"/>
  <c r="H102" i="3"/>
  <c r="AB101" i="3"/>
  <c r="L101" i="10" s="1"/>
  <c r="M144" i="7" l="1"/>
  <c r="I144" i="7"/>
  <c r="H144" i="7"/>
  <c r="J144" i="7" s="1"/>
  <c r="K144" i="7" s="1"/>
  <c r="AB143" i="7"/>
  <c r="C144" i="7"/>
  <c r="R144" i="7" s="1"/>
  <c r="P144" i="7"/>
  <c r="Q144" i="7" s="1"/>
  <c r="C115" i="3"/>
  <c r="F115" i="10"/>
  <c r="B116" i="2"/>
  <c r="D115" i="10"/>
  <c r="O73" i="8"/>
  <c r="J73" i="8"/>
  <c r="N73" i="8" s="1"/>
  <c r="R73" i="8" s="1"/>
  <c r="AS72" i="8"/>
  <c r="M102" i="3"/>
  <c r="I102" i="3"/>
  <c r="L102" i="3" s="1"/>
  <c r="E144" i="8" l="1"/>
  <c r="Y144" i="7"/>
  <c r="L144" i="7"/>
  <c r="T144" i="7"/>
  <c r="D144" i="8" s="1"/>
  <c r="N144" i="7"/>
  <c r="W144" i="7" s="1"/>
  <c r="F145" i="7" s="1"/>
  <c r="S144" i="7"/>
  <c r="C144" i="8" s="1"/>
  <c r="C116" i="10"/>
  <c r="K116" i="2"/>
  <c r="D116" i="2"/>
  <c r="L116" i="2" s="1"/>
  <c r="C116" i="2"/>
  <c r="E116" i="2" s="1"/>
  <c r="U144" i="7"/>
  <c r="K73" i="8"/>
  <c r="M73" i="8" s="1"/>
  <c r="J102" i="3"/>
  <c r="K102" i="3" s="1"/>
  <c r="Q102" i="3"/>
  <c r="O145" i="7" l="1"/>
  <c r="P145" i="7"/>
  <c r="Q145" i="7" s="1"/>
  <c r="V144" i="7"/>
  <c r="E116" i="10"/>
  <c r="B116" i="3"/>
  <c r="F116" i="2"/>
  <c r="X144" i="7"/>
  <c r="D145" i="7"/>
  <c r="AI73" i="8"/>
  <c r="X73" i="8"/>
  <c r="P73" i="8"/>
  <c r="Q73" i="8" s="1"/>
  <c r="L73" i="8"/>
  <c r="N102" i="3"/>
  <c r="U102" i="3"/>
  <c r="AC102" i="3"/>
  <c r="M102" i="10" s="1"/>
  <c r="Y145" i="7" l="1"/>
  <c r="E145" i="8"/>
  <c r="E145" i="7"/>
  <c r="M145" i="7" s="1"/>
  <c r="Z144" i="7"/>
  <c r="AA144" i="7" s="1"/>
  <c r="B144" i="7" s="1"/>
  <c r="B144" i="8" s="1"/>
  <c r="U144" i="8" s="1"/>
  <c r="W144" i="8" s="1"/>
  <c r="G116" i="2"/>
  <c r="C145" i="7"/>
  <c r="R145" i="7" s="1"/>
  <c r="AB144" i="7"/>
  <c r="I145" i="7"/>
  <c r="H145" i="7"/>
  <c r="J145" i="7" s="1"/>
  <c r="N145" i="7"/>
  <c r="W145" i="7" s="1"/>
  <c r="F146" i="7" s="1"/>
  <c r="O102" i="3"/>
  <c r="AJ73" i="8"/>
  <c r="Z73" i="8"/>
  <c r="AB73" i="8" s="1"/>
  <c r="Y73" i="8"/>
  <c r="AA73" i="8" s="1"/>
  <c r="S73" i="8"/>
  <c r="AU73" i="8"/>
  <c r="V102" i="3"/>
  <c r="Y102" i="3" s="1"/>
  <c r="T73" i="8"/>
  <c r="V73" i="8" s="1"/>
  <c r="X102" i="3"/>
  <c r="I116" i="2" l="1"/>
  <c r="H116" i="2"/>
  <c r="P102" i="3"/>
  <c r="S145" i="7"/>
  <c r="C145" i="8" s="1"/>
  <c r="R102" i="3"/>
  <c r="S102" i="3" s="1"/>
  <c r="O146" i="7"/>
  <c r="K145" i="7"/>
  <c r="L145" i="7"/>
  <c r="V145" i="7" s="1"/>
  <c r="AC73" i="8"/>
  <c r="AK73" i="8"/>
  <c r="I102" i="10"/>
  <c r="F103" i="3"/>
  <c r="AD73" i="8"/>
  <c r="W102" i="3"/>
  <c r="AT73" i="8"/>
  <c r="H102" i="10"/>
  <c r="E103" i="3"/>
  <c r="AL73" i="8" l="1"/>
  <c r="AP73" i="8" s="1"/>
  <c r="F74" i="8" s="1"/>
  <c r="J116" i="2"/>
  <c r="M116" i="2"/>
  <c r="D116" i="3"/>
  <c r="G116" i="10"/>
  <c r="AA102" i="3"/>
  <c r="K102" i="10" s="1"/>
  <c r="AE73" i="8"/>
  <c r="T145" i="7"/>
  <c r="D145" i="8" s="1"/>
  <c r="T102" i="3"/>
  <c r="P146" i="7"/>
  <c r="Q146" i="7" s="1"/>
  <c r="E146" i="7"/>
  <c r="Z145" i="7"/>
  <c r="AA145" i="7" s="1"/>
  <c r="B145" i="7" s="1"/>
  <c r="B145" i="8" s="1"/>
  <c r="U145" i="8" s="1"/>
  <c r="U145" i="7"/>
  <c r="D146" i="7" s="1"/>
  <c r="Z102" i="3"/>
  <c r="X145" i="7" l="1"/>
  <c r="AB102" i="3"/>
  <c r="L102" i="10" s="1"/>
  <c r="B117" i="2"/>
  <c r="D116" i="10"/>
  <c r="C116" i="3"/>
  <c r="F116" i="10"/>
  <c r="AF73" i="8"/>
  <c r="AM73" i="8" s="1"/>
  <c r="I146" i="7"/>
  <c r="H146" i="7"/>
  <c r="Y146" i="7"/>
  <c r="E146" i="8"/>
  <c r="M146" i="7"/>
  <c r="W145" i="8"/>
  <c r="J102" i="10"/>
  <c r="G103" i="3"/>
  <c r="AB145" i="7" l="1"/>
  <c r="C146" i="7"/>
  <c r="R146" i="7" s="1"/>
  <c r="AG73" i="8"/>
  <c r="AH73" i="8" s="1"/>
  <c r="AN73" i="8" s="1"/>
  <c r="AR73" i="8" s="1"/>
  <c r="H74" i="8" s="1"/>
  <c r="I74" i="8" s="1"/>
  <c r="N146" i="7"/>
  <c r="W146" i="7" s="1"/>
  <c r="F147" i="7" s="1"/>
  <c r="C117" i="10"/>
  <c r="K117" i="2"/>
  <c r="D117" i="2"/>
  <c r="L117" i="2" s="1"/>
  <c r="C117" i="2"/>
  <c r="AQ73" i="8"/>
  <c r="G74" i="8" s="1"/>
  <c r="J146" i="7"/>
  <c r="AO73" i="8"/>
  <c r="O74" i="8"/>
  <c r="H103" i="3"/>
  <c r="E117" i="2" l="1"/>
  <c r="S146" i="7"/>
  <c r="C146" i="8" s="1"/>
  <c r="O147" i="7"/>
  <c r="B117" i="3"/>
  <c r="E117" i="10"/>
  <c r="J74" i="8"/>
  <c r="K146" i="7"/>
  <c r="T146" i="7" s="1"/>
  <c r="D146" i="8" s="1"/>
  <c r="AS73" i="8"/>
  <c r="I103" i="3"/>
  <c r="L103" i="3" s="1"/>
  <c r="M103" i="3"/>
  <c r="F117" i="2" l="1"/>
  <c r="P147" i="7"/>
  <c r="Q147" i="7" s="1"/>
  <c r="K74" i="8"/>
  <c r="M74" i="8" s="1"/>
  <c r="N74" i="8"/>
  <c r="R74" i="8" s="1"/>
  <c r="L146" i="7"/>
  <c r="V146" i="7" s="1"/>
  <c r="J103" i="3"/>
  <c r="K103" i="3" s="1"/>
  <c r="Q103" i="3"/>
  <c r="G117" i="2" l="1"/>
  <c r="Y147" i="7"/>
  <c r="E147" i="8"/>
  <c r="P74" i="8"/>
  <c r="Q74" i="8" s="1"/>
  <c r="S74" i="8" s="1"/>
  <c r="L74" i="8"/>
  <c r="X74" i="8"/>
  <c r="Y74" i="8" s="1"/>
  <c r="AA74" i="8" s="1"/>
  <c r="AI74" i="8"/>
  <c r="AJ74" i="8" s="1"/>
  <c r="E147" i="7"/>
  <c r="U146" i="7"/>
  <c r="Z146" i="7"/>
  <c r="AA146" i="7" s="1"/>
  <c r="B146" i="7" s="1"/>
  <c r="B146" i="8" s="1"/>
  <c r="U146" i="8" s="1"/>
  <c r="W146" i="8" s="1"/>
  <c r="M147" i="7"/>
  <c r="U103" i="3"/>
  <c r="N103" i="3"/>
  <c r="AC103" i="3"/>
  <c r="M103" i="10" s="1"/>
  <c r="AK74" i="8"/>
  <c r="N147" i="7"/>
  <c r="W147" i="7" s="1"/>
  <c r="F148" i="7" s="1"/>
  <c r="I117" i="2" l="1"/>
  <c r="H117" i="2"/>
  <c r="Z74" i="8"/>
  <c r="AB74" i="8" s="1"/>
  <c r="AC74" i="8"/>
  <c r="X103" i="3"/>
  <c r="AU74" i="8"/>
  <c r="T74" i="8"/>
  <c r="V74" i="8" s="1"/>
  <c r="V103" i="3"/>
  <c r="Y103" i="3" s="1"/>
  <c r="O103" i="3"/>
  <c r="X146" i="7"/>
  <c r="D147" i="7"/>
  <c r="O148" i="7"/>
  <c r="AT74" i="8"/>
  <c r="P103" i="3"/>
  <c r="I103" i="10"/>
  <c r="F104" i="3"/>
  <c r="M117" i="2" l="1"/>
  <c r="J117" i="2"/>
  <c r="D117" i="3"/>
  <c r="G117" i="10"/>
  <c r="E104" i="3"/>
  <c r="H103" i="10"/>
  <c r="AD74" i="8"/>
  <c r="R103" i="3"/>
  <c r="S103" i="3" s="1"/>
  <c r="W103" i="3"/>
  <c r="Z103" i="3" s="1"/>
  <c r="C147" i="7"/>
  <c r="R147" i="7" s="1"/>
  <c r="AB146" i="7"/>
  <c r="H147" i="7"/>
  <c r="I147" i="7"/>
  <c r="P148" i="7"/>
  <c r="Q148" i="7" s="1"/>
  <c r="AA103" i="3"/>
  <c r="K103" i="10" s="1"/>
  <c r="G104" i="3"/>
  <c r="J103" i="10"/>
  <c r="C117" i="3" l="1"/>
  <c r="F117" i="10"/>
  <c r="B118" i="2"/>
  <c r="D117" i="10"/>
  <c r="J147" i="7"/>
  <c r="AE74" i="8"/>
  <c r="AL74" i="8"/>
  <c r="AP74" i="8" s="1"/>
  <c r="F75" i="8" s="1"/>
  <c r="T103" i="3"/>
  <c r="S147" i="7"/>
  <c r="C147" i="8" s="1"/>
  <c r="E148" i="8"/>
  <c r="Y148" i="7"/>
  <c r="AB103" i="3"/>
  <c r="L103" i="10" s="1"/>
  <c r="H104" i="3"/>
  <c r="C118" i="2" l="1"/>
  <c r="K118" i="2"/>
  <c r="D118" i="2"/>
  <c r="C118" i="10"/>
  <c r="AF74" i="8"/>
  <c r="AM74" i="8" s="1"/>
  <c r="AQ74" i="8" s="1"/>
  <c r="G75" i="8" s="1"/>
  <c r="K147" i="7"/>
  <c r="T147" i="7"/>
  <c r="D147" i="8" s="1"/>
  <c r="L147" i="7"/>
  <c r="M104" i="3"/>
  <c r="I104" i="3"/>
  <c r="L104" i="3" s="1"/>
  <c r="AG74" i="8" l="1"/>
  <c r="AH74" i="8" s="1"/>
  <c r="AN74" i="8" s="1"/>
  <c r="AR74" i="8" s="1"/>
  <c r="H75" i="8" s="1"/>
  <c r="I75" i="8" s="1"/>
  <c r="E118" i="2"/>
  <c r="L118" i="2"/>
  <c r="U147" i="7"/>
  <c r="V147" i="7"/>
  <c r="F118" i="2"/>
  <c r="D148" i="7"/>
  <c r="X147" i="7"/>
  <c r="E148" i="7"/>
  <c r="Z147" i="7"/>
  <c r="AA147" i="7" s="1"/>
  <c r="B147" i="7" s="1"/>
  <c r="B147" i="8" s="1"/>
  <c r="U147" i="8" s="1"/>
  <c r="W147" i="8" s="1"/>
  <c r="Q104" i="3"/>
  <c r="J104" i="3"/>
  <c r="K104" i="3" s="1"/>
  <c r="B118" i="3" l="1"/>
  <c r="E118" i="10"/>
  <c r="AO74" i="8"/>
  <c r="O75" i="8"/>
  <c r="J75" i="8"/>
  <c r="N75" i="8" s="1"/>
  <c r="H148" i="7"/>
  <c r="I148" i="7"/>
  <c r="AB147" i="7"/>
  <c r="C148" i="7"/>
  <c r="R148" i="7" s="1"/>
  <c r="M148" i="7"/>
  <c r="G118" i="2"/>
  <c r="N148" i="7"/>
  <c r="W148" i="7" s="1"/>
  <c r="F149" i="7" s="1"/>
  <c r="R75" i="8"/>
  <c r="K75" i="8"/>
  <c r="M75" i="8" s="1"/>
  <c r="U104" i="3"/>
  <c r="N104" i="3"/>
  <c r="AC104" i="3"/>
  <c r="M104" i="10" s="1"/>
  <c r="AS74" i="8" l="1"/>
  <c r="I118" i="2"/>
  <c r="H118" i="2"/>
  <c r="J148" i="7"/>
  <c r="S148" i="7"/>
  <c r="C148" i="8" s="1"/>
  <c r="K148" i="7"/>
  <c r="O149" i="7"/>
  <c r="X104" i="3"/>
  <c r="X75" i="8"/>
  <c r="P75" i="8"/>
  <c r="Q75" i="8" s="1"/>
  <c r="AI75" i="8"/>
  <c r="L75" i="8"/>
  <c r="V104" i="3"/>
  <c r="Y104" i="3" s="1"/>
  <c r="O104" i="3"/>
  <c r="M118" i="2" l="1"/>
  <c r="J118" i="2"/>
  <c r="G118" i="10"/>
  <c r="D118" i="3"/>
  <c r="P149" i="7"/>
  <c r="Q149" i="7" s="1"/>
  <c r="L148" i="7"/>
  <c r="V148" i="7" s="1"/>
  <c r="T148" i="7"/>
  <c r="D148" i="8" s="1"/>
  <c r="E105" i="3"/>
  <c r="H104" i="10"/>
  <c r="P104" i="3"/>
  <c r="Y75" i="8"/>
  <c r="AA75" i="8" s="1"/>
  <c r="Z75" i="8"/>
  <c r="AB75" i="8" s="1"/>
  <c r="S75" i="8"/>
  <c r="AJ75" i="8"/>
  <c r="AU75" i="8"/>
  <c r="I104" i="10"/>
  <c r="F105" i="3"/>
  <c r="R104" i="3"/>
  <c r="S104" i="3" s="1"/>
  <c r="W104" i="3"/>
  <c r="Z104" i="3" s="1"/>
  <c r="Z148" i="7" l="1"/>
  <c r="AA148" i="7" s="1"/>
  <c r="B148" i="7" s="1"/>
  <c r="B148" i="8" s="1"/>
  <c r="U148" i="8" s="1"/>
  <c r="E149" i="8"/>
  <c r="Y149" i="7"/>
  <c r="C118" i="3"/>
  <c r="F118" i="10"/>
  <c r="B119" i="2"/>
  <c r="D118" i="10"/>
  <c r="U148" i="7"/>
  <c r="E149" i="7"/>
  <c r="M149" i="7"/>
  <c r="AC75" i="8"/>
  <c r="T75" i="8"/>
  <c r="V75" i="8" s="1"/>
  <c r="AK75" i="8"/>
  <c r="T104" i="3"/>
  <c r="G105" i="3"/>
  <c r="J104" i="10"/>
  <c r="AA104" i="3"/>
  <c r="K104" i="10" s="1"/>
  <c r="W148" i="8" l="1"/>
  <c r="D149" i="7"/>
  <c r="X148" i="7"/>
  <c r="K119" i="2"/>
  <c r="C119" i="2"/>
  <c r="D119" i="2"/>
  <c r="C119" i="10"/>
  <c r="N149" i="7"/>
  <c r="W149" i="7" s="1"/>
  <c r="F150" i="7" s="1"/>
  <c r="H149" i="7"/>
  <c r="I149" i="7"/>
  <c r="C149" i="7"/>
  <c r="R149" i="7" s="1"/>
  <c r="AB148" i="7"/>
  <c r="AT75" i="8"/>
  <c r="AD75" i="8"/>
  <c r="AB104" i="3"/>
  <c r="L104" i="10" s="1"/>
  <c r="H105" i="3"/>
  <c r="L119" i="2" l="1"/>
  <c r="E119" i="2"/>
  <c r="B119" i="3"/>
  <c r="E119" i="10"/>
  <c r="F119" i="2"/>
  <c r="O150" i="7"/>
  <c r="S149" i="7"/>
  <c r="C149" i="8" s="1"/>
  <c r="J149" i="7"/>
  <c r="M105" i="3"/>
  <c r="AE75" i="8"/>
  <c r="AL75" i="8"/>
  <c r="I105" i="3"/>
  <c r="L105" i="3" s="1"/>
  <c r="G119" i="2" l="1"/>
  <c r="P150" i="7"/>
  <c r="Q150" i="7" s="1"/>
  <c r="K149" i="7"/>
  <c r="T149" i="7" s="1"/>
  <c r="D149" i="8" s="1"/>
  <c r="AF75" i="8"/>
  <c r="AM75" i="8" s="1"/>
  <c r="AQ75" i="8" s="1"/>
  <c r="G76" i="8" s="1"/>
  <c r="AP75" i="8"/>
  <c r="F76" i="8" s="1"/>
  <c r="J105" i="3"/>
  <c r="K105" i="3" s="1"/>
  <c r="Q105" i="3"/>
  <c r="I119" i="2" l="1"/>
  <c r="H119" i="2"/>
  <c r="Y150" i="7"/>
  <c r="E150" i="8"/>
  <c r="L149" i="7"/>
  <c r="U105" i="3"/>
  <c r="N105" i="3"/>
  <c r="AC105" i="3"/>
  <c r="M105" i="10" s="1"/>
  <c r="AG75" i="8"/>
  <c r="AH75" i="8" s="1"/>
  <c r="AN75" i="8" s="1"/>
  <c r="M119" i="2" l="1"/>
  <c r="J119" i="2"/>
  <c r="G119" i="10"/>
  <c r="D119" i="3"/>
  <c r="U149" i="7"/>
  <c r="V149" i="7"/>
  <c r="O105" i="3"/>
  <c r="V105" i="3"/>
  <c r="Y105" i="3" s="1"/>
  <c r="X105" i="3"/>
  <c r="AO75" i="8"/>
  <c r="AR75" i="8"/>
  <c r="H76" i="8" s="1"/>
  <c r="F119" i="10" l="1"/>
  <c r="C119" i="3"/>
  <c r="B120" i="2"/>
  <c r="D119" i="10"/>
  <c r="X149" i="7"/>
  <c r="D150" i="7"/>
  <c r="E150" i="7"/>
  <c r="Z149" i="7"/>
  <c r="AA149" i="7" s="1"/>
  <c r="B149" i="7" s="1"/>
  <c r="B149" i="8" s="1"/>
  <c r="U149" i="8" s="1"/>
  <c r="W149" i="8" s="1"/>
  <c r="E106" i="3"/>
  <c r="I105" i="10"/>
  <c r="R105" i="3"/>
  <c r="S105" i="3" s="1"/>
  <c r="H105" i="10"/>
  <c r="W105" i="3"/>
  <c r="Z105" i="3" s="1"/>
  <c r="F106" i="3"/>
  <c r="P105" i="3"/>
  <c r="I76" i="8"/>
  <c r="AS75" i="8"/>
  <c r="C120" i="10" l="1"/>
  <c r="D120" i="2"/>
  <c r="C120" i="2"/>
  <c r="K120" i="2"/>
  <c r="J105" i="10"/>
  <c r="T105" i="3"/>
  <c r="C150" i="7"/>
  <c r="R150" i="7" s="1"/>
  <c r="AB149" i="7"/>
  <c r="H150" i="7"/>
  <c r="I150" i="7"/>
  <c r="M150" i="7"/>
  <c r="AA105" i="3"/>
  <c r="K105" i="10" s="1"/>
  <c r="G106" i="3"/>
  <c r="O76" i="8"/>
  <c r="J76" i="8"/>
  <c r="N76" i="8" s="1"/>
  <c r="L120" i="2" l="1"/>
  <c r="B120" i="3"/>
  <c r="E120" i="2"/>
  <c r="N150" i="7"/>
  <c r="W150" i="7" s="1"/>
  <c r="F151" i="7" s="1"/>
  <c r="AB105" i="3"/>
  <c r="L105" i="10" s="1"/>
  <c r="S150" i="7"/>
  <c r="C150" i="8" s="1"/>
  <c r="H106" i="3"/>
  <c r="J150" i="7"/>
  <c r="K76" i="8"/>
  <c r="M76" i="8" s="1"/>
  <c r="R76" i="8"/>
  <c r="E120" i="10" l="1"/>
  <c r="F120" i="2"/>
  <c r="G120" i="2"/>
  <c r="H120" i="2" s="1"/>
  <c r="AI76" i="8"/>
  <c r="P76" i="8"/>
  <c r="Q76" i="8" s="1"/>
  <c r="O151" i="7"/>
  <c r="K150" i="7"/>
  <c r="X76" i="8"/>
  <c r="M106" i="3"/>
  <c r="L76" i="8"/>
  <c r="I106" i="3"/>
  <c r="L106" i="3" s="1"/>
  <c r="I120" i="2" l="1"/>
  <c r="G120" i="10"/>
  <c r="D120" i="3"/>
  <c r="J120" i="2"/>
  <c r="M120" i="2"/>
  <c r="AJ76" i="8"/>
  <c r="S76" i="8"/>
  <c r="AU76" i="8"/>
  <c r="P151" i="7"/>
  <c r="Q151" i="7" s="1"/>
  <c r="T150" i="7"/>
  <c r="D150" i="8" s="1"/>
  <c r="Y76" i="8"/>
  <c r="AA76" i="8" s="1"/>
  <c r="Q106" i="3"/>
  <c r="J106" i="3"/>
  <c r="K106" i="3" s="1"/>
  <c r="L150" i="7"/>
  <c r="AK76" i="8" l="1"/>
  <c r="B121" i="2"/>
  <c r="D120" i="10"/>
  <c r="C120" i="3"/>
  <c r="F120" i="10"/>
  <c r="T76" i="8"/>
  <c r="V76" i="8" s="1"/>
  <c r="AT76" i="8" s="1"/>
  <c r="Y151" i="7"/>
  <c r="E151" i="8"/>
  <c r="Z76" i="8"/>
  <c r="AB76" i="8" s="1"/>
  <c r="AC106" i="3"/>
  <c r="M106" i="10" s="1"/>
  <c r="U150" i="7"/>
  <c r="V150" i="7"/>
  <c r="U106" i="3"/>
  <c r="N106" i="3"/>
  <c r="C121" i="2" l="1"/>
  <c r="D121" i="2"/>
  <c r="K121" i="2"/>
  <c r="C121" i="10"/>
  <c r="AC76" i="8"/>
  <c r="X106" i="3"/>
  <c r="D151" i="7"/>
  <c r="X150" i="7"/>
  <c r="Z150" i="7"/>
  <c r="AA150" i="7" s="1"/>
  <c r="B150" i="7" s="1"/>
  <c r="B150" i="8" s="1"/>
  <c r="U150" i="8" s="1"/>
  <c r="W150" i="8" s="1"/>
  <c r="E151" i="7"/>
  <c r="V106" i="3"/>
  <c r="Y106" i="3" s="1"/>
  <c r="O106" i="3"/>
  <c r="E121" i="2" l="1"/>
  <c r="L121" i="2"/>
  <c r="AD76" i="8"/>
  <c r="F107" i="3"/>
  <c r="E107" i="3"/>
  <c r="H106" i="10"/>
  <c r="R106" i="3"/>
  <c r="S106" i="3" s="1"/>
  <c r="W106" i="3"/>
  <c r="Z106" i="3" s="1"/>
  <c r="H151" i="7"/>
  <c r="I151" i="7"/>
  <c r="AB150" i="7"/>
  <c r="C151" i="7"/>
  <c r="M151" i="7"/>
  <c r="P106" i="3"/>
  <c r="I106" i="10"/>
  <c r="F121" i="2" l="1"/>
  <c r="G121" i="2"/>
  <c r="H121" i="2" s="1"/>
  <c r="E121" i="10"/>
  <c r="B121" i="3"/>
  <c r="AE76" i="8"/>
  <c r="AL76" i="8"/>
  <c r="AP76" i="8" s="1"/>
  <c r="F77" i="8" s="1"/>
  <c r="N151" i="7"/>
  <c r="W151" i="7" s="1"/>
  <c r="F152" i="7" s="1"/>
  <c r="G107" i="3"/>
  <c r="T106" i="3"/>
  <c r="J106" i="10"/>
  <c r="AA106" i="3"/>
  <c r="K106" i="10" s="1"/>
  <c r="R151" i="7"/>
  <c r="S151" i="7" s="1"/>
  <c r="C151" i="8" s="1"/>
  <c r="J151" i="7"/>
  <c r="D121" i="3" l="1"/>
  <c r="G121" i="10"/>
  <c r="I121" i="2"/>
  <c r="AF76" i="8"/>
  <c r="AM76" i="8" s="1"/>
  <c r="AQ76" i="8" s="1"/>
  <c r="G77" i="8" s="1"/>
  <c r="O152" i="7"/>
  <c r="AB106" i="3"/>
  <c r="L106" i="10" s="1"/>
  <c r="H107" i="3"/>
  <c r="K151" i="7"/>
  <c r="T151" i="7" s="1"/>
  <c r="D151" i="8" s="1"/>
  <c r="M121" i="2" l="1"/>
  <c r="J121" i="2"/>
  <c r="AG76" i="8"/>
  <c r="AH76" i="8" s="1"/>
  <c r="AN76" i="8" s="1"/>
  <c r="P152" i="7"/>
  <c r="Q152" i="7" s="1"/>
  <c r="M107" i="3"/>
  <c r="I107" i="3"/>
  <c r="L107" i="3" s="1"/>
  <c r="L151" i="7"/>
  <c r="AR76" i="8" l="1"/>
  <c r="H77" i="8" s="1"/>
  <c r="AO76" i="8"/>
  <c r="F121" i="10"/>
  <c r="C121" i="3"/>
  <c r="D121" i="10"/>
  <c r="B122" i="2"/>
  <c r="J107" i="3"/>
  <c r="K107" i="3" s="1"/>
  <c r="E152" i="8"/>
  <c r="Y152" i="7"/>
  <c r="Q107" i="3"/>
  <c r="AS76" i="8"/>
  <c r="U151" i="7"/>
  <c r="V151" i="7"/>
  <c r="N107" i="3"/>
  <c r="I77" i="8" l="1"/>
  <c r="D122" i="2"/>
  <c r="C122" i="2"/>
  <c r="E122" i="2" s="1"/>
  <c r="K122" i="2"/>
  <c r="C122" i="10"/>
  <c r="AC107" i="3"/>
  <c r="M107" i="10" s="1"/>
  <c r="U107" i="3"/>
  <c r="O77" i="8"/>
  <c r="O107" i="3"/>
  <c r="X151" i="7"/>
  <c r="D152" i="7"/>
  <c r="Z151" i="7"/>
  <c r="AA151" i="7" s="1"/>
  <c r="B151" i="7" s="1"/>
  <c r="B151" i="8" s="1"/>
  <c r="U151" i="8" s="1"/>
  <c r="W151" i="8" s="1"/>
  <c r="E152" i="7"/>
  <c r="J77" i="8" l="1"/>
  <c r="N77" i="8" s="1"/>
  <c r="R77" i="8" s="1"/>
  <c r="F122" i="2"/>
  <c r="G122" i="2" s="1"/>
  <c r="H122" i="2" s="1"/>
  <c r="L122" i="2"/>
  <c r="X107" i="3"/>
  <c r="E108" i="3" s="1"/>
  <c r="V107" i="3"/>
  <c r="Y107" i="3" s="1"/>
  <c r="P107" i="3"/>
  <c r="R107" i="3"/>
  <c r="S107" i="3" s="1"/>
  <c r="AB151" i="7"/>
  <c r="C152" i="7"/>
  <c r="I152" i="7"/>
  <c r="H152" i="7"/>
  <c r="J152" i="7" s="1"/>
  <c r="M152" i="7"/>
  <c r="K77" i="8" l="1"/>
  <c r="M77" i="8" s="1"/>
  <c r="N152" i="7"/>
  <c r="W152" i="7" s="1"/>
  <c r="F153" i="7" s="1"/>
  <c r="D122" i="3"/>
  <c r="G122" i="10"/>
  <c r="E122" i="10"/>
  <c r="B122" i="3"/>
  <c r="I122" i="2"/>
  <c r="H107" i="10"/>
  <c r="W107" i="3"/>
  <c r="Z107" i="3" s="1"/>
  <c r="F108" i="3"/>
  <c r="I107" i="10"/>
  <c r="X77" i="8"/>
  <c r="AI77" i="8"/>
  <c r="P77" i="8"/>
  <c r="Q77" i="8" s="1"/>
  <c r="L77" i="8"/>
  <c r="T107" i="3"/>
  <c r="AB107" i="3" s="1"/>
  <c r="L107" i="10" s="1"/>
  <c r="R152" i="7"/>
  <c r="S152" i="7" s="1"/>
  <c r="C152" i="8" s="1"/>
  <c r="K152" i="7"/>
  <c r="T152" i="7" s="1"/>
  <c r="D152" i="8" s="1"/>
  <c r="O153" i="7" l="1"/>
  <c r="M122" i="2"/>
  <c r="J122" i="2"/>
  <c r="J107" i="10"/>
  <c r="G108" i="3"/>
  <c r="AA107" i="3"/>
  <c r="K107" i="10" s="1"/>
  <c r="Y77" i="8"/>
  <c r="AA77" i="8" s="1"/>
  <c r="Z77" i="8"/>
  <c r="AB77" i="8" s="1"/>
  <c r="AJ77" i="8"/>
  <c r="S77" i="8"/>
  <c r="AU77" i="8"/>
  <c r="L152" i="7"/>
  <c r="V152" i="7" s="1"/>
  <c r="P153" i="7" l="1"/>
  <c r="Q153" i="7" s="1"/>
  <c r="T77" i="8"/>
  <c r="V77" i="8" s="1"/>
  <c r="AK77" i="8"/>
  <c r="C122" i="3"/>
  <c r="F122" i="10"/>
  <c r="D122" i="10"/>
  <c r="B123" i="2"/>
  <c r="H108" i="3"/>
  <c r="AC77" i="8"/>
  <c r="U152" i="7"/>
  <c r="E153" i="7"/>
  <c r="Z152" i="7"/>
  <c r="AA152" i="7" s="1"/>
  <c r="B152" i="7" s="1"/>
  <c r="B152" i="8" s="1"/>
  <c r="U152" i="8" s="1"/>
  <c r="W152" i="8" s="1"/>
  <c r="AT77" i="8" l="1"/>
  <c r="E153" i="8"/>
  <c r="Y153" i="7"/>
  <c r="K123" i="2"/>
  <c r="C123" i="10"/>
  <c r="D123" i="2"/>
  <c r="C123" i="2"/>
  <c r="E123" i="2" s="1"/>
  <c r="M108" i="3"/>
  <c r="I108" i="3"/>
  <c r="L108" i="3" s="1"/>
  <c r="AD77" i="8"/>
  <c r="X152" i="7"/>
  <c r="D153" i="7"/>
  <c r="M153" i="7"/>
  <c r="L123" i="2" l="1"/>
  <c r="F123" i="2"/>
  <c r="Q108" i="3"/>
  <c r="J108" i="3"/>
  <c r="K108" i="3" s="1"/>
  <c r="AE77" i="8"/>
  <c r="AL77" i="8"/>
  <c r="AB152" i="7"/>
  <c r="C153" i="7"/>
  <c r="H153" i="7"/>
  <c r="I153" i="7"/>
  <c r="N153" i="7"/>
  <c r="W153" i="7" s="1"/>
  <c r="F154" i="7" s="1"/>
  <c r="B123" i="3" l="1"/>
  <c r="AC108" i="3"/>
  <c r="M108" i="10" s="1"/>
  <c r="AF77" i="8"/>
  <c r="AM77" i="8" s="1"/>
  <c r="AQ77" i="8" s="1"/>
  <c r="G78" i="8" s="1"/>
  <c r="E123" i="10"/>
  <c r="AP77" i="8"/>
  <c r="F78" i="8" s="1"/>
  <c r="G123" i="2"/>
  <c r="J153" i="7"/>
  <c r="U108" i="3"/>
  <c r="N108" i="3"/>
  <c r="O108" i="3" s="1"/>
  <c r="R153" i="7"/>
  <c r="S153" i="7" s="1"/>
  <c r="C153" i="8" s="1"/>
  <c r="O154" i="7"/>
  <c r="AG77" i="8" l="1"/>
  <c r="AH77" i="8" s="1"/>
  <c r="AN77" i="8" s="1"/>
  <c r="AR77" i="8" s="1"/>
  <c r="H78" i="8" s="1"/>
  <c r="K153" i="7"/>
  <c r="T153" i="7" s="1"/>
  <c r="D153" i="8" s="1"/>
  <c r="I123" i="2"/>
  <c r="H123" i="2"/>
  <c r="X108" i="3"/>
  <c r="V108" i="3"/>
  <c r="Y108" i="3" s="1"/>
  <c r="R108" i="3"/>
  <c r="S108" i="3" s="1"/>
  <c r="P108" i="3"/>
  <c r="L153" i="7"/>
  <c r="V153" i="7" s="1"/>
  <c r="T108" i="3"/>
  <c r="P154" i="7"/>
  <c r="Q154" i="7" s="1"/>
  <c r="I78" i="8" l="1"/>
  <c r="AO77" i="8"/>
  <c r="W108" i="3"/>
  <c r="Z108" i="3" s="1"/>
  <c r="Z153" i="7"/>
  <c r="AA153" i="7" s="1"/>
  <c r="B153" i="7" s="1"/>
  <c r="B153" i="8" s="1"/>
  <c r="U153" i="8" s="1"/>
  <c r="W153" i="8" s="1"/>
  <c r="E154" i="7"/>
  <c r="U153" i="7"/>
  <c r="M123" i="2"/>
  <c r="J123" i="2"/>
  <c r="G123" i="10"/>
  <c r="D123" i="3"/>
  <c r="H108" i="10"/>
  <c r="E109" i="3"/>
  <c r="F109" i="3"/>
  <c r="I108" i="10"/>
  <c r="AB108" i="3"/>
  <c r="L108" i="10" s="1"/>
  <c r="E154" i="8"/>
  <c r="Y154" i="7"/>
  <c r="D154" i="7" l="1"/>
  <c r="O78" i="8"/>
  <c r="M154" i="7"/>
  <c r="X153" i="7"/>
  <c r="AS77" i="8"/>
  <c r="J78" i="8"/>
  <c r="N78" i="8" s="1"/>
  <c r="R78" i="8" s="1"/>
  <c r="J108" i="10"/>
  <c r="G109" i="3"/>
  <c r="H109" i="3" s="1"/>
  <c r="AA108" i="3"/>
  <c r="K108" i="10" s="1"/>
  <c r="F123" i="10"/>
  <c r="C123" i="3"/>
  <c r="B124" i="2"/>
  <c r="D123" i="10"/>
  <c r="I109" i="3"/>
  <c r="L109" i="3" s="1"/>
  <c r="M109" i="3"/>
  <c r="K78" i="8"/>
  <c r="M78" i="8" s="1"/>
  <c r="AB153" i="7" l="1"/>
  <c r="C154" i="7"/>
  <c r="R154" i="7" s="1"/>
  <c r="I154" i="7"/>
  <c r="H154" i="7"/>
  <c r="N154" i="7"/>
  <c r="W154" i="7" s="1"/>
  <c r="F155" i="7" s="1"/>
  <c r="C124" i="2"/>
  <c r="K124" i="2"/>
  <c r="D124" i="2"/>
  <c r="L124" i="2" s="1"/>
  <c r="C124" i="10"/>
  <c r="J154" i="7"/>
  <c r="L78" i="8"/>
  <c r="Q109" i="3"/>
  <c r="J109" i="3"/>
  <c r="K109" i="3" s="1"/>
  <c r="P78" i="8"/>
  <c r="Q78" i="8" s="1"/>
  <c r="S78" i="8" s="1"/>
  <c r="AI78" i="8"/>
  <c r="AJ78" i="8" s="1"/>
  <c r="X78" i="8"/>
  <c r="O155" i="7" l="1"/>
  <c r="S154" i="7"/>
  <c r="C154" i="8" s="1"/>
  <c r="E124" i="10"/>
  <c r="B124" i="3"/>
  <c r="E124" i="2"/>
  <c r="AU78" i="8"/>
  <c r="K154" i="7"/>
  <c r="T154" i="7" s="1"/>
  <c r="D154" i="8" s="1"/>
  <c r="U109" i="3"/>
  <c r="AC109" i="3"/>
  <c r="M109" i="10" s="1"/>
  <c r="N109" i="3"/>
  <c r="Y78" i="8"/>
  <c r="AA78" i="8" s="1"/>
  <c r="T78" i="8"/>
  <c r="V78" i="8" s="1"/>
  <c r="AT78" i="8" s="1"/>
  <c r="AK78" i="8"/>
  <c r="P155" i="7" l="1"/>
  <c r="Q155" i="7" s="1"/>
  <c r="F124" i="2"/>
  <c r="G124" i="2"/>
  <c r="H124" i="2" s="1"/>
  <c r="L154" i="7"/>
  <c r="V154" i="7" s="1"/>
  <c r="O109" i="3"/>
  <c r="Z78" i="8"/>
  <c r="AB78" i="8" s="1"/>
  <c r="AC78" i="8" s="1"/>
  <c r="V109" i="3"/>
  <c r="Y109" i="3" s="1"/>
  <c r="X109" i="3"/>
  <c r="U154" i="7"/>
  <c r="Y155" i="7" l="1"/>
  <c r="E155" i="8"/>
  <c r="AD78" i="8"/>
  <c r="I124" i="2"/>
  <c r="D124" i="3"/>
  <c r="G124" i="10"/>
  <c r="Z154" i="7"/>
  <c r="AA154" i="7" s="1"/>
  <c r="B154" i="7" s="1"/>
  <c r="B154" i="8" s="1"/>
  <c r="U154" i="8" s="1"/>
  <c r="W154" i="8" s="1"/>
  <c r="E155" i="7"/>
  <c r="X154" i="7"/>
  <c r="D155" i="7"/>
  <c r="P109" i="3"/>
  <c r="R109" i="3"/>
  <c r="S109" i="3" s="1"/>
  <c r="H109" i="10"/>
  <c r="E110" i="3"/>
  <c r="I109" i="10"/>
  <c r="F110" i="3"/>
  <c r="W109" i="3"/>
  <c r="Z109" i="3" s="1"/>
  <c r="AE78" i="8" l="1"/>
  <c r="AL78" i="8"/>
  <c r="AP78" i="8" s="1"/>
  <c r="F79" i="8" s="1"/>
  <c r="J124" i="2"/>
  <c r="M124" i="2"/>
  <c r="C155" i="7"/>
  <c r="R155" i="7" s="1"/>
  <c r="I155" i="7"/>
  <c r="H155" i="7"/>
  <c r="M155" i="7"/>
  <c r="AB154" i="7"/>
  <c r="T109" i="3"/>
  <c r="J109" i="10"/>
  <c r="G110" i="3"/>
  <c r="AA109" i="3"/>
  <c r="K109" i="10" s="1"/>
  <c r="J155" i="7" l="1"/>
  <c r="AF78" i="8"/>
  <c r="AM78" i="8" s="1"/>
  <c r="D124" i="10"/>
  <c r="B125" i="2"/>
  <c r="F124" i="10"/>
  <c r="C124" i="3"/>
  <c r="S155" i="7"/>
  <c r="C155" i="8" s="1"/>
  <c r="N155" i="7"/>
  <c r="W155" i="7" s="1"/>
  <c r="F156" i="7" s="1"/>
  <c r="AB109" i="3"/>
  <c r="L109" i="10" s="1"/>
  <c r="H110" i="3"/>
  <c r="K155" i="7" l="1"/>
  <c r="AQ78" i="8"/>
  <c r="G79" i="8" s="1"/>
  <c r="AG78" i="8"/>
  <c r="AH78" i="8" s="1"/>
  <c r="AN78" i="8" s="1"/>
  <c r="AR78" i="8" s="1"/>
  <c r="H79" i="8" s="1"/>
  <c r="C125" i="10"/>
  <c r="K125" i="2"/>
  <c r="D125" i="2"/>
  <c r="C125" i="2"/>
  <c r="E125" i="2" s="1"/>
  <c r="O156" i="7"/>
  <c r="I110" i="3"/>
  <c r="L110" i="3" s="1"/>
  <c r="M110" i="3"/>
  <c r="AO78" i="8"/>
  <c r="I79" i="8"/>
  <c r="F125" i="2" l="1"/>
  <c r="L155" i="7"/>
  <c r="V155" i="7" s="1"/>
  <c r="T155" i="7"/>
  <c r="D155" i="8" s="1"/>
  <c r="L125" i="2"/>
  <c r="P156" i="7"/>
  <c r="Q156" i="7" s="1"/>
  <c r="U155" i="7"/>
  <c r="Z155" i="7"/>
  <c r="AA155" i="7" s="1"/>
  <c r="B155" i="7" s="1"/>
  <c r="B155" i="8" s="1"/>
  <c r="U155" i="8" s="1"/>
  <c r="W155" i="8" s="1"/>
  <c r="Q110" i="3"/>
  <c r="J110" i="3"/>
  <c r="K110" i="3" s="1"/>
  <c r="O79" i="8"/>
  <c r="AS78" i="8"/>
  <c r="J79" i="8"/>
  <c r="N79" i="8" s="1"/>
  <c r="R79" i="8" s="1"/>
  <c r="G125" i="2" l="1"/>
  <c r="E156" i="7"/>
  <c r="E125" i="10"/>
  <c r="B125" i="3"/>
  <c r="I125" i="2"/>
  <c r="H125" i="2"/>
  <c r="Y156" i="7"/>
  <c r="E156" i="8"/>
  <c r="X155" i="7"/>
  <c r="D156" i="7"/>
  <c r="M156" i="7"/>
  <c r="AC110" i="3"/>
  <c r="M110" i="10" s="1"/>
  <c r="U110" i="3"/>
  <c r="N110" i="3"/>
  <c r="K79" i="8"/>
  <c r="N156" i="7" l="1"/>
  <c r="W156" i="7" s="1"/>
  <c r="F157" i="7" s="1"/>
  <c r="C156" i="7"/>
  <c r="R156" i="7" s="1"/>
  <c r="AB155" i="7"/>
  <c r="I156" i="7"/>
  <c r="H156" i="7"/>
  <c r="M125" i="2"/>
  <c r="J125" i="2"/>
  <c r="G125" i="10"/>
  <c r="D125" i="3"/>
  <c r="V110" i="3"/>
  <c r="Y110" i="3" s="1"/>
  <c r="O110" i="3"/>
  <c r="X110" i="3"/>
  <c r="M79" i="8"/>
  <c r="L79" i="8"/>
  <c r="J156" i="7" l="1"/>
  <c r="S156" i="7"/>
  <c r="C156" i="8" s="1"/>
  <c r="O157" i="7"/>
  <c r="P110" i="3"/>
  <c r="P79" i="8"/>
  <c r="Q79" i="8" s="1"/>
  <c r="H110" i="10"/>
  <c r="X79" i="8"/>
  <c r="AI79" i="8"/>
  <c r="E111" i="3"/>
  <c r="C125" i="3"/>
  <c r="F125" i="10"/>
  <c r="B126" i="2"/>
  <c r="D125" i="10"/>
  <c r="AU79" i="8"/>
  <c r="I110" i="10"/>
  <c r="F111" i="3"/>
  <c r="R110" i="3"/>
  <c r="S110" i="3" s="1"/>
  <c r="W110" i="3"/>
  <c r="Z110" i="3" s="1"/>
  <c r="K156" i="7" l="1"/>
  <c r="T156" i="7" s="1"/>
  <c r="D156" i="8" s="1"/>
  <c r="P157" i="7"/>
  <c r="Q157" i="7" s="1"/>
  <c r="Y79" i="8"/>
  <c r="AA79" i="8" s="1"/>
  <c r="AJ79" i="8"/>
  <c r="S79" i="8"/>
  <c r="C126" i="10"/>
  <c r="K126" i="2"/>
  <c r="D126" i="2"/>
  <c r="L126" i="2" s="1"/>
  <c r="C126" i="2"/>
  <c r="E126" i="2" s="1"/>
  <c r="J110" i="10"/>
  <c r="G111" i="3"/>
  <c r="T110" i="3"/>
  <c r="AA110" i="3"/>
  <c r="K110" i="10" s="1"/>
  <c r="Z79" i="8"/>
  <c r="AB79" i="8" s="1"/>
  <c r="L156" i="7" l="1"/>
  <c r="V156" i="7" s="1"/>
  <c r="Z156" i="7" s="1"/>
  <c r="AA156" i="7" s="1"/>
  <c r="B156" i="7" s="1"/>
  <c r="E157" i="8"/>
  <c r="Y157" i="7"/>
  <c r="AK79" i="8"/>
  <c r="T79" i="8"/>
  <c r="V79" i="8" s="1"/>
  <c r="F126" i="2"/>
  <c r="E126" i="10"/>
  <c r="B126" i="3"/>
  <c r="G126" i="2"/>
  <c r="H126" i="2" s="1"/>
  <c r="H111" i="3"/>
  <c r="AB110" i="3"/>
  <c r="L110" i="10" s="1"/>
  <c r="AC79" i="8"/>
  <c r="AD79" i="8"/>
  <c r="U156" i="7" l="1"/>
  <c r="E157" i="7"/>
  <c r="M157" i="7" s="1"/>
  <c r="B156" i="8"/>
  <c r="AT79" i="8"/>
  <c r="G126" i="10"/>
  <c r="D126" i="3"/>
  <c r="I126" i="2"/>
  <c r="I111" i="3"/>
  <c r="L111" i="3" s="1"/>
  <c r="U156" i="8"/>
  <c r="W156" i="8" s="1"/>
  <c r="M111" i="3"/>
  <c r="X156" i="7"/>
  <c r="D157" i="7"/>
  <c r="AE79" i="8"/>
  <c r="AL79" i="8"/>
  <c r="N157" i="7" l="1"/>
  <c r="W157" i="7" s="1"/>
  <c r="F158" i="7" s="1"/>
  <c r="J126" i="2"/>
  <c r="M126" i="2"/>
  <c r="Q111" i="3"/>
  <c r="J111" i="3"/>
  <c r="K111" i="3" s="1"/>
  <c r="AB156" i="7"/>
  <c r="C157" i="7"/>
  <c r="R157" i="7" s="1"/>
  <c r="H157" i="7"/>
  <c r="I157" i="7"/>
  <c r="AF79" i="8"/>
  <c r="AM79" i="8" s="1"/>
  <c r="AQ79" i="8" s="1"/>
  <c r="G80" i="8" s="1"/>
  <c r="AP79" i="8"/>
  <c r="F80" i="8" s="1"/>
  <c r="O158" i="7" l="1"/>
  <c r="D126" i="10"/>
  <c r="B127" i="2"/>
  <c r="F126" i="10"/>
  <c r="C126" i="3"/>
  <c r="AC111" i="3"/>
  <c r="M111" i="10" s="1"/>
  <c r="U111" i="3"/>
  <c r="N111" i="3"/>
  <c r="S157" i="7"/>
  <c r="C157" i="8" s="1"/>
  <c r="J157" i="7"/>
  <c r="AG79" i="8"/>
  <c r="AH79" i="8" s="1"/>
  <c r="AN79" i="8" s="1"/>
  <c r="AR79" i="8" s="1"/>
  <c r="H80" i="8" s="1"/>
  <c r="P158" i="7" l="1"/>
  <c r="Q158" i="7" s="1"/>
  <c r="C127" i="2"/>
  <c r="C127" i="10"/>
  <c r="K127" i="2"/>
  <c r="D127" i="2"/>
  <c r="L127" i="2" s="1"/>
  <c r="O111" i="3"/>
  <c r="X111" i="3"/>
  <c r="V111" i="3"/>
  <c r="Y111" i="3" s="1"/>
  <c r="Y158" i="7"/>
  <c r="E158" i="8"/>
  <c r="K157" i="7"/>
  <c r="AO79" i="8"/>
  <c r="I80" i="8"/>
  <c r="B127" i="3" l="1"/>
  <c r="E127" i="10"/>
  <c r="E127" i="2"/>
  <c r="E112" i="3"/>
  <c r="H111" i="10"/>
  <c r="I111" i="10"/>
  <c r="F112" i="3"/>
  <c r="R111" i="3"/>
  <c r="S111" i="3" s="1"/>
  <c r="W111" i="3"/>
  <c r="Z111" i="3" s="1"/>
  <c r="P111" i="3"/>
  <c r="AS79" i="8"/>
  <c r="L157" i="7"/>
  <c r="T157" i="7"/>
  <c r="D157" i="8" s="1"/>
  <c r="J80" i="8"/>
  <c r="N80" i="8" s="1"/>
  <c r="R80" i="8" s="1"/>
  <c r="O80" i="8"/>
  <c r="F127" i="2" l="1"/>
  <c r="G112" i="3"/>
  <c r="J111" i="10"/>
  <c r="AA111" i="3"/>
  <c r="K111" i="10" s="1"/>
  <c r="T111" i="3"/>
  <c r="U157" i="7"/>
  <c r="V157" i="7"/>
  <c r="K80" i="8"/>
  <c r="AB111" i="3" l="1"/>
  <c r="L111" i="10" s="1"/>
  <c r="G127" i="2"/>
  <c r="H112" i="3"/>
  <c r="X157" i="7"/>
  <c r="D158" i="7"/>
  <c r="Z157" i="7"/>
  <c r="AA157" i="7" s="1"/>
  <c r="B157" i="7" s="1"/>
  <c r="B157" i="8" s="1"/>
  <c r="U157" i="8" s="1"/>
  <c r="W157" i="8" s="1"/>
  <c r="E158" i="7"/>
  <c r="M80" i="8"/>
  <c r="L80" i="8"/>
  <c r="I127" i="2" l="1"/>
  <c r="H127" i="2"/>
  <c r="I112" i="3"/>
  <c r="L112" i="3" s="1"/>
  <c r="M112" i="3"/>
  <c r="X80" i="8"/>
  <c r="P80" i="8"/>
  <c r="Q80" i="8" s="1"/>
  <c r="AI80" i="8"/>
  <c r="AU80" i="8"/>
  <c r="AB157" i="7"/>
  <c r="C158" i="7"/>
  <c r="R158" i="7" s="1"/>
  <c r="I158" i="7"/>
  <c r="H158" i="7"/>
  <c r="M158" i="7"/>
  <c r="S158" i="7" l="1"/>
  <c r="C158" i="8" s="1"/>
  <c r="Q112" i="3"/>
  <c r="J112" i="3"/>
  <c r="K112" i="3" s="1"/>
  <c r="J127" i="2"/>
  <c r="M127" i="2"/>
  <c r="D127" i="3"/>
  <c r="G127" i="10"/>
  <c r="Y80" i="8"/>
  <c r="AA80" i="8" s="1"/>
  <c r="S80" i="8"/>
  <c r="AJ80" i="8"/>
  <c r="J158" i="7"/>
  <c r="N158" i="7"/>
  <c r="W158" i="7" s="1"/>
  <c r="F159" i="7" s="1"/>
  <c r="Z80" i="8"/>
  <c r="AB80" i="8" s="1"/>
  <c r="U112" i="3"/>
  <c r="N112" i="3" l="1"/>
  <c r="AC112" i="3"/>
  <c r="M112" i="10" s="1"/>
  <c r="D127" i="10"/>
  <c r="B128" i="2"/>
  <c r="F127" i="10"/>
  <c r="C127" i="3"/>
  <c r="T80" i="8"/>
  <c r="V80" i="8" s="1"/>
  <c r="AT80" i="8" s="1"/>
  <c r="AK80" i="8"/>
  <c r="K158" i="7"/>
  <c r="O159" i="7"/>
  <c r="AC80" i="8"/>
  <c r="AD80" i="8" s="1"/>
  <c r="X112" i="3"/>
  <c r="V112" i="3"/>
  <c r="Y112" i="3" s="1"/>
  <c r="T158" i="7" l="1"/>
  <c r="D158" i="8" s="1"/>
  <c r="L158" i="7"/>
  <c r="V158" i="7" s="1"/>
  <c r="O112" i="3"/>
  <c r="C128" i="2"/>
  <c r="D128" i="2"/>
  <c r="K128" i="2"/>
  <c r="C128" i="10"/>
  <c r="P159" i="7"/>
  <c r="Q159" i="7" s="1"/>
  <c r="AE80" i="8"/>
  <c r="AL80" i="8"/>
  <c r="E113" i="3"/>
  <c r="H112" i="10"/>
  <c r="I112" i="10"/>
  <c r="F113" i="3"/>
  <c r="W112" i="3"/>
  <c r="Z112" i="3" s="1"/>
  <c r="U158" i="7" l="1"/>
  <c r="Z158" i="7"/>
  <c r="AA158" i="7" s="1"/>
  <c r="B158" i="7" s="1"/>
  <c r="B158" i="8" s="1"/>
  <c r="U158" i="8" s="1"/>
  <c r="W158" i="8" s="1"/>
  <c r="E159" i="7"/>
  <c r="R112" i="3"/>
  <c r="S112" i="3" s="1"/>
  <c r="P112" i="3"/>
  <c r="E128" i="2"/>
  <c r="L128" i="2"/>
  <c r="AF80" i="8"/>
  <c r="AM80" i="8" s="1"/>
  <c r="AQ80" i="8" s="1"/>
  <c r="G81" i="8" s="1"/>
  <c r="E159" i="8"/>
  <c r="Y159" i="7"/>
  <c r="AP80" i="8"/>
  <c r="F81" i="8" s="1"/>
  <c r="AA112" i="3"/>
  <c r="K112" i="10" s="1"/>
  <c r="J112" i="10"/>
  <c r="G113" i="3"/>
  <c r="M159" i="7" l="1"/>
  <c r="T112" i="3"/>
  <c r="X158" i="7"/>
  <c r="D159" i="7"/>
  <c r="F128" i="2"/>
  <c r="E128" i="10"/>
  <c r="B128" i="3"/>
  <c r="AG80" i="8"/>
  <c r="AH80" i="8" s="1"/>
  <c r="AN80" i="8" s="1"/>
  <c r="AR80" i="8" s="1"/>
  <c r="H81" i="8" s="1"/>
  <c r="H113" i="3"/>
  <c r="AB112" i="3" l="1"/>
  <c r="L112" i="10" s="1"/>
  <c r="N159" i="7"/>
  <c r="W159" i="7" s="1"/>
  <c r="F160" i="7" s="1"/>
  <c r="AB158" i="7"/>
  <c r="C159" i="7"/>
  <c r="R159" i="7" s="1"/>
  <c r="I159" i="7"/>
  <c r="H159" i="7"/>
  <c r="J159" i="7" s="1"/>
  <c r="G128" i="2"/>
  <c r="I81" i="8"/>
  <c r="AO80" i="8"/>
  <c r="O160" i="7"/>
  <c r="M113" i="3"/>
  <c r="I113" i="3"/>
  <c r="L113" i="3" s="1"/>
  <c r="S159" i="7" l="1"/>
  <c r="C159" i="8" s="1"/>
  <c r="K159" i="7"/>
  <c r="I128" i="2"/>
  <c r="H128" i="2"/>
  <c r="J81" i="8"/>
  <c r="N81" i="8" s="1"/>
  <c r="R81" i="8" s="1"/>
  <c r="O81" i="8"/>
  <c r="AS80" i="8"/>
  <c r="P160" i="7"/>
  <c r="Q160" i="7" s="1"/>
  <c r="Q113" i="3"/>
  <c r="J113" i="3"/>
  <c r="K113" i="3" s="1"/>
  <c r="L159" i="7" l="1"/>
  <c r="V159" i="7" s="1"/>
  <c r="T159" i="7"/>
  <c r="D159" i="8" s="1"/>
  <c r="J128" i="2"/>
  <c r="M128" i="2"/>
  <c r="G128" i="10"/>
  <c r="D128" i="3"/>
  <c r="K81" i="8"/>
  <c r="M81" i="8" s="1"/>
  <c r="Y160" i="7"/>
  <c r="E160" i="8"/>
  <c r="X81" i="8"/>
  <c r="P81" i="8"/>
  <c r="Q81" i="8" s="1"/>
  <c r="AI81" i="8"/>
  <c r="U113" i="3"/>
  <c r="N113" i="3"/>
  <c r="AC113" i="3"/>
  <c r="M113" i="10" s="1"/>
  <c r="E160" i="7" l="1"/>
  <c r="Z159" i="7"/>
  <c r="AA159" i="7" s="1"/>
  <c r="B159" i="7" s="1"/>
  <c r="B159" i="8" s="1"/>
  <c r="U159" i="8" s="1"/>
  <c r="W159" i="8" s="1"/>
  <c r="U159" i="7"/>
  <c r="B129" i="2"/>
  <c r="D128" i="10"/>
  <c r="C128" i="3"/>
  <c r="F128" i="10"/>
  <c r="L81" i="8"/>
  <c r="AU81" i="8" s="1"/>
  <c r="Y81" i="8"/>
  <c r="AA81" i="8" s="1"/>
  <c r="Z81" i="8"/>
  <c r="AB81" i="8" s="1"/>
  <c r="S81" i="8"/>
  <c r="AJ81" i="8"/>
  <c r="V113" i="3"/>
  <c r="Y113" i="3" s="1"/>
  <c r="O113" i="3"/>
  <c r="X113" i="3"/>
  <c r="M160" i="7" l="1"/>
  <c r="D160" i="7"/>
  <c r="X159" i="7"/>
  <c r="C129" i="2"/>
  <c r="D129" i="2"/>
  <c r="K129" i="2"/>
  <c r="C129" i="10"/>
  <c r="T81" i="8"/>
  <c r="V81" i="8" s="1"/>
  <c r="AK81" i="8"/>
  <c r="AC81" i="8"/>
  <c r="I113" i="10"/>
  <c r="F114" i="3"/>
  <c r="R113" i="3"/>
  <c r="S113" i="3" s="1"/>
  <c r="H113" i="10"/>
  <c r="E114" i="3"/>
  <c r="W113" i="3"/>
  <c r="Z113" i="3" s="1"/>
  <c r="P113" i="3"/>
  <c r="N160" i="7" l="1"/>
  <c r="W160" i="7" s="1"/>
  <c r="F161" i="7" s="1"/>
  <c r="O161" i="7" s="1"/>
  <c r="H160" i="7"/>
  <c r="J160" i="7" s="1"/>
  <c r="K160" i="7" s="1"/>
  <c r="I160" i="7"/>
  <c r="AB159" i="7"/>
  <c r="C160" i="7"/>
  <c r="R160" i="7" s="1"/>
  <c r="E129" i="2"/>
  <c r="L129" i="2"/>
  <c r="E129" i="10"/>
  <c r="B129" i="3"/>
  <c r="AD81" i="8"/>
  <c r="AT81" i="8"/>
  <c r="AA113" i="3"/>
  <c r="K113" i="10" s="1"/>
  <c r="G114" i="3"/>
  <c r="J113" i="10"/>
  <c r="T113" i="3"/>
  <c r="P161" i="7" l="1"/>
  <c r="Q161" i="7" s="1"/>
  <c r="F129" i="2"/>
  <c r="S160" i="7"/>
  <c r="C160" i="8" s="1"/>
  <c r="L160" i="7"/>
  <c r="V160" i="7" s="1"/>
  <c r="T160" i="7"/>
  <c r="D160" i="8" s="1"/>
  <c r="AL81" i="8"/>
  <c r="AP81" i="8" s="1"/>
  <c r="F82" i="8" s="1"/>
  <c r="AE81" i="8"/>
  <c r="H114" i="3"/>
  <c r="AB113" i="3"/>
  <c r="L113" i="10" s="1"/>
  <c r="E161" i="8" l="1"/>
  <c r="Y161" i="7"/>
  <c r="G129" i="2"/>
  <c r="H129" i="2" s="1"/>
  <c r="U160" i="7"/>
  <c r="E161" i="7"/>
  <c r="Z160" i="7"/>
  <c r="AA160" i="7" s="1"/>
  <c r="B160" i="7" s="1"/>
  <c r="D129" i="3"/>
  <c r="AF81" i="8"/>
  <c r="AM81" i="8" s="1"/>
  <c r="M114" i="3"/>
  <c r="I114" i="3"/>
  <c r="L114" i="3" s="1"/>
  <c r="G129" i="10" l="1"/>
  <c r="I129" i="2"/>
  <c r="X160" i="7"/>
  <c r="D161" i="7"/>
  <c r="M161" i="7"/>
  <c r="B160" i="8"/>
  <c r="M129" i="2"/>
  <c r="J129" i="2"/>
  <c r="AB160" i="7"/>
  <c r="AQ81" i="8"/>
  <c r="G82" i="8" s="1"/>
  <c r="AG81" i="8"/>
  <c r="AH81" i="8" s="1"/>
  <c r="AN81" i="8" s="1"/>
  <c r="AR81" i="8" s="1"/>
  <c r="H82" i="8" s="1"/>
  <c r="Q114" i="3"/>
  <c r="J114" i="3"/>
  <c r="K114" i="3" s="1"/>
  <c r="C161" i="7" l="1"/>
  <c r="R161" i="7" s="1"/>
  <c r="H161" i="7"/>
  <c r="I161" i="7"/>
  <c r="U160" i="8"/>
  <c r="W160" i="8" s="1"/>
  <c r="N161" i="7"/>
  <c r="W161" i="7" s="1"/>
  <c r="F162" i="7" s="1"/>
  <c r="F129" i="10"/>
  <c r="C129" i="3"/>
  <c r="B130" i="2"/>
  <c r="D129" i="10"/>
  <c r="J161" i="7"/>
  <c r="S161" i="7"/>
  <c r="C161" i="8" s="1"/>
  <c r="AO81" i="8"/>
  <c r="I82" i="8"/>
  <c r="J82" i="8" s="1"/>
  <c r="N82" i="8" s="1"/>
  <c r="O162" i="7"/>
  <c r="U114" i="3"/>
  <c r="N114" i="3"/>
  <c r="AC114" i="3"/>
  <c r="M114" i="10" s="1"/>
  <c r="D130" i="2" l="1"/>
  <c r="K130" i="2"/>
  <c r="C130" i="10"/>
  <c r="C130" i="2"/>
  <c r="E130" i="2" s="1"/>
  <c r="K161" i="7"/>
  <c r="T161" i="7" s="1"/>
  <c r="D161" i="8" s="1"/>
  <c r="AS81" i="8"/>
  <c r="R82" i="8"/>
  <c r="K82" i="8"/>
  <c r="M82" i="8" s="1"/>
  <c r="O82" i="8"/>
  <c r="P162" i="7"/>
  <c r="Q162" i="7" s="1"/>
  <c r="X114" i="3"/>
  <c r="V114" i="3"/>
  <c r="Y114" i="3" s="1"/>
  <c r="O114" i="3"/>
  <c r="F130" i="2" l="1"/>
  <c r="G130" i="2"/>
  <c r="H130" i="2" s="1"/>
  <c r="L130" i="2"/>
  <c r="L161" i="7"/>
  <c r="AI82" i="8"/>
  <c r="L82" i="8"/>
  <c r="X82" i="8"/>
  <c r="P82" i="8"/>
  <c r="Q82" i="8" s="1"/>
  <c r="Y162" i="7"/>
  <c r="E162" i="8"/>
  <c r="P114" i="3"/>
  <c r="E115" i="3"/>
  <c r="H114" i="10"/>
  <c r="I114" i="10"/>
  <c r="F115" i="3"/>
  <c r="R114" i="3"/>
  <c r="S114" i="3" s="1"/>
  <c r="W114" i="3"/>
  <c r="D130" i="3" l="1"/>
  <c r="G130" i="10"/>
  <c r="B130" i="3"/>
  <c r="E130" i="10"/>
  <c r="I130" i="2"/>
  <c r="V161" i="7"/>
  <c r="Y82" i="8"/>
  <c r="AA82" i="8" s="1"/>
  <c r="AU82" i="8"/>
  <c r="U161" i="7"/>
  <c r="AJ82" i="8"/>
  <c r="AK82" i="8" s="1"/>
  <c r="S82" i="8"/>
  <c r="Z82" i="8"/>
  <c r="AB82" i="8" s="1"/>
  <c r="AA114" i="3"/>
  <c r="K114" i="10" s="1"/>
  <c r="Z114" i="3"/>
  <c r="T114" i="3"/>
  <c r="M130" i="2" l="1"/>
  <c r="J130" i="2"/>
  <c r="Z161" i="7"/>
  <c r="AA161" i="7" s="1"/>
  <c r="B161" i="7" s="1"/>
  <c r="B161" i="8" s="1"/>
  <c r="U161" i="8" s="1"/>
  <c r="W161" i="8" s="1"/>
  <c r="AC82" i="8"/>
  <c r="E162" i="7"/>
  <c r="M162" i="7" s="1"/>
  <c r="X161" i="7"/>
  <c r="D162" i="7"/>
  <c r="T82" i="8"/>
  <c r="V82" i="8" s="1"/>
  <c r="AB114" i="3"/>
  <c r="L114" i="10" s="1"/>
  <c r="G115" i="3"/>
  <c r="J114" i="10"/>
  <c r="F130" i="10" l="1"/>
  <c r="C130" i="3"/>
  <c r="B131" i="2"/>
  <c r="D130" i="10"/>
  <c r="AD82" i="8"/>
  <c r="N162" i="7"/>
  <c r="W162" i="7" s="1"/>
  <c r="F163" i="7" s="1"/>
  <c r="O163" i="7" s="1"/>
  <c r="C162" i="7"/>
  <c r="R162" i="7" s="1"/>
  <c r="AB161" i="7"/>
  <c r="I162" i="7"/>
  <c r="H162" i="7"/>
  <c r="AT82" i="8"/>
  <c r="H115" i="3"/>
  <c r="AE82" i="8" l="1"/>
  <c r="AL82" i="8"/>
  <c r="J162" i="7"/>
  <c r="C131" i="10"/>
  <c r="K131" i="2"/>
  <c r="D131" i="2"/>
  <c r="L131" i="2" s="1"/>
  <c r="C131" i="2"/>
  <c r="E131" i="2" s="1"/>
  <c r="P163" i="7"/>
  <c r="Q163" i="7" s="1"/>
  <c r="AF82" i="8"/>
  <c r="AM82" i="8" s="1"/>
  <c r="AQ82" i="8" s="1"/>
  <c r="G83" i="8" s="1"/>
  <c r="AP82" i="8"/>
  <c r="F83" i="8" s="1"/>
  <c r="M115" i="3"/>
  <c r="S162" i="7"/>
  <c r="C162" i="8" s="1"/>
  <c r="I115" i="3"/>
  <c r="L115" i="3" s="1"/>
  <c r="K162" i="7" l="1"/>
  <c r="B131" i="3"/>
  <c r="E131" i="10"/>
  <c r="F131" i="2"/>
  <c r="Y163" i="7"/>
  <c r="E163" i="8"/>
  <c r="AG82" i="8"/>
  <c r="AH82" i="8" s="1"/>
  <c r="AN82" i="8" s="1"/>
  <c r="AR82" i="8" s="1"/>
  <c r="H83" i="8" s="1"/>
  <c r="Q115" i="3"/>
  <c r="J115" i="3"/>
  <c r="K115" i="3" s="1"/>
  <c r="L162" i="7" l="1"/>
  <c r="V162" i="7" s="1"/>
  <c r="T162" i="7"/>
  <c r="D162" i="8" s="1"/>
  <c r="Z162" i="7"/>
  <c r="AA162" i="7" s="1"/>
  <c r="B162" i="7" s="1"/>
  <c r="G131" i="2"/>
  <c r="H131" i="2" s="1"/>
  <c r="E163" i="7"/>
  <c r="M163" i="7" s="1"/>
  <c r="I83" i="8"/>
  <c r="AO82" i="8"/>
  <c r="B162" i="8"/>
  <c r="U162" i="8" s="1"/>
  <c r="W162" i="8" s="1"/>
  <c r="U115" i="3"/>
  <c r="N115" i="3"/>
  <c r="AC115" i="3"/>
  <c r="M115" i="10" s="1"/>
  <c r="U162" i="7" l="1"/>
  <c r="G131" i="10"/>
  <c r="D131" i="3"/>
  <c r="N163" i="7"/>
  <c r="W163" i="7" s="1"/>
  <c r="F164" i="7" s="1"/>
  <c r="I131" i="2"/>
  <c r="J83" i="8"/>
  <c r="N83" i="8" s="1"/>
  <c r="AS82" i="8"/>
  <c r="O83" i="8"/>
  <c r="X115" i="3"/>
  <c r="V115" i="3"/>
  <c r="Y115" i="3" s="1"/>
  <c r="O115" i="3"/>
  <c r="X162" i="7" l="1"/>
  <c r="D163" i="7"/>
  <c r="O164" i="7"/>
  <c r="M131" i="2"/>
  <c r="J131" i="2"/>
  <c r="R83" i="8"/>
  <c r="K83" i="8"/>
  <c r="M83" i="8" s="1"/>
  <c r="P164" i="7"/>
  <c r="Q164" i="7" s="1"/>
  <c r="P115" i="3"/>
  <c r="E116" i="3"/>
  <c r="H115" i="10"/>
  <c r="I115" i="10"/>
  <c r="F116" i="3"/>
  <c r="R115" i="3"/>
  <c r="S115" i="3" s="1"/>
  <c r="W115" i="3"/>
  <c r="AB162" i="7" l="1"/>
  <c r="C163" i="7"/>
  <c r="R163" i="7" s="1"/>
  <c r="I163" i="7"/>
  <c r="S163" i="7" s="1"/>
  <c r="C163" i="8" s="1"/>
  <c r="H163" i="7"/>
  <c r="J163" i="7" s="1"/>
  <c r="K163" i="7" s="1"/>
  <c r="F131" i="10"/>
  <c r="C131" i="3"/>
  <c r="B132" i="2"/>
  <c r="D131" i="10"/>
  <c r="P83" i="8"/>
  <c r="Q83" i="8" s="1"/>
  <c r="S83" i="8" s="1"/>
  <c r="AI83" i="8"/>
  <c r="AJ83" i="8" s="1"/>
  <c r="X83" i="8"/>
  <c r="L83" i="8"/>
  <c r="E164" i="8"/>
  <c r="Y164" i="7"/>
  <c r="AA115" i="3"/>
  <c r="K115" i="10" s="1"/>
  <c r="Z115" i="3"/>
  <c r="T115" i="3"/>
  <c r="T163" i="7" l="1"/>
  <c r="D163" i="8" s="1"/>
  <c r="L163" i="7"/>
  <c r="V163" i="7" s="1"/>
  <c r="C132" i="10"/>
  <c r="K132" i="2"/>
  <c r="D132" i="2"/>
  <c r="L132" i="2" s="1"/>
  <c r="C132" i="2"/>
  <c r="E132" i="2" s="1"/>
  <c r="AU83" i="8"/>
  <c r="Y83" i="8"/>
  <c r="AA83" i="8" s="1"/>
  <c r="T83" i="8"/>
  <c r="V83" i="8" s="1"/>
  <c r="E164" i="7"/>
  <c r="Z83" i="8"/>
  <c r="AB83" i="8" s="1"/>
  <c r="AK83" i="8"/>
  <c r="AB115" i="3"/>
  <c r="L115" i="10" s="1"/>
  <c r="G116" i="3"/>
  <c r="J115" i="10"/>
  <c r="Z163" i="7" l="1"/>
  <c r="AA163" i="7" s="1"/>
  <c r="B163" i="7" s="1"/>
  <c r="U163" i="7"/>
  <c r="B132" i="3"/>
  <c r="E132" i="10"/>
  <c r="F132" i="2"/>
  <c r="G132" i="2" s="1"/>
  <c r="H132" i="2" s="1"/>
  <c r="M164" i="7"/>
  <c r="D164" i="7"/>
  <c r="X163" i="7"/>
  <c r="AT83" i="8"/>
  <c r="AC83" i="8"/>
  <c r="AD83" i="8"/>
  <c r="H164" i="7"/>
  <c r="I164" i="7"/>
  <c r="AB163" i="7"/>
  <c r="C164" i="7"/>
  <c r="H116" i="3"/>
  <c r="B163" i="8" l="1"/>
  <c r="U163" i="8" s="1"/>
  <c r="W163" i="8" s="1"/>
  <c r="G132" i="10"/>
  <c r="D132" i="3"/>
  <c r="I132" i="2"/>
  <c r="N164" i="7"/>
  <c r="W164" i="7" s="1"/>
  <c r="F165" i="7" s="1"/>
  <c r="AL83" i="8"/>
  <c r="AE83" i="8"/>
  <c r="J164" i="7"/>
  <c r="R164" i="7"/>
  <c r="S164" i="7" s="1"/>
  <c r="C164" i="8" s="1"/>
  <c r="M116" i="3"/>
  <c r="I116" i="3"/>
  <c r="L116" i="3" s="1"/>
  <c r="O165" i="7" l="1"/>
  <c r="J132" i="2"/>
  <c r="M132" i="2"/>
  <c r="P165" i="7"/>
  <c r="Q165" i="7" s="1"/>
  <c r="AP83" i="8"/>
  <c r="F84" i="8" s="1"/>
  <c r="AF83" i="8"/>
  <c r="AM83" i="8" s="1"/>
  <c r="AQ83" i="8" s="1"/>
  <c r="G84" i="8" s="1"/>
  <c r="K164" i="7"/>
  <c r="T164" i="7" s="1"/>
  <c r="D164" i="8" s="1"/>
  <c r="Q116" i="3"/>
  <c r="J116" i="3"/>
  <c r="K116" i="3" s="1"/>
  <c r="B133" i="2" l="1"/>
  <c r="D132" i="10"/>
  <c r="C132" i="3"/>
  <c r="F132" i="10"/>
  <c r="E165" i="8"/>
  <c r="Y165" i="7"/>
  <c r="L164" i="7"/>
  <c r="V164" i="7" s="1"/>
  <c r="AG83" i="8"/>
  <c r="AH83" i="8" s="1"/>
  <c r="AN83" i="8" s="1"/>
  <c r="AR83" i="8" s="1"/>
  <c r="H84" i="8" s="1"/>
  <c r="U116" i="3"/>
  <c r="N116" i="3"/>
  <c r="AC116" i="3"/>
  <c r="M116" i="10" s="1"/>
  <c r="D133" i="2" l="1"/>
  <c r="K133" i="2"/>
  <c r="C133" i="2"/>
  <c r="C133" i="10"/>
  <c r="U164" i="7"/>
  <c r="E165" i="7"/>
  <c r="Z164" i="7"/>
  <c r="AA164" i="7" s="1"/>
  <c r="B164" i="7" s="1"/>
  <c r="AO83" i="8"/>
  <c r="I84" i="8"/>
  <c r="D165" i="7"/>
  <c r="X164" i="7"/>
  <c r="C165" i="7"/>
  <c r="R165" i="7" s="1"/>
  <c r="X116" i="3"/>
  <c r="V116" i="3"/>
  <c r="Y116" i="3" s="1"/>
  <c r="O116" i="3"/>
  <c r="P116" i="3" l="1"/>
  <c r="M165" i="7"/>
  <c r="AB164" i="7"/>
  <c r="O84" i="8"/>
  <c r="B164" i="8"/>
  <c r="U164" i="8" s="1"/>
  <c r="W164" i="8" s="1"/>
  <c r="E133" i="2"/>
  <c r="F133" i="2" s="1"/>
  <c r="L133" i="2"/>
  <c r="J84" i="8"/>
  <c r="N84" i="8" s="1"/>
  <c r="AS83" i="8"/>
  <c r="I165" i="7"/>
  <c r="H165" i="7"/>
  <c r="N165" i="7"/>
  <c r="W165" i="7" s="1"/>
  <c r="F166" i="7" s="1"/>
  <c r="O166" i="7" s="1"/>
  <c r="E117" i="3"/>
  <c r="H116" i="10"/>
  <c r="I116" i="10"/>
  <c r="F117" i="3"/>
  <c r="R116" i="3"/>
  <c r="S116" i="3" s="1"/>
  <c r="W116" i="3"/>
  <c r="Z116" i="3" s="1"/>
  <c r="B133" i="3" l="1"/>
  <c r="E133" i="10"/>
  <c r="G133" i="2"/>
  <c r="R84" i="8"/>
  <c r="K84" i="8"/>
  <c r="M84" i="8" s="1"/>
  <c r="J165" i="7"/>
  <c r="P166" i="7"/>
  <c r="Q166" i="7" s="1"/>
  <c r="S165" i="7"/>
  <c r="C165" i="8" s="1"/>
  <c r="T116" i="3"/>
  <c r="G117" i="3"/>
  <c r="J116" i="10"/>
  <c r="AA116" i="3"/>
  <c r="K116" i="10" s="1"/>
  <c r="K165" i="7" l="1"/>
  <c r="L165" i="7" s="1"/>
  <c r="V165" i="7" s="1"/>
  <c r="I133" i="2"/>
  <c r="H133" i="2"/>
  <c r="X84" i="8"/>
  <c r="P84" i="8"/>
  <c r="Q84" i="8" s="1"/>
  <c r="AI84" i="8"/>
  <c r="L84" i="8"/>
  <c r="AU84" i="8" s="1"/>
  <c r="T165" i="7"/>
  <c r="D165" i="8" s="1"/>
  <c r="Y166" i="7"/>
  <c r="E166" i="8"/>
  <c r="AB116" i="3"/>
  <c r="L116" i="10" s="1"/>
  <c r="H117" i="3"/>
  <c r="Z165" i="7" l="1"/>
  <c r="AA165" i="7" s="1"/>
  <c r="B165" i="7" s="1"/>
  <c r="B165" i="8" s="1"/>
  <c r="E166" i="7"/>
  <c r="M166" i="7" s="1"/>
  <c r="U165" i="7"/>
  <c r="AJ84" i="8"/>
  <c r="M133" i="2"/>
  <c r="J133" i="2"/>
  <c r="D133" i="3"/>
  <c r="G133" i="10"/>
  <c r="S84" i="8"/>
  <c r="Z84" i="8"/>
  <c r="AB84" i="8" s="1"/>
  <c r="Y84" i="8"/>
  <c r="AA84" i="8" s="1"/>
  <c r="M117" i="3"/>
  <c r="I117" i="3"/>
  <c r="L117" i="3" s="1"/>
  <c r="N166" i="7" l="1"/>
  <c r="W166" i="7" s="1"/>
  <c r="F167" i="7" s="1"/>
  <c r="X165" i="7"/>
  <c r="D166" i="7"/>
  <c r="U165" i="8"/>
  <c r="W165" i="8" s="1"/>
  <c r="AK84" i="8"/>
  <c r="F133" i="10"/>
  <c r="C133" i="3"/>
  <c r="D133" i="10"/>
  <c r="B134" i="2"/>
  <c r="C134" i="2" s="1"/>
  <c r="AC84" i="8"/>
  <c r="T84" i="8"/>
  <c r="V84" i="8" s="1"/>
  <c r="D134" i="2"/>
  <c r="K134" i="2"/>
  <c r="C134" i="10"/>
  <c r="Q117" i="3"/>
  <c r="J117" i="3"/>
  <c r="K117" i="3" s="1"/>
  <c r="C166" i="7" l="1"/>
  <c r="R166" i="7" s="1"/>
  <c r="AB165" i="7"/>
  <c r="H166" i="7"/>
  <c r="I166" i="7"/>
  <c r="O167" i="7"/>
  <c r="AD84" i="8"/>
  <c r="AT84" i="8"/>
  <c r="E134" i="2"/>
  <c r="L134" i="2"/>
  <c r="U117" i="3"/>
  <c r="N117" i="3"/>
  <c r="AC117" i="3"/>
  <c r="M117" i="10" s="1"/>
  <c r="S166" i="7" l="1"/>
  <c r="C166" i="8" s="1"/>
  <c r="P167" i="7"/>
  <c r="Q167" i="7" s="1"/>
  <c r="J166" i="7"/>
  <c r="K166" i="7" s="1"/>
  <c r="Y167" i="7"/>
  <c r="AE84" i="8"/>
  <c r="AL84" i="8"/>
  <c r="F134" i="2"/>
  <c r="E134" i="10"/>
  <c r="B134" i="3"/>
  <c r="X117" i="3"/>
  <c r="V117" i="3"/>
  <c r="Y117" i="3" s="1"/>
  <c r="O117" i="3"/>
  <c r="E167" i="8" l="1"/>
  <c r="L166" i="7"/>
  <c r="V166" i="7" s="1"/>
  <c r="T166" i="7"/>
  <c r="D166" i="8" s="1"/>
  <c r="AF84" i="8"/>
  <c r="AM84" i="8" s="1"/>
  <c r="AQ84" i="8" s="1"/>
  <c r="G85" i="8" s="1"/>
  <c r="AP84" i="8"/>
  <c r="F85" i="8" s="1"/>
  <c r="Z166" i="7"/>
  <c r="AA166" i="7" s="1"/>
  <c r="B166" i="7" s="1"/>
  <c r="E167" i="7"/>
  <c r="G134" i="2"/>
  <c r="U166" i="7"/>
  <c r="H117" i="10"/>
  <c r="P117" i="3"/>
  <c r="E118" i="3"/>
  <c r="I117" i="10"/>
  <c r="F118" i="3"/>
  <c r="R117" i="3"/>
  <c r="S117" i="3" s="1"/>
  <c r="W117" i="3"/>
  <c r="Z117" i="3" s="1"/>
  <c r="AG84" i="8" l="1"/>
  <c r="AH84" i="8" s="1"/>
  <c r="AN84" i="8" s="1"/>
  <c r="AR84" i="8" s="1"/>
  <c r="H85" i="8" s="1"/>
  <c r="M167" i="7"/>
  <c r="B166" i="8"/>
  <c r="I134" i="2"/>
  <c r="H134" i="2"/>
  <c r="D167" i="7"/>
  <c r="X166" i="7"/>
  <c r="I85" i="8"/>
  <c r="G118" i="3"/>
  <c r="J117" i="10"/>
  <c r="T117" i="3"/>
  <c r="AA117" i="3"/>
  <c r="K117" i="10" s="1"/>
  <c r="O85" i="8" l="1"/>
  <c r="G134" i="10"/>
  <c r="H167" i="7"/>
  <c r="AO84" i="8"/>
  <c r="D134" i="3"/>
  <c r="J85" i="8"/>
  <c r="N85" i="8" s="1"/>
  <c r="N167" i="7"/>
  <c r="W167" i="7" s="1"/>
  <c r="F168" i="7" s="1"/>
  <c r="O168" i="7" s="1"/>
  <c r="U166" i="8"/>
  <c r="W166" i="8" s="1"/>
  <c r="J134" i="2"/>
  <c r="M134" i="2"/>
  <c r="I167" i="7"/>
  <c r="AB166" i="7"/>
  <c r="C167" i="7"/>
  <c r="H118" i="3"/>
  <c r="AB117" i="3"/>
  <c r="L117" i="10" s="1"/>
  <c r="AS84" i="8" l="1"/>
  <c r="R85" i="8"/>
  <c r="K85" i="8"/>
  <c r="M85" i="8" s="1"/>
  <c r="F134" i="10"/>
  <c r="C134" i="3"/>
  <c r="D134" i="10"/>
  <c r="B135" i="2"/>
  <c r="J167" i="7"/>
  <c r="P168" i="7"/>
  <c r="Q168" i="7" s="1"/>
  <c r="R167" i="7"/>
  <c r="S167" i="7" s="1"/>
  <c r="C167" i="8" s="1"/>
  <c r="M118" i="3"/>
  <c r="I118" i="3"/>
  <c r="L118" i="3" s="1"/>
  <c r="AI85" i="8" l="1"/>
  <c r="P85" i="8"/>
  <c r="Q85" i="8" s="1"/>
  <c r="X85" i="8"/>
  <c r="L85" i="8"/>
  <c r="C135" i="2"/>
  <c r="D135" i="2"/>
  <c r="K135" i="2"/>
  <c r="C135" i="10"/>
  <c r="K167" i="7"/>
  <c r="AU85" i="8"/>
  <c r="Y168" i="7"/>
  <c r="E168" i="8"/>
  <c r="Q118" i="3"/>
  <c r="J118" i="3"/>
  <c r="K118" i="3" s="1"/>
  <c r="Y85" i="8" l="1"/>
  <c r="AA85" i="8" s="1"/>
  <c r="E135" i="2"/>
  <c r="S85" i="8"/>
  <c r="AJ85" i="8"/>
  <c r="L167" i="7"/>
  <c r="V167" i="7" s="1"/>
  <c r="T167" i="7"/>
  <c r="D167" i="8" s="1"/>
  <c r="L135" i="2"/>
  <c r="Z85" i="8"/>
  <c r="AB85" i="8" s="1"/>
  <c r="F135" i="2"/>
  <c r="AK85" i="8"/>
  <c r="T85" i="8"/>
  <c r="V85" i="8" s="1"/>
  <c r="U118" i="3"/>
  <c r="N118" i="3"/>
  <c r="AC118" i="3"/>
  <c r="M118" i="10" s="1"/>
  <c r="E135" i="10" l="1"/>
  <c r="U167" i="7"/>
  <c r="E168" i="7"/>
  <c r="Z167" i="7"/>
  <c r="AA167" i="7" s="1"/>
  <c r="B167" i="7" s="1"/>
  <c r="B135" i="3"/>
  <c r="X118" i="3"/>
  <c r="AC85" i="8"/>
  <c r="G135" i="2"/>
  <c r="H135" i="2" s="1"/>
  <c r="X167" i="7"/>
  <c r="D168" i="7"/>
  <c r="AT85" i="8"/>
  <c r="V118" i="3"/>
  <c r="Y118" i="3" s="1"/>
  <c r="O118" i="3"/>
  <c r="E119" i="3" l="1"/>
  <c r="H118" i="10"/>
  <c r="M168" i="7"/>
  <c r="B167" i="8"/>
  <c r="AD85" i="8"/>
  <c r="AB167" i="7"/>
  <c r="G135" i="10"/>
  <c r="D135" i="3"/>
  <c r="I135" i="2"/>
  <c r="C168" i="7"/>
  <c r="H168" i="7"/>
  <c r="I168" i="7"/>
  <c r="I118" i="10"/>
  <c r="F119" i="3"/>
  <c r="R118" i="3"/>
  <c r="S118" i="3" s="1"/>
  <c r="P118" i="3"/>
  <c r="W118" i="3"/>
  <c r="Z118" i="3" s="1"/>
  <c r="U167" i="8" l="1"/>
  <c r="W167" i="8" s="1"/>
  <c r="N168" i="7"/>
  <c r="W168" i="7" s="1"/>
  <c r="F169" i="7" s="1"/>
  <c r="AE85" i="8"/>
  <c r="AL85" i="8"/>
  <c r="M135" i="2"/>
  <c r="J135" i="2"/>
  <c r="R168" i="7"/>
  <c r="J168" i="7"/>
  <c r="G119" i="3"/>
  <c r="J118" i="10"/>
  <c r="AA118" i="3"/>
  <c r="K118" i="10" s="1"/>
  <c r="T118" i="3"/>
  <c r="O169" i="7" l="1"/>
  <c r="AF85" i="8"/>
  <c r="AM85" i="8" s="1"/>
  <c r="AQ85" i="8" s="1"/>
  <c r="G86" i="8" s="1"/>
  <c r="AP85" i="8"/>
  <c r="F86" i="8" s="1"/>
  <c r="S168" i="7"/>
  <c r="C168" i="8" s="1"/>
  <c r="D135" i="10"/>
  <c r="B136" i="2"/>
  <c r="F135" i="10"/>
  <c r="C135" i="3"/>
  <c r="K168" i="7"/>
  <c r="H119" i="3"/>
  <c r="AB118" i="3"/>
  <c r="L118" i="10" s="1"/>
  <c r="P169" i="7" l="1"/>
  <c r="Q169" i="7" s="1"/>
  <c r="T168" i="7"/>
  <c r="D168" i="8" s="1"/>
  <c r="AG85" i="8"/>
  <c r="AH85" i="8" s="1"/>
  <c r="AN85" i="8" s="1"/>
  <c r="D136" i="2"/>
  <c r="C136" i="2"/>
  <c r="K136" i="2"/>
  <c r="C136" i="10"/>
  <c r="L168" i="7"/>
  <c r="V168" i="7" s="1"/>
  <c r="I119" i="3"/>
  <c r="L119" i="3" s="1"/>
  <c r="M119" i="3"/>
  <c r="E169" i="8" l="1"/>
  <c r="Y169" i="7"/>
  <c r="AO85" i="8"/>
  <c r="AR85" i="8"/>
  <c r="H86" i="8" s="1"/>
  <c r="E136" i="2"/>
  <c r="L136" i="2"/>
  <c r="Z168" i="7"/>
  <c r="AA168" i="7" s="1"/>
  <c r="B168" i="7" s="1"/>
  <c r="E169" i="7"/>
  <c r="U168" i="7"/>
  <c r="J119" i="3"/>
  <c r="K119" i="3" s="1"/>
  <c r="Q119" i="3"/>
  <c r="E136" i="10" l="1"/>
  <c r="I86" i="8"/>
  <c r="AS85" i="8"/>
  <c r="F136" i="2"/>
  <c r="B136" i="3"/>
  <c r="B168" i="8"/>
  <c r="M169" i="7"/>
  <c r="D169" i="7"/>
  <c r="X168" i="7"/>
  <c r="N119" i="3"/>
  <c r="U119" i="3"/>
  <c r="AC119" i="3"/>
  <c r="M119" i="10" s="1"/>
  <c r="V119" i="3" l="1"/>
  <c r="Y119" i="3" s="1"/>
  <c r="O119" i="3"/>
  <c r="J86" i="8"/>
  <c r="N86" i="8" s="1"/>
  <c r="O86" i="8"/>
  <c r="I169" i="7"/>
  <c r="AB168" i="7"/>
  <c r="C169" i="7"/>
  <c r="N169" i="7"/>
  <c r="W169" i="7" s="1"/>
  <c r="F170" i="7" s="1"/>
  <c r="G136" i="2"/>
  <c r="H136" i="2" s="1"/>
  <c r="U168" i="8"/>
  <c r="W168" i="8" s="1"/>
  <c r="H169" i="7"/>
  <c r="X119" i="3"/>
  <c r="F120" i="3" l="1"/>
  <c r="W119" i="3"/>
  <c r="Z119" i="3" s="1"/>
  <c r="P119" i="3"/>
  <c r="R119" i="3"/>
  <c r="S119" i="3" s="1"/>
  <c r="I119" i="10"/>
  <c r="R169" i="7"/>
  <c r="S169" i="7" s="1"/>
  <c r="C169" i="8" s="1"/>
  <c r="O170" i="7"/>
  <c r="I136" i="2"/>
  <c r="G136" i="10"/>
  <c r="R86" i="8"/>
  <c r="K86" i="8"/>
  <c r="M86" i="8" s="1"/>
  <c r="D136" i="3"/>
  <c r="E120" i="3"/>
  <c r="J169" i="7"/>
  <c r="H119" i="10"/>
  <c r="T119" i="3" l="1"/>
  <c r="J119" i="10"/>
  <c r="G120" i="3"/>
  <c r="AA119" i="3"/>
  <c r="K119" i="10" s="1"/>
  <c r="P170" i="7"/>
  <c r="Q170" i="7" s="1"/>
  <c r="J136" i="2"/>
  <c r="M136" i="2"/>
  <c r="X86" i="8"/>
  <c r="P86" i="8"/>
  <c r="Q86" i="8" s="1"/>
  <c r="AI86" i="8"/>
  <c r="L86" i="8"/>
  <c r="K169" i="7"/>
  <c r="AU86" i="8" l="1"/>
  <c r="H120" i="3"/>
  <c r="AB119" i="3"/>
  <c r="L119" i="10" s="1"/>
  <c r="AJ86" i="8"/>
  <c r="E170" i="8"/>
  <c r="Y170" i="7"/>
  <c r="M120" i="3"/>
  <c r="B137" i="2"/>
  <c r="D136" i="10"/>
  <c r="C136" i="3"/>
  <c r="F136" i="10"/>
  <c r="Y86" i="8"/>
  <c r="AA86" i="8" s="1"/>
  <c r="S86" i="8"/>
  <c r="T169" i="7"/>
  <c r="D169" i="8" s="1"/>
  <c r="L169" i="7"/>
  <c r="V169" i="7" s="1"/>
  <c r="Z86" i="8"/>
  <c r="AB86" i="8" s="1"/>
  <c r="I120" i="3" l="1"/>
  <c r="L120" i="3" s="1"/>
  <c r="AK86" i="8"/>
  <c r="D137" i="2"/>
  <c r="K137" i="2"/>
  <c r="C137" i="2"/>
  <c r="C137" i="10"/>
  <c r="T86" i="8"/>
  <c r="V86" i="8" s="1"/>
  <c r="AC86" i="8"/>
  <c r="E170" i="7"/>
  <c r="Z169" i="7"/>
  <c r="AA169" i="7" s="1"/>
  <c r="B169" i="7" s="1"/>
  <c r="U169" i="7"/>
  <c r="Q120" i="3" l="1"/>
  <c r="J120" i="3"/>
  <c r="K120" i="3" s="1"/>
  <c r="AT86" i="8"/>
  <c r="M170" i="7"/>
  <c r="D170" i="7"/>
  <c r="B169" i="8"/>
  <c r="L137" i="2"/>
  <c r="E137" i="2"/>
  <c r="AD86" i="8"/>
  <c r="X169" i="7"/>
  <c r="H170" i="7"/>
  <c r="U120" i="3"/>
  <c r="N120" i="3"/>
  <c r="AC120" i="3" l="1"/>
  <c r="M120" i="10" s="1"/>
  <c r="I170" i="7"/>
  <c r="N170" i="7"/>
  <c r="E137" i="10"/>
  <c r="B137" i="3"/>
  <c r="U169" i="8"/>
  <c r="W169" i="8" s="1"/>
  <c r="F137" i="2"/>
  <c r="AL86" i="8"/>
  <c r="AE86" i="8"/>
  <c r="AB169" i="7"/>
  <c r="C170" i="7"/>
  <c r="AF86" i="8"/>
  <c r="AM86" i="8" s="1"/>
  <c r="AQ86" i="8" s="1"/>
  <c r="G87" i="8" s="1"/>
  <c r="X120" i="3"/>
  <c r="R170" i="7"/>
  <c r="V120" i="3"/>
  <c r="Y120" i="3" s="1"/>
  <c r="O120" i="3"/>
  <c r="S170" i="7" l="1"/>
  <c r="C170" i="8" s="1"/>
  <c r="W170" i="7"/>
  <c r="F171" i="7" s="1"/>
  <c r="J170" i="7"/>
  <c r="AP86" i="8"/>
  <c r="F87" i="8" s="1"/>
  <c r="G137" i="2"/>
  <c r="H137" i="2" s="1"/>
  <c r="AG86" i="8"/>
  <c r="AH86" i="8" s="1"/>
  <c r="AN86" i="8" s="1"/>
  <c r="AR86" i="8" s="1"/>
  <c r="H87" i="8" s="1"/>
  <c r="E121" i="3"/>
  <c r="H120" i="10"/>
  <c r="I120" i="10"/>
  <c r="F121" i="3"/>
  <c r="R120" i="3"/>
  <c r="S120" i="3" s="1"/>
  <c r="O171" i="7"/>
  <c r="W120" i="3"/>
  <c r="Z120" i="3" s="1"/>
  <c r="P120" i="3"/>
  <c r="K170" i="7" l="1"/>
  <c r="T170" i="7" s="1"/>
  <c r="D170" i="8" s="1"/>
  <c r="D137" i="3"/>
  <c r="G137" i="10"/>
  <c r="I137" i="2"/>
  <c r="P171" i="7"/>
  <c r="Q171" i="7" s="1"/>
  <c r="I87" i="8"/>
  <c r="AO86" i="8"/>
  <c r="G121" i="3"/>
  <c r="J120" i="10"/>
  <c r="T120" i="3"/>
  <c r="AA120" i="3"/>
  <c r="K120" i="10" s="1"/>
  <c r="L170" i="7" l="1"/>
  <c r="U170" i="7" s="1"/>
  <c r="J137" i="2"/>
  <c r="M137" i="2"/>
  <c r="Y171" i="7"/>
  <c r="E171" i="8"/>
  <c r="O87" i="8"/>
  <c r="J87" i="8"/>
  <c r="N87" i="8" s="1"/>
  <c r="AB120" i="3"/>
  <c r="L120" i="10" s="1"/>
  <c r="AS86" i="8"/>
  <c r="H121" i="3"/>
  <c r="D171" i="7" l="1"/>
  <c r="V170" i="7"/>
  <c r="Z170" i="7" s="1"/>
  <c r="AA170" i="7" s="1"/>
  <c r="B170" i="7" s="1"/>
  <c r="D137" i="10"/>
  <c r="B138" i="2"/>
  <c r="F137" i="10"/>
  <c r="C137" i="3"/>
  <c r="M121" i="3"/>
  <c r="R87" i="8"/>
  <c r="K87" i="8"/>
  <c r="M87" i="8" s="1"/>
  <c r="I121" i="3"/>
  <c r="L121" i="3" s="1"/>
  <c r="E171" i="7" l="1"/>
  <c r="I171" i="7"/>
  <c r="H171" i="7"/>
  <c r="X170" i="7"/>
  <c r="B170" i="8"/>
  <c r="C138" i="10"/>
  <c r="K138" i="2"/>
  <c r="D138" i="2"/>
  <c r="C138" i="2"/>
  <c r="E138" i="2" s="1"/>
  <c r="X87" i="8"/>
  <c r="P87" i="8"/>
  <c r="Q87" i="8" s="1"/>
  <c r="AI87" i="8"/>
  <c r="L87" i="8"/>
  <c r="Q121" i="3"/>
  <c r="J121" i="3"/>
  <c r="K121" i="3" s="1"/>
  <c r="U170" i="8" l="1"/>
  <c r="W170" i="8" s="1"/>
  <c r="C171" i="7"/>
  <c r="R171" i="7" s="1"/>
  <c r="S171" i="7" s="1"/>
  <c r="C171" i="8" s="1"/>
  <c r="AB170" i="7"/>
  <c r="M171" i="7"/>
  <c r="J171" i="7"/>
  <c r="L138" i="2"/>
  <c r="F138" i="2"/>
  <c r="AU87" i="8"/>
  <c r="Y87" i="8"/>
  <c r="AA87" i="8" s="1"/>
  <c r="S87" i="8"/>
  <c r="AJ87" i="8"/>
  <c r="U121" i="3"/>
  <c r="N121" i="3"/>
  <c r="AC121" i="3"/>
  <c r="M121" i="10" s="1"/>
  <c r="E138" i="10" l="1"/>
  <c r="N171" i="7"/>
  <c r="W171" i="7" s="1"/>
  <c r="F172" i="7" s="1"/>
  <c r="K171" i="7"/>
  <c r="B138" i="3"/>
  <c r="G138" i="2"/>
  <c r="Z87" i="8"/>
  <c r="AB87" i="8" s="1"/>
  <c r="T87" i="8"/>
  <c r="V87" i="8" s="1"/>
  <c r="AK87" i="8"/>
  <c r="X121" i="3"/>
  <c r="V121" i="3"/>
  <c r="Y121" i="3" s="1"/>
  <c r="O121" i="3"/>
  <c r="O172" i="7" l="1"/>
  <c r="L171" i="7"/>
  <c r="V171" i="7" s="1"/>
  <c r="T171" i="7"/>
  <c r="D171" i="8" s="1"/>
  <c r="I138" i="2"/>
  <c r="H138" i="2"/>
  <c r="AC87" i="8"/>
  <c r="H121" i="10"/>
  <c r="AT87" i="8"/>
  <c r="E122" i="3"/>
  <c r="I121" i="10"/>
  <c r="F122" i="3"/>
  <c r="R121" i="3"/>
  <c r="S121" i="3" s="1"/>
  <c r="P121" i="3"/>
  <c r="W121" i="3"/>
  <c r="Z121" i="3" s="1"/>
  <c r="P172" i="7" l="1"/>
  <c r="Q172" i="7" s="1"/>
  <c r="Z171" i="7"/>
  <c r="AA171" i="7" s="1"/>
  <c r="B171" i="7" s="1"/>
  <c r="B171" i="8" s="1"/>
  <c r="E172" i="7"/>
  <c r="M172" i="7" s="1"/>
  <c r="U171" i="7"/>
  <c r="J138" i="2"/>
  <c r="M138" i="2"/>
  <c r="D138" i="3"/>
  <c r="G138" i="10"/>
  <c r="E172" i="8"/>
  <c r="Y172" i="7"/>
  <c r="N172" i="7"/>
  <c r="W172" i="7" s="1"/>
  <c r="F173" i="7" s="1"/>
  <c r="AD87" i="8"/>
  <c r="U171" i="8"/>
  <c r="W171" i="8" s="1"/>
  <c r="D172" i="7"/>
  <c r="X171" i="7"/>
  <c r="G122" i="3"/>
  <c r="J121" i="10"/>
  <c r="T121" i="3"/>
  <c r="AA121" i="3"/>
  <c r="K121" i="10" s="1"/>
  <c r="B139" i="2" l="1"/>
  <c r="D138" i="10"/>
  <c r="C138" i="3"/>
  <c r="F138" i="10"/>
  <c r="H172" i="7"/>
  <c r="I172" i="7"/>
  <c r="AB171" i="7"/>
  <c r="C172" i="7"/>
  <c r="O173" i="7"/>
  <c r="AE87" i="8"/>
  <c r="AL87" i="8"/>
  <c r="H122" i="3"/>
  <c r="AB121" i="3"/>
  <c r="L121" i="10" s="1"/>
  <c r="R172" i="7" l="1"/>
  <c r="P173" i="7"/>
  <c r="Q173" i="7" s="1"/>
  <c r="AF87" i="8"/>
  <c r="AM87" i="8" s="1"/>
  <c r="AQ87" i="8" s="1"/>
  <c r="G88" i="8" s="1"/>
  <c r="AP87" i="8"/>
  <c r="F88" i="8" s="1"/>
  <c r="C139" i="2"/>
  <c r="C139" i="10"/>
  <c r="K139" i="2"/>
  <c r="D139" i="2"/>
  <c r="L139" i="2" s="1"/>
  <c r="J172" i="7"/>
  <c r="M122" i="3"/>
  <c r="I122" i="3"/>
  <c r="L122" i="3" s="1"/>
  <c r="E139" i="2" l="1"/>
  <c r="S172" i="7"/>
  <c r="C172" i="8" s="1"/>
  <c r="Y173" i="7"/>
  <c r="E173" i="8"/>
  <c r="AG87" i="8"/>
  <c r="AH87" i="8" s="1"/>
  <c r="AN87" i="8" s="1"/>
  <c r="AR87" i="8" s="1"/>
  <c r="H88" i="8" s="1"/>
  <c r="K172" i="7"/>
  <c r="B139" i="3"/>
  <c r="E139" i="10"/>
  <c r="Q122" i="3"/>
  <c r="J122" i="3"/>
  <c r="K122" i="3" s="1"/>
  <c r="F139" i="2" l="1"/>
  <c r="I88" i="8"/>
  <c r="AO87" i="8"/>
  <c r="L172" i="7"/>
  <c r="V172" i="7" s="1"/>
  <c r="T172" i="7"/>
  <c r="D172" i="8" s="1"/>
  <c r="U122" i="3"/>
  <c r="N122" i="3"/>
  <c r="AC122" i="3"/>
  <c r="M122" i="10" s="1"/>
  <c r="G139" i="2" l="1"/>
  <c r="H139" i="2" s="1"/>
  <c r="G139" i="10" s="1"/>
  <c r="O88" i="8"/>
  <c r="J88" i="8"/>
  <c r="N88" i="8" s="1"/>
  <c r="AS87" i="8"/>
  <c r="Z172" i="7"/>
  <c r="AA172" i="7" s="1"/>
  <c r="B172" i="7" s="1"/>
  <c r="E173" i="7"/>
  <c r="U172" i="7"/>
  <c r="X122" i="3"/>
  <c r="V122" i="3"/>
  <c r="Y122" i="3" s="1"/>
  <c r="O122" i="3"/>
  <c r="I139" i="2" l="1"/>
  <c r="D139" i="3"/>
  <c r="R88" i="8"/>
  <c r="K88" i="8"/>
  <c r="M88" i="8" s="1"/>
  <c r="J139" i="2"/>
  <c r="M139" i="2"/>
  <c r="M173" i="7"/>
  <c r="B172" i="8"/>
  <c r="X172" i="7"/>
  <c r="D173" i="7"/>
  <c r="H122" i="10"/>
  <c r="N173" i="7"/>
  <c r="W173" i="7" s="1"/>
  <c r="F174" i="7" s="1"/>
  <c r="E123" i="3"/>
  <c r="U172" i="8"/>
  <c r="W172" i="8" s="1"/>
  <c r="AB172" i="7"/>
  <c r="C173" i="7"/>
  <c r="P122" i="3"/>
  <c r="I122" i="10"/>
  <c r="F123" i="3"/>
  <c r="R122" i="3"/>
  <c r="S122" i="3" s="1"/>
  <c r="W122" i="3"/>
  <c r="Z122" i="3" s="1"/>
  <c r="L88" i="8" l="1"/>
  <c r="X88" i="8"/>
  <c r="P88" i="8"/>
  <c r="Q88" i="8" s="1"/>
  <c r="AI88" i="8"/>
  <c r="AJ88" i="8"/>
  <c r="D139" i="10"/>
  <c r="B140" i="2"/>
  <c r="C139" i="3"/>
  <c r="F139" i="10"/>
  <c r="I173" i="7"/>
  <c r="H173" i="7"/>
  <c r="J173" i="7" s="1"/>
  <c r="O174" i="7"/>
  <c r="R173" i="7"/>
  <c r="G123" i="3"/>
  <c r="J122" i="10"/>
  <c r="T122" i="3"/>
  <c r="AA122" i="3"/>
  <c r="K122" i="10" s="1"/>
  <c r="Y88" i="8" l="1"/>
  <c r="AA88" i="8" s="1"/>
  <c r="S88" i="8"/>
  <c r="AU88" i="8"/>
  <c r="AK88" i="8"/>
  <c r="K140" i="2"/>
  <c r="C140" i="10"/>
  <c r="D140" i="2"/>
  <c r="C140" i="2"/>
  <c r="S173" i="7"/>
  <c r="C173" i="8" s="1"/>
  <c r="K173" i="7"/>
  <c r="P174" i="7"/>
  <c r="Q174" i="7" s="1"/>
  <c r="T88" i="8"/>
  <c r="V88" i="8" s="1"/>
  <c r="E174" i="8"/>
  <c r="Y174" i="7"/>
  <c r="Z88" i="8"/>
  <c r="AB88" i="8" s="1"/>
  <c r="AC88" i="8" s="1"/>
  <c r="H123" i="3"/>
  <c r="AB122" i="3"/>
  <c r="L122" i="10" s="1"/>
  <c r="L140" i="2" l="1"/>
  <c r="E140" i="2"/>
  <c r="T173" i="7"/>
  <c r="D173" i="8" s="1"/>
  <c r="L173" i="7"/>
  <c r="V173" i="7" s="1"/>
  <c r="F140" i="2"/>
  <c r="AT88" i="8"/>
  <c r="AD88" i="8"/>
  <c r="M123" i="3"/>
  <c r="I123" i="3"/>
  <c r="L123" i="3" s="1"/>
  <c r="B140" i="3" l="1"/>
  <c r="E140" i="10"/>
  <c r="G140" i="2"/>
  <c r="H140" i="2" s="1"/>
  <c r="U173" i="7"/>
  <c r="E174" i="7"/>
  <c r="Z173" i="7"/>
  <c r="AA173" i="7" s="1"/>
  <c r="B173" i="7" s="1"/>
  <c r="AE88" i="8"/>
  <c r="AL88" i="8"/>
  <c r="D140" i="3"/>
  <c r="Q123" i="3"/>
  <c r="J123" i="3"/>
  <c r="K123" i="3" s="1"/>
  <c r="G140" i="10" l="1"/>
  <c r="M174" i="7"/>
  <c r="D174" i="7"/>
  <c r="I140" i="2"/>
  <c r="B173" i="8"/>
  <c r="X173" i="7"/>
  <c r="AF88" i="8"/>
  <c r="AM88" i="8" s="1"/>
  <c r="AQ88" i="8" s="1"/>
  <c r="G89" i="8" s="1"/>
  <c r="AP88" i="8"/>
  <c r="F89" i="8" s="1"/>
  <c r="N174" i="7"/>
  <c r="W174" i="7" s="1"/>
  <c r="F175" i="7" s="1"/>
  <c r="U123" i="3"/>
  <c r="N123" i="3"/>
  <c r="AC123" i="3"/>
  <c r="M123" i="10" s="1"/>
  <c r="H174" i="7" l="1"/>
  <c r="I174" i="7"/>
  <c r="J140" i="2"/>
  <c r="M140" i="2"/>
  <c r="U173" i="8"/>
  <c r="W173" i="8" s="1"/>
  <c r="AB173" i="7"/>
  <c r="C174" i="7"/>
  <c r="AG88" i="8"/>
  <c r="AH88" i="8" s="1"/>
  <c r="AN88" i="8" s="1"/>
  <c r="AR88" i="8" s="1"/>
  <c r="H89" i="8" s="1"/>
  <c r="O175" i="7"/>
  <c r="X123" i="3"/>
  <c r="V123" i="3"/>
  <c r="Y123" i="3" s="1"/>
  <c r="O123" i="3"/>
  <c r="J174" i="7" l="1"/>
  <c r="D140" i="10"/>
  <c r="B141" i="2"/>
  <c r="C140" i="3"/>
  <c r="F140" i="10"/>
  <c r="R174" i="7"/>
  <c r="S174" i="7" s="1"/>
  <c r="C174" i="8" s="1"/>
  <c r="I89" i="8"/>
  <c r="AO88" i="8"/>
  <c r="P175" i="7"/>
  <c r="E124" i="3"/>
  <c r="H123" i="10"/>
  <c r="P123" i="3"/>
  <c r="I123" i="10"/>
  <c r="F124" i="3"/>
  <c r="R123" i="3"/>
  <c r="S123" i="3" s="1"/>
  <c r="W123" i="3"/>
  <c r="Z123" i="3" s="1"/>
  <c r="K174" i="7" l="1"/>
  <c r="C141" i="10"/>
  <c r="K141" i="2"/>
  <c r="D141" i="2"/>
  <c r="C141" i="2"/>
  <c r="E141" i="2" s="1"/>
  <c r="J89" i="8"/>
  <c r="N89" i="8" s="1"/>
  <c r="O89" i="8"/>
  <c r="AS88" i="8"/>
  <c r="Q175" i="7"/>
  <c r="G124" i="3"/>
  <c r="J123" i="10"/>
  <c r="T123" i="3"/>
  <c r="AA123" i="3"/>
  <c r="K123" i="10" s="1"/>
  <c r="K89" i="8" l="1"/>
  <c r="M89" i="8" s="1"/>
  <c r="R89" i="8"/>
  <c r="L141" i="2"/>
  <c r="B141" i="3" s="1"/>
  <c r="T174" i="7"/>
  <c r="D174" i="8" s="1"/>
  <c r="L174" i="7"/>
  <c r="V174" i="7" s="1"/>
  <c r="F141" i="2"/>
  <c r="Y175" i="7"/>
  <c r="E175" i="8"/>
  <c r="G141" i="2"/>
  <c r="P89" i="8"/>
  <c r="Q89" i="8" s="1"/>
  <c r="H124" i="3"/>
  <c r="AB123" i="3"/>
  <c r="L123" i="10" s="1"/>
  <c r="E141" i="10" l="1"/>
  <c r="L89" i="8"/>
  <c r="AI89" i="8"/>
  <c r="X89" i="8"/>
  <c r="E175" i="7"/>
  <c r="Z174" i="7"/>
  <c r="AA174" i="7" s="1"/>
  <c r="B174" i="7" s="1"/>
  <c r="U174" i="7"/>
  <c r="I141" i="2"/>
  <c r="H141" i="2"/>
  <c r="S89" i="8"/>
  <c r="M124" i="3"/>
  <c r="I124" i="3"/>
  <c r="L124" i="3" s="1"/>
  <c r="AU89" i="8" l="1"/>
  <c r="Y89" i="8"/>
  <c r="AJ89" i="8"/>
  <c r="M175" i="7"/>
  <c r="B174" i="8"/>
  <c r="D175" i="7"/>
  <c r="X174" i="7"/>
  <c r="T89" i="8"/>
  <c r="V89" i="8" s="1"/>
  <c r="M141" i="2"/>
  <c r="J141" i="2"/>
  <c r="D141" i="3"/>
  <c r="G141" i="10"/>
  <c r="Z89" i="8"/>
  <c r="AB89" i="8" s="1"/>
  <c r="Q124" i="3"/>
  <c r="J124" i="3"/>
  <c r="K124" i="3" s="1"/>
  <c r="AA89" i="8" l="1"/>
  <c r="AK89" i="8"/>
  <c r="N175" i="7"/>
  <c r="W175" i="7" s="1"/>
  <c r="F176" i="7" s="1"/>
  <c r="U174" i="8"/>
  <c r="W174" i="8" s="1"/>
  <c r="H175" i="7"/>
  <c r="I175" i="7"/>
  <c r="AB174" i="7"/>
  <c r="C175" i="7"/>
  <c r="D141" i="10"/>
  <c r="AT89" i="8"/>
  <c r="AC89" i="8"/>
  <c r="F141" i="10"/>
  <c r="C141" i="3"/>
  <c r="B142" i="2"/>
  <c r="R175" i="7"/>
  <c r="S175" i="7" s="1"/>
  <c r="C175" i="8" s="1"/>
  <c r="U124" i="3"/>
  <c r="N124" i="3"/>
  <c r="AC124" i="3"/>
  <c r="M124" i="10" s="1"/>
  <c r="J175" i="7" l="1"/>
  <c r="O176" i="7"/>
  <c r="AD89" i="8"/>
  <c r="AE89" i="8" s="1"/>
  <c r="C142" i="2"/>
  <c r="D142" i="2"/>
  <c r="K142" i="2"/>
  <c r="C142" i="10"/>
  <c r="X124" i="3"/>
  <c r="V124" i="3"/>
  <c r="Y124" i="3" s="1"/>
  <c r="O124" i="3"/>
  <c r="K175" i="7" l="1"/>
  <c r="T175" i="7" s="1"/>
  <c r="D175" i="8" s="1"/>
  <c r="P176" i="7"/>
  <c r="Q176" i="7" s="1"/>
  <c r="AF89" i="8"/>
  <c r="AM89" i="8" s="1"/>
  <c r="AQ89" i="8" s="1"/>
  <c r="G90" i="8" s="1"/>
  <c r="AL89" i="8"/>
  <c r="E142" i="2"/>
  <c r="L142" i="2"/>
  <c r="E125" i="3"/>
  <c r="H124" i="10"/>
  <c r="P124" i="3"/>
  <c r="I124" i="10"/>
  <c r="F125" i="3"/>
  <c r="R124" i="3"/>
  <c r="S124" i="3" s="1"/>
  <c r="W124" i="3"/>
  <c r="Z124" i="3" s="1"/>
  <c r="L175" i="7" l="1"/>
  <c r="V175" i="7" s="1"/>
  <c r="AG89" i="8"/>
  <c r="AH89" i="8" s="1"/>
  <c r="AN89" i="8" s="1"/>
  <c r="AR89" i="8" s="1"/>
  <c r="H90" i="8" s="1"/>
  <c r="Y176" i="7"/>
  <c r="E176" i="8"/>
  <c r="AP89" i="8"/>
  <c r="F90" i="8" s="1"/>
  <c r="F142" i="2"/>
  <c r="E142" i="10"/>
  <c r="B142" i="3"/>
  <c r="G125" i="3"/>
  <c r="J124" i="10"/>
  <c r="T124" i="3"/>
  <c r="AA124" i="3"/>
  <c r="K124" i="10" s="1"/>
  <c r="U175" i="7" l="1"/>
  <c r="D176" i="7" s="1"/>
  <c r="I90" i="8"/>
  <c r="Z175" i="7"/>
  <c r="AA175" i="7" s="1"/>
  <c r="B175" i="7" s="1"/>
  <c r="E176" i="7"/>
  <c r="M176" i="7" s="1"/>
  <c r="AO89" i="8"/>
  <c r="G142" i="2"/>
  <c r="H125" i="3"/>
  <c r="AB124" i="3"/>
  <c r="L124" i="10" s="1"/>
  <c r="B175" i="8" l="1"/>
  <c r="X175" i="7"/>
  <c r="AS89" i="8"/>
  <c r="J90" i="8"/>
  <c r="N90" i="8" s="1"/>
  <c r="O90" i="8"/>
  <c r="N176" i="7"/>
  <c r="W176" i="7" s="1"/>
  <c r="F177" i="7" s="1"/>
  <c r="I176" i="7"/>
  <c r="H176" i="7"/>
  <c r="U175" i="8"/>
  <c r="W175" i="8" s="1"/>
  <c r="I142" i="2"/>
  <c r="H142" i="2"/>
  <c r="O177" i="7"/>
  <c r="I125" i="3"/>
  <c r="L125" i="3" s="1"/>
  <c r="M125" i="3"/>
  <c r="K90" i="8" l="1"/>
  <c r="M90" i="8" s="1"/>
  <c r="R90" i="8"/>
  <c r="C176" i="7"/>
  <c r="R176" i="7" s="1"/>
  <c r="AB175" i="7"/>
  <c r="J176" i="7"/>
  <c r="K176" i="7" s="1"/>
  <c r="S176" i="7"/>
  <c r="C176" i="8" s="1"/>
  <c r="M142" i="2"/>
  <c r="J142" i="2"/>
  <c r="D142" i="3"/>
  <c r="G142" i="10"/>
  <c r="AI90" i="8"/>
  <c r="AJ90" i="8" s="1"/>
  <c r="P177" i="7"/>
  <c r="Q177" i="7" s="1"/>
  <c r="E177" i="8"/>
  <c r="Q125" i="3"/>
  <c r="J125" i="3"/>
  <c r="K125" i="3" s="1"/>
  <c r="X90" i="8" l="1"/>
  <c r="P90" i="8"/>
  <c r="Q90" i="8" s="1"/>
  <c r="S90" i="8" s="1"/>
  <c r="L90" i="8"/>
  <c r="L176" i="7"/>
  <c r="V176" i="7" s="1"/>
  <c r="T176" i="7"/>
  <c r="D176" i="8" s="1"/>
  <c r="AU90" i="8"/>
  <c r="F142" i="10"/>
  <c r="D142" i="10"/>
  <c r="B143" i="2"/>
  <c r="C142" i="3"/>
  <c r="Y177" i="7"/>
  <c r="Y90" i="8"/>
  <c r="AA90" i="8" s="1"/>
  <c r="AK90" i="8"/>
  <c r="AC125" i="3"/>
  <c r="M125" i="10" s="1"/>
  <c r="U125" i="3"/>
  <c r="N125" i="3"/>
  <c r="Z90" i="8" l="1"/>
  <c r="AB90" i="8" s="1"/>
  <c r="T90" i="8"/>
  <c r="V90" i="8" s="1"/>
  <c r="Z176" i="7"/>
  <c r="AA176" i="7" s="1"/>
  <c r="B176" i="7" s="1"/>
  <c r="E177" i="7"/>
  <c r="U176" i="7"/>
  <c r="D143" i="2"/>
  <c r="K143" i="2"/>
  <c r="C143" i="2"/>
  <c r="C143" i="10"/>
  <c r="X125" i="3"/>
  <c r="V125" i="3"/>
  <c r="Y125" i="3" s="1"/>
  <c r="O125" i="3"/>
  <c r="AT90" i="8" l="1"/>
  <c r="D177" i="7"/>
  <c r="AC90" i="8"/>
  <c r="AD90" i="8" s="1"/>
  <c r="M177" i="7"/>
  <c r="B176" i="8"/>
  <c r="X176" i="7"/>
  <c r="AL90" i="8"/>
  <c r="E143" i="2"/>
  <c r="L143" i="2"/>
  <c r="AE90" i="8"/>
  <c r="H177" i="7"/>
  <c r="I177" i="7"/>
  <c r="U176" i="8"/>
  <c r="W176" i="8" s="1"/>
  <c r="AB176" i="7"/>
  <c r="C177" i="7"/>
  <c r="N177" i="7"/>
  <c r="W177" i="7" s="1"/>
  <c r="F178" i="7" s="1"/>
  <c r="E126" i="3"/>
  <c r="H125" i="10"/>
  <c r="P125" i="3"/>
  <c r="I125" i="10"/>
  <c r="F126" i="3"/>
  <c r="R125" i="3"/>
  <c r="S125" i="3" s="1"/>
  <c r="W125" i="3"/>
  <c r="Z125" i="3" s="1"/>
  <c r="E143" i="10" l="1"/>
  <c r="AP90" i="8"/>
  <c r="F91" i="8" s="1"/>
  <c r="B143" i="3"/>
  <c r="F143" i="2"/>
  <c r="AF90" i="8"/>
  <c r="AM90" i="8" s="1"/>
  <c r="AQ90" i="8" s="1"/>
  <c r="G91" i="8" s="1"/>
  <c r="J177" i="7"/>
  <c r="R177" i="7"/>
  <c r="S177" i="7" s="1"/>
  <c r="C177" i="8" s="1"/>
  <c r="O178" i="7"/>
  <c r="J125" i="10"/>
  <c r="G126" i="3"/>
  <c r="AA125" i="3"/>
  <c r="K125" i="10" s="1"/>
  <c r="T125" i="3"/>
  <c r="G143" i="2" l="1"/>
  <c r="H143" i="2" s="1"/>
  <c r="G143" i="10"/>
  <c r="D143" i="3"/>
  <c r="I143" i="2"/>
  <c r="AG90" i="8"/>
  <c r="AH90" i="8" s="1"/>
  <c r="AN90" i="8" s="1"/>
  <c r="K177" i="7"/>
  <c r="P178" i="7"/>
  <c r="Q178" i="7" s="1"/>
  <c r="H126" i="3"/>
  <c r="AB125" i="3"/>
  <c r="L125" i="10" s="1"/>
  <c r="M143" i="2" l="1"/>
  <c r="J143" i="2"/>
  <c r="AO90" i="8"/>
  <c r="E178" i="8"/>
  <c r="L177" i="7"/>
  <c r="V177" i="7" s="1"/>
  <c r="Y178" i="7"/>
  <c r="AR90" i="8"/>
  <c r="H91" i="8" s="1"/>
  <c r="T177" i="7"/>
  <c r="D177" i="8" s="1"/>
  <c r="M126" i="3"/>
  <c r="I126" i="3"/>
  <c r="L126" i="3" s="1"/>
  <c r="F143" i="10" l="1"/>
  <c r="C143" i="3"/>
  <c r="D143" i="10"/>
  <c r="B144" i="2"/>
  <c r="E178" i="7"/>
  <c r="U177" i="7"/>
  <c r="AS90" i="8"/>
  <c r="I91" i="8"/>
  <c r="Z177" i="7"/>
  <c r="AA177" i="7" s="1"/>
  <c r="B177" i="7" s="1"/>
  <c r="Q126" i="3"/>
  <c r="J126" i="3"/>
  <c r="K126" i="3" s="1"/>
  <c r="C144" i="2" l="1"/>
  <c r="K144" i="2"/>
  <c r="C144" i="10"/>
  <c r="D144" i="2"/>
  <c r="J91" i="8"/>
  <c r="N91" i="8" s="1"/>
  <c r="O91" i="8"/>
  <c r="M178" i="7"/>
  <c r="B177" i="8"/>
  <c r="D178" i="7"/>
  <c r="X177" i="7"/>
  <c r="U126" i="3"/>
  <c r="N126" i="3"/>
  <c r="AC126" i="3"/>
  <c r="M126" i="10" s="1"/>
  <c r="L144" i="2" l="1"/>
  <c r="E144" i="2"/>
  <c r="AB177" i="7"/>
  <c r="C178" i="7"/>
  <c r="R91" i="8"/>
  <c r="H178" i="7"/>
  <c r="N178" i="7"/>
  <c r="W178" i="7" s="1"/>
  <c r="F179" i="7" s="1"/>
  <c r="K91" i="8"/>
  <c r="U177" i="8"/>
  <c r="W177" i="8" s="1"/>
  <c r="I178" i="7"/>
  <c r="X126" i="3"/>
  <c r="V126" i="3"/>
  <c r="Y126" i="3" s="1"/>
  <c r="O126" i="3"/>
  <c r="R178" i="7" l="1"/>
  <c r="S178" i="7" s="1"/>
  <c r="C178" i="8" s="1"/>
  <c r="F144" i="2"/>
  <c r="E144" i="10"/>
  <c r="B144" i="3"/>
  <c r="L91" i="8"/>
  <c r="M91" i="8"/>
  <c r="O179" i="7"/>
  <c r="J178" i="7"/>
  <c r="P126" i="3"/>
  <c r="E127" i="3"/>
  <c r="H126" i="10"/>
  <c r="I126" i="10"/>
  <c r="F127" i="3"/>
  <c r="R126" i="3"/>
  <c r="S126" i="3" s="1"/>
  <c r="W126" i="3"/>
  <c r="Z126" i="3" s="1"/>
  <c r="G144" i="2" l="1"/>
  <c r="AI91" i="8"/>
  <c r="X91" i="8"/>
  <c r="P91" i="8"/>
  <c r="Q91" i="8" s="1"/>
  <c r="AU91" i="8"/>
  <c r="P179" i="7"/>
  <c r="Q179" i="7" s="1"/>
  <c r="K178" i="7"/>
  <c r="I144" i="2"/>
  <c r="H144" i="2"/>
  <c r="AJ91" i="8"/>
  <c r="Y91" i="8"/>
  <c r="AA91" i="8" s="1"/>
  <c r="Z91" i="8"/>
  <c r="AB91" i="8" s="1"/>
  <c r="S91" i="8"/>
  <c r="G127" i="3"/>
  <c r="J126" i="10"/>
  <c r="AA126" i="3"/>
  <c r="K126" i="10" s="1"/>
  <c r="T126" i="3"/>
  <c r="E179" i="8" l="1"/>
  <c r="Y179" i="7"/>
  <c r="T178" i="7"/>
  <c r="D178" i="8" s="1"/>
  <c r="L178" i="7"/>
  <c r="V178" i="7" s="1"/>
  <c r="J144" i="2"/>
  <c r="M144" i="2"/>
  <c r="D144" i="3"/>
  <c r="G144" i="10"/>
  <c r="AC91" i="8"/>
  <c r="AK91" i="8"/>
  <c r="T91" i="8"/>
  <c r="V91" i="8" s="1"/>
  <c r="H127" i="3"/>
  <c r="AB126" i="3"/>
  <c r="L126" i="10" s="1"/>
  <c r="E179" i="7" l="1"/>
  <c r="U178" i="7"/>
  <c r="Z178" i="7"/>
  <c r="AA178" i="7" s="1"/>
  <c r="B178" i="7" s="1"/>
  <c r="D144" i="10"/>
  <c r="B145" i="2"/>
  <c r="M127" i="3"/>
  <c r="F144" i="10"/>
  <c r="C144" i="3"/>
  <c r="AD91" i="8"/>
  <c r="AT91" i="8"/>
  <c r="C145" i="2"/>
  <c r="I127" i="3"/>
  <c r="L127" i="3" s="1"/>
  <c r="M179" i="7" l="1"/>
  <c r="D179" i="7"/>
  <c r="X178" i="7"/>
  <c r="B178" i="8"/>
  <c r="D145" i="2"/>
  <c r="K145" i="2"/>
  <c r="C145" i="10"/>
  <c r="N179" i="7"/>
  <c r="W179" i="7" s="1"/>
  <c r="F180" i="7" s="1"/>
  <c r="AL91" i="8"/>
  <c r="AE91" i="8"/>
  <c r="Q127" i="3"/>
  <c r="H179" i="7"/>
  <c r="I179" i="7"/>
  <c r="AB178" i="7"/>
  <c r="C179" i="7"/>
  <c r="J127" i="3"/>
  <c r="K127" i="3" s="1"/>
  <c r="U178" i="8" l="1"/>
  <c r="W178" i="8" s="1"/>
  <c r="E145" i="2"/>
  <c r="L145" i="2"/>
  <c r="O180" i="7"/>
  <c r="AP91" i="8"/>
  <c r="F92" i="8" s="1"/>
  <c r="AF91" i="8"/>
  <c r="AM91" i="8" s="1"/>
  <c r="AQ91" i="8" s="1"/>
  <c r="G92" i="8" s="1"/>
  <c r="J179" i="7"/>
  <c r="R179" i="7"/>
  <c r="S179" i="7" s="1"/>
  <c r="C179" i="8" s="1"/>
  <c r="U127" i="3"/>
  <c r="N127" i="3"/>
  <c r="AC127" i="3"/>
  <c r="M127" i="10" s="1"/>
  <c r="F145" i="2" l="1"/>
  <c r="E145" i="10"/>
  <c r="B145" i="3"/>
  <c r="P180" i="7"/>
  <c r="Q180" i="7" s="1"/>
  <c r="X127" i="3"/>
  <c r="K179" i="7"/>
  <c r="T179" i="7" s="1"/>
  <c r="D179" i="8" s="1"/>
  <c r="AG91" i="8"/>
  <c r="AH91" i="8" s="1"/>
  <c r="AN91" i="8" s="1"/>
  <c r="AR91" i="8" s="1"/>
  <c r="H92" i="8" s="1"/>
  <c r="V127" i="3"/>
  <c r="Y127" i="3" s="1"/>
  <c r="O127" i="3"/>
  <c r="G145" i="2" l="1"/>
  <c r="E180" i="8"/>
  <c r="Y180" i="7"/>
  <c r="P127" i="3"/>
  <c r="E128" i="3"/>
  <c r="H127" i="10"/>
  <c r="I92" i="8"/>
  <c r="L179" i="7"/>
  <c r="V179" i="7" s="1"/>
  <c r="AO91" i="8"/>
  <c r="I127" i="10"/>
  <c r="F128" i="3"/>
  <c r="R127" i="3"/>
  <c r="S127" i="3" s="1"/>
  <c r="W127" i="3"/>
  <c r="Z127" i="3" s="1"/>
  <c r="H145" i="2" l="1"/>
  <c r="I145" i="2"/>
  <c r="O92" i="8"/>
  <c r="J92" i="8"/>
  <c r="N92" i="8" s="1"/>
  <c r="E180" i="7"/>
  <c r="Z179" i="7"/>
  <c r="AA179" i="7" s="1"/>
  <c r="B179" i="7" s="1"/>
  <c r="U179" i="7"/>
  <c r="AS91" i="8"/>
  <c r="G128" i="3"/>
  <c r="J127" i="10"/>
  <c r="AA127" i="3"/>
  <c r="K127" i="10" s="1"/>
  <c r="T127" i="3"/>
  <c r="M145" i="2" l="1"/>
  <c r="D145" i="3"/>
  <c r="G145" i="10"/>
  <c r="J145" i="2"/>
  <c r="F145" i="10"/>
  <c r="C145" i="3"/>
  <c r="K92" i="8"/>
  <c r="M92" i="8" s="1"/>
  <c r="R92" i="8"/>
  <c r="M180" i="7"/>
  <c r="B179" i="8"/>
  <c r="D180" i="7"/>
  <c r="X179" i="7"/>
  <c r="H128" i="3"/>
  <c r="AB127" i="3"/>
  <c r="L127" i="10" s="1"/>
  <c r="D145" i="10" l="1"/>
  <c r="B146" i="2"/>
  <c r="U179" i="8"/>
  <c r="W179" i="8" s="1"/>
  <c r="M128" i="3"/>
  <c r="D146" i="2"/>
  <c r="K146" i="2"/>
  <c r="X92" i="8"/>
  <c r="P92" i="8"/>
  <c r="Q92" i="8" s="1"/>
  <c r="AI92" i="8"/>
  <c r="L92" i="8"/>
  <c r="H180" i="7"/>
  <c r="I180" i="7"/>
  <c r="AB179" i="7"/>
  <c r="C180" i="7"/>
  <c r="N180" i="7"/>
  <c r="W180" i="7" s="1"/>
  <c r="F181" i="7" s="1"/>
  <c r="I128" i="3"/>
  <c r="L128" i="3" s="1"/>
  <c r="C146" i="2" l="1"/>
  <c r="C146" i="10"/>
  <c r="L146" i="2"/>
  <c r="Y92" i="8"/>
  <c r="S92" i="8"/>
  <c r="AU92" i="8"/>
  <c r="AJ92" i="8"/>
  <c r="O181" i="7"/>
  <c r="R180" i="7"/>
  <c r="S180" i="7" s="1"/>
  <c r="C180" i="8" s="1"/>
  <c r="J180" i="7"/>
  <c r="Q128" i="3"/>
  <c r="J128" i="3"/>
  <c r="K128" i="3" s="1"/>
  <c r="E146" i="2" l="1"/>
  <c r="AK92" i="8"/>
  <c r="E146" i="10"/>
  <c r="B146" i="3"/>
  <c r="Z92" i="8"/>
  <c r="AB92" i="8" s="1"/>
  <c r="AA92" i="8"/>
  <c r="T92" i="8"/>
  <c r="V92" i="8" s="1"/>
  <c r="P181" i="7"/>
  <c r="Q181" i="7" s="1"/>
  <c r="K180" i="7"/>
  <c r="U128" i="3"/>
  <c r="N128" i="3"/>
  <c r="AC128" i="3"/>
  <c r="M128" i="10" s="1"/>
  <c r="F146" i="2" l="1"/>
  <c r="AC92" i="8"/>
  <c r="AD92" i="8"/>
  <c r="AT92" i="8"/>
  <c r="T180" i="7"/>
  <c r="D180" i="8" s="1"/>
  <c r="Y181" i="7"/>
  <c r="E181" i="8"/>
  <c r="X128" i="3"/>
  <c r="L180" i="7"/>
  <c r="V180" i="7" s="1"/>
  <c r="V128" i="3"/>
  <c r="Y128" i="3" s="1"/>
  <c r="O128" i="3"/>
  <c r="G146" i="2" l="1"/>
  <c r="AL92" i="8"/>
  <c r="I146" i="2"/>
  <c r="H146" i="2"/>
  <c r="AE92" i="8"/>
  <c r="U180" i="7"/>
  <c r="E129" i="3"/>
  <c r="H128" i="10"/>
  <c r="E181" i="7"/>
  <c r="Z180" i="7"/>
  <c r="AA180" i="7" s="1"/>
  <c r="B180" i="7" s="1"/>
  <c r="P128" i="3"/>
  <c r="I128" i="10"/>
  <c r="F129" i="3"/>
  <c r="R128" i="3"/>
  <c r="S128" i="3" s="1"/>
  <c r="W128" i="3"/>
  <c r="Z128" i="3" s="1"/>
  <c r="AP92" i="8" l="1"/>
  <c r="F93" i="8" s="1"/>
  <c r="M146" i="2"/>
  <c r="J146" i="2"/>
  <c r="D146" i="3"/>
  <c r="G146" i="10"/>
  <c r="AF92" i="8"/>
  <c r="AM92" i="8" s="1"/>
  <c r="AQ92" i="8" s="1"/>
  <c r="G93" i="8" s="1"/>
  <c r="X180" i="7"/>
  <c r="D181" i="7"/>
  <c r="B180" i="8"/>
  <c r="M181" i="7"/>
  <c r="G129" i="3"/>
  <c r="J128" i="10"/>
  <c r="T128" i="3"/>
  <c r="AA128" i="3"/>
  <c r="K128" i="10" s="1"/>
  <c r="F146" i="10" l="1"/>
  <c r="D146" i="10"/>
  <c r="C146" i="3"/>
  <c r="B147" i="2"/>
  <c r="AG92" i="8"/>
  <c r="AH92" i="8" s="1"/>
  <c r="AN92" i="8" s="1"/>
  <c r="U180" i="8"/>
  <c r="W180" i="8" s="1"/>
  <c r="H181" i="7"/>
  <c r="I181" i="7"/>
  <c r="AB180" i="7"/>
  <c r="C181" i="7"/>
  <c r="N181" i="7"/>
  <c r="W181" i="7" s="1"/>
  <c r="F182" i="7" s="1"/>
  <c r="AB128" i="3"/>
  <c r="L128" i="10" s="1"/>
  <c r="H129" i="3"/>
  <c r="C147" i="2" l="1"/>
  <c r="D147" i="2"/>
  <c r="K147" i="2"/>
  <c r="C147" i="10"/>
  <c r="AR92" i="8"/>
  <c r="H93" i="8" s="1"/>
  <c r="AO92" i="8"/>
  <c r="R181" i="7"/>
  <c r="S181" i="7" s="1"/>
  <c r="C181" i="8" s="1"/>
  <c r="J181" i="7"/>
  <c r="K181" i="7" s="1"/>
  <c r="T181" i="7" s="1"/>
  <c r="D181" i="8" s="1"/>
  <c r="O182" i="7"/>
  <c r="M129" i="3"/>
  <c r="I129" i="3"/>
  <c r="L129" i="3" s="1"/>
  <c r="I93" i="8" l="1"/>
  <c r="AS92" i="8"/>
  <c r="E147" i="2"/>
  <c r="L147" i="2"/>
  <c r="P182" i="7"/>
  <c r="Q182" i="7" s="1"/>
  <c r="L181" i="7"/>
  <c r="V181" i="7" s="1"/>
  <c r="Q129" i="3"/>
  <c r="J129" i="3"/>
  <c r="K129" i="3" s="1"/>
  <c r="O93" i="8" l="1"/>
  <c r="Y182" i="7"/>
  <c r="J93" i="8"/>
  <c r="N93" i="8" s="1"/>
  <c r="F147" i="2"/>
  <c r="E147" i="10"/>
  <c r="B147" i="3"/>
  <c r="E182" i="7"/>
  <c r="E182" i="8"/>
  <c r="Z181" i="7"/>
  <c r="AA181" i="7" s="1"/>
  <c r="B181" i="7" s="1"/>
  <c r="U181" i="7"/>
  <c r="U129" i="3"/>
  <c r="N129" i="3"/>
  <c r="AC129" i="3"/>
  <c r="M129" i="10" s="1"/>
  <c r="R93" i="8" l="1"/>
  <c r="K93" i="8"/>
  <c r="B181" i="8"/>
  <c r="G147" i="2"/>
  <c r="H147" i="2" s="1"/>
  <c r="M182" i="7"/>
  <c r="D182" i="7"/>
  <c r="X181" i="7"/>
  <c r="X129" i="3"/>
  <c r="V129" i="3"/>
  <c r="Y129" i="3" s="1"/>
  <c r="O129" i="3"/>
  <c r="U181" i="8" l="1"/>
  <c r="W181" i="8" s="1"/>
  <c r="M93" i="8"/>
  <c r="L93" i="8"/>
  <c r="AU93" i="8" s="1"/>
  <c r="D147" i="3"/>
  <c r="G147" i="10"/>
  <c r="I147" i="2"/>
  <c r="N182" i="7"/>
  <c r="W182" i="7" s="1"/>
  <c r="F183" i="7" s="1"/>
  <c r="H182" i="7"/>
  <c r="I182" i="7"/>
  <c r="AB181" i="7"/>
  <c r="C182" i="7"/>
  <c r="E130" i="3"/>
  <c r="H129" i="10"/>
  <c r="I129" i="10"/>
  <c r="F130" i="3"/>
  <c r="R129" i="3"/>
  <c r="S129" i="3" s="1"/>
  <c r="W129" i="3"/>
  <c r="Z129" i="3" s="1"/>
  <c r="P129" i="3"/>
  <c r="M147" i="2" l="1"/>
  <c r="J147" i="2"/>
  <c r="AI93" i="8"/>
  <c r="P93" i="8"/>
  <c r="Q93" i="8" s="1"/>
  <c r="X93" i="8"/>
  <c r="O183" i="7"/>
  <c r="R182" i="7"/>
  <c r="S182" i="7" s="1"/>
  <c r="C182" i="8" s="1"/>
  <c r="J182" i="7"/>
  <c r="AA129" i="3"/>
  <c r="K129" i="10" s="1"/>
  <c r="B148" i="2"/>
  <c r="F147" i="10"/>
  <c r="C147" i="3"/>
  <c r="G130" i="3"/>
  <c r="J129" i="10"/>
  <c r="T129" i="3"/>
  <c r="D147" i="10" l="1"/>
  <c r="AJ93" i="8"/>
  <c r="S93" i="8"/>
  <c r="Y93" i="8"/>
  <c r="AA93" i="8" s="1"/>
  <c r="P183" i="7"/>
  <c r="Q183" i="7" s="1"/>
  <c r="E183" i="8" s="1"/>
  <c r="K182" i="7"/>
  <c r="Z93" i="8"/>
  <c r="AB93" i="8" s="1"/>
  <c r="C148" i="2"/>
  <c r="D148" i="2"/>
  <c r="K148" i="2"/>
  <c r="C148" i="10"/>
  <c r="H130" i="3"/>
  <c r="AB129" i="3"/>
  <c r="L129" i="10" s="1"/>
  <c r="T93" i="8" l="1"/>
  <c r="V93" i="8" s="1"/>
  <c r="AT93" i="8" s="1"/>
  <c r="AK93" i="8"/>
  <c r="Y183" i="7"/>
  <c r="T182" i="7"/>
  <c r="D182" i="8" s="1"/>
  <c r="AC93" i="8"/>
  <c r="L182" i="7"/>
  <c r="V182" i="7" s="1"/>
  <c r="M130" i="3"/>
  <c r="I130" i="3"/>
  <c r="L130" i="3" s="1"/>
  <c r="E148" i="2"/>
  <c r="L148" i="2"/>
  <c r="E183" i="7" l="1"/>
  <c r="Z182" i="7"/>
  <c r="AA182" i="7" s="1"/>
  <c r="B182" i="7" s="1"/>
  <c r="U182" i="7"/>
  <c r="AD93" i="8"/>
  <c r="Q130" i="3"/>
  <c r="F148" i="2"/>
  <c r="E148" i="10"/>
  <c r="B148" i="3"/>
  <c r="J130" i="3"/>
  <c r="K130" i="3" s="1"/>
  <c r="D183" i="7" l="1"/>
  <c r="X182" i="7"/>
  <c r="B182" i="8"/>
  <c r="M183" i="7"/>
  <c r="AE93" i="8"/>
  <c r="AL93" i="8"/>
  <c r="H183" i="7"/>
  <c r="I183" i="7"/>
  <c r="AB182" i="7"/>
  <c r="U130" i="3"/>
  <c r="N130" i="3"/>
  <c r="G148" i="2"/>
  <c r="AC130" i="3"/>
  <c r="M130" i="10" s="1"/>
  <c r="C183" i="7" l="1"/>
  <c r="X130" i="3"/>
  <c r="AF93" i="8"/>
  <c r="AM93" i="8" s="1"/>
  <c r="AQ93" i="8" s="1"/>
  <c r="G94" i="8" s="1"/>
  <c r="AP93" i="8"/>
  <c r="F94" i="8" s="1"/>
  <c r="N183" i="7"/>
  <c r="W183" i="7" s="1"/>
  <c r="F184" i="7" s="1"/>
  <c r="U182" i="8"/>
  <c r="W182" i="8" s="1"/>
  <c r="V130" i="3"/>
  <c r="Y130" i="3" s="1"/>
  <c r="O130" i="3"/>
  <c r="I148" i="2"/>
  <c r="H148" i="2"/>
  <c r="J183" i="7"/>
  <c r="R183" i="7" l="1"/>
  <c r="S183" i="7" s="1"/>
  <c r="C183" i="8" s="1"/>
  <c r="E131" i="3"/>
  <c r="H130" i="10"/>
  <c r="O184" i="7"/>
  <c r="AG93" i="8"/>
  <c r="AH93" i="8" s="1"/>
  <c r="AN93" i="8" s="1"/>
  <c r="P130" i="3"/>
  <c r="I130" i="10"/>
  <c r="F131" i="3"/>
  <c r="R130" i="3"/>
  <c r="S130" i="3" s="1"/>
  <c r="M148" i="2"/>
  <c r="J148" i="2"/>
  <c r="D148" i="3"/>
  <c r="G148" i="10"/>
  <c r="K183" i="7"/>
  <c r="W130" i="3"/>
  <c r="Z130" i="3" s="1"/>
  <c r="P184" i="7" l="1"/>
  <c r="Q184" i="7" s="1"/>
  <c r="AO93" i="8"/>
  <c r="AR93" i="8"/>
  <c r="H94" i="8" s="1"/>
  <c r="T183" i="7"/>
  <c r="D183" i="8" s="1"/>
  <c r="Y184" i="7"/>
  <c r="E184" i="8"/>
  <c r="I94" i="8"/>
  <c r="AS93" i="8"/>
  <c r="L183" i="7"/>
  <c r="V183" i="7" s="1"/>
  <c r="F148" i="10"/>
  <c r="C148" i="3"/>
  <c r="D148" i="10"/>
  <c r="B149" i="2"/>
  <c r="G131" i="3"/>
  <c r="J130" i="10"/>
  <c r="T130" i="3"/>
  <c r="AA130" i="3"/>
  <c r="K130" i="10" s="1"/>
  <c r="J94" i="8" l="1"/>
  <c r="N94" i="8" s="1"/>
  <c r="Z183" i="7"/>
  <c r="AA183" i="7" s="1"/>
  <c r="B183" i="7" s="1"/>
  <c r="E184" i="7"/>
  <c r="U183" i="7"/>
  <c r="O94" i="8"/>
  <c r="C149" i="2"/>
  <c r="D149" i="2"/>
  <c r="K149" i="2"/>
  <c r="C149" i="10"/>
  <c r="H131" i="3"/>
  <c r="AB130" i="3"/>
  <c r="L130" i="10" s="1"/>
  <c r="M131" i="3" l="1"/>
  <c r="X183" i="7"/>
  <c r="D184" i="7"/>
  <c r="R94" i="8"/>
  <c r="B183" i="8"/>
  <c r="M184" i="7"/>
  <c r="K94" i="8"/>
  <c r="M94" i="8" s="1"/>
  <c r="I131" i="3"/>
  <c r="L131" i="3" s="1"/>
  <c r="E149" i="2"/>
  <c r="L149" i="2"/>
  <c r="H184" i="7" l="1"/>
  <c r="I184" i="7"/>
  <c r="C184" i="7"/>
  <c r="AB183" i="7"/>
  <c r="X94" i="8"/>
  <c r="P94" i="8"/>
  <c r="Q94" i="8" s="1"/>
  <c r="AI94" i="8"/>
  <c r="U183" i="8"/>
  <c r="W183" i="8" s="1"/>
  <c r="L94" i="8"/>
  <c r="N184" i="7"/>
  <c r="Q131" i="3"/>
  <c r="F149" i="2"/>
  <c r="E149" i="10"/>
  <c r="B149" i="3"/>
  <c r="J131" i="3"/>
  <c r="K131" i="3" s="1"/>
  <c r="R184" i="7" l="1"/>
  <c r="S184" i="7"/>
  <c r="C184" i="8" s="1"/>
  <c r="J184" i="7"/>
  <c r="W184" i="7"/>
  <c r="F185" i="7" s="1"/>
  <c r="AC131" i="3"/>
  <c r="M131" i="10" s="1"/>
  <c r="Y94" i="8"/>
  <c r="AA94" i="8" s="1"/>
  <c r="S94" i="8"/>
  <c r="AJ94" i="8"/>
  <c r="AU94" i="8"/>
  <c r="U131" i="3"/>
  <c r="N131" i="3"/>
  <c r="G149" i="2"/>
  <c r="K184" i="7" l="1"/>
  <c r="Z94" i="8"/>
  <c r="AB94" i="8" s="1"/>
  <c r="X131" i="3"/>
  <c r="O185" i="7"/>
  <c r="T94" i="8"/>
  <c r="V94" i="8" s="1"/>
  <c r="AK94" i="8"/>
  <c r="V131" i="3"/>
  <c r="Y131" i="3" s="1"/>
  <c r="O131" i="3"/>
  <c r="I149" i="2"/>
  <c r="H149" i="2"/>
  <c r="L184" i="7" l="1"/>
  <c r="V184" i="7" s="1"/>
  <c r="T184" i="7"/>
  <c r="D184" i="8" s="1"/>
  <c r="E132" i="3"/>
  <c r="H131" i="10"/>
  <c r="AC94" i="8"/>
  <c r="P185" i="7"/>
  <c r="Q185" i="7" s="1"/>
  <c r="AT94" i="8"/>
  <c r="P131" i="3"/>
  <c r="I131" i="10"/>
  <c r="F132" i="3"/>
  <c r="R131" i="3"/>
  <c r="S131" i="3" s="1"/>
  <c r="M149" i="2"/>
  <c r="J149" i="2"/>
  <c r="D149" i="3"/>
  <c r="G149" i="10"/>
  <c r="W131" i="3"/>
  <c r="Z131" i="3" s="1"/>
  <c r="AD94" i="8" l="1"/>
  <c r="E185" i="7"/>
  <c r="Z184" i="7"/>
  <c r="AA184" i="7" s="1"/>
  <c r="B184" i="7" s="1"/>
  <c r="U184" i="7"/>
  <c r="E185" i="8"/>
  <c r="Y185" i="7"/>
  <c r="F149" i="10"/>
  <c r="C149" i="3"/>
  <c r="D149" i="10"/>
  <c r="B150" i="2"/>
  <c r="G132" i="3"/>
  <c r="J131" i="10"/>
  <c r="T131" i="3"/>
  <c r="AA131" i="3"/>
  <c r="K131" i="10" s="1"/>
  <c r="AL94" i="8" l="1"/>
  <c r="AE94" i="8"/>
  <c r="M185" i="7"/>
  <c r="B184" i="8"/>
  <c r="D185" i="7"/>
  <c r="X184" i="7"/>
  <c r="C150" i="2"/>
  <c r="D150" i="2"/>
  <c r="K150" i="2"/>
  <c r="C150" i="10"/>
  <c r="H132" i="3"/>
  <c r="AB131" i="3"/>
  <c r="L131" i="10" s="1"/>
  <c r="AF94" i="8" l="1"/>
  <c r="AM94" i="8" s="1"/>
  <c r="AQ94" i="8" s="1"/>
  <c r="G95" i="8" s="1"/>
  <c r="AP94" i="8"/>
  <c r="F95" i="8" s="1"/>
  <c r="N185" i="7"/>
  <c r="W185" i="7" s="1"/>
  <c r="F186" i="7" s="1"/>
  <c r="U184" i="8"/>
  <c r="W184" i="8" s="1"/>
  <c r="AB184" i="7"/>
  <c r="C185" i="7"/>
  <c r="H185" i="7"/>
  <c r="I185" i="7"/>
  <c r="M132" i="3"/>
  <c r="E150" i="2"/>
  <c r="F150" i="2" s="1"/>
  <c r="I132" i="3"/>
  <c r="L132" i="3" s="1"/>
  <c r="L150" i="2"/>
  <c r="R185" i="7" l="1"/>
  <c r="O186" i="7"/>
  <c r="AG94" i="8"/>
  <c r="AH94" i="8" s="1"/>
  <c r="AN94" i="8" s="1"/>
  <c r="AR94" i="8" s="1"/>
  <c r="H95" i="8" s="1"/>
  <c r="J185" i="7"/>
  <c r="G150" i="2"/>
  <c r="H150" i="2" s="1"/>
  <c r="Q132" i="3"/>
  <c r="E150" i="10"/>
  <c r="B150" i="3"/>
  <c r="J132" i="3"/>
  <c r="K132" i="3" s="1"/>
  <c r="S185" i="7" l="1"/>
  <c r="C185" i="8" s="1"/>
  <c r="K185" i="7"/>
  <c r="T185" i="7" s="1"/>
  <c r="D185" i="8" s="1"/>
  <c r="I95" i="8"/>
  <c r="P186" i="7"/>
  <c r="Q186" i="7" s="1"/>
  <c r="AO94" i="8"/>
  <c r="G150" i="10"/>
  <c r="D150" i="3"/>
  <c r="I150" i="2"/>
  <c r="U132" i="3"/>
  <c r="N132" i="3"/>
  <c r="AC132" i="3"/>
  <c r="M132" i="10" s="1"/>
  <c r="L185" i="7" l="1"/>
  <c r="V185" i="7" s="1"/>
  <c r="AS94" i="8"/>
  <c r="Y186" i="7"/>
  <c r="J95" i="8"/>
  <c r="N95" i="8" s="1"/>
  <c r="E186" i="8"/>
  <c r="O95" i="8"/>
  <c r="M150" i="2"/>
  <c r="J150" i="2"/>
  <c r="V132" i="3"/>
  <c r="Y132" i="3" s="1"/>
  <c r="O132" i="3"/>
  <c r="X132" i="3"/>
  <c r="U185" i="7" l="1"/>
  <c r="E186" i="7"/>
  <c r="Z185" i="7"/>
  <c r="AA185" i="7" s="1"/>
  <c r="B185" i="7" s="1"/>
  <c r="R95" i="8"/>
  <c r="K95" i="8"/>
  <c r="M95" i="8" s="1"/>
  <c r="F150" i="10"/>
  <c r="C150" i="3"/>
  <c r="D150" i="10"/>
  <c r="B151" i="2"/>
  <c r="I132" i="10"/>
  <c r="F133" i="3"/>
  <c r="R132" i="3"/>
  <c r="S132" i="3" s="1"/>
  <c r="H132" i="10"/>
  <c r="E133" i="3"/>
  <c r="P132" i="3"/>
  <c r="W132" i="3"/>
  <c r="Z132" i="3" s="1"/>
  <c r="X185" i="7" l="1"/>
  <c r="D186" i="7"/>
  <c r="M186" i="7"/>
  <c r="B185" i="8"/>
  <c r="AI95" i="8"/>
  <c r="P95" i="8"/>
  <c r="Q95" i="8" s="1"/>
  <c r="X95" i="8"/>
  <c r="L95" i="8"/>
  <c r="D151" i="2"/>
  <c r="C151" i="2"/>
  <c r="S95" i="8"/>
  <c r="K151" i="2"/>
  <c r="C151" i="10"/>
  <c r="G133" i="3"/>
  <c r="J132" i="10"/>
  <c r="AA132" i="3"/>
  <c r="K132" i="10" s="1"/>
  <c r="T132" i="3"/>
  <c r="I186" i="7" l="1"/>
  <c r="H186" i="7"/>
  <c r="AB185" i="7"/>
  <c r="C186" i="7"/>
  <c r="U185" i="8"/>
  <c r="W185" i="8" s="1"/>
  <c r="N186" i="7"/>
  <c r="W186" i="7" s="1"/>
  <c r="F187" i="7" s="1"/>
  <c r="AJ95" i="8"/>
  <c r="AU95" i="8"/>
  <c r="Y95" i="8"/>
  <c r="AA95" i="8" s="1"/>
  <c r="R186" i="7"/>
  <c r="Z95" i="8"/>
  <c r="AB95" i="8" s="1"/>
  <c r="T95" i="8"/>
  <c r="V95" i="8" s="1"/>
  <c r="E151" i="2"/>
  <c r="L151" i="2"/>
  <c r="H133" i="3"/>
  <c r="AB132" i="3"/>
  <c r="L132" i="10" s="1"/>
  <c r="S186" i="7" l="1"/>
  <c r="C186" i="8" s="1"/>
  <c r="J186" i="7"/>
  <c r="AK95" i="8"/>
  <c r="O187" i="7"/>
  <c r="K186" i="7"/>
  <c r="P187" i="7"/>
  <c r="Q187" i="7" s="1"/>
  <c r="F151" i="2"/>
  <c r="AC95" i="8"/>
  <c r="AT95" i="8"/>
  <c r="M133" i="3"/>
  <c r="E151" i="10"/>
  <c r="B151" i="3"/>
  <c r="I133" i="3"/>
  <c r="L133" i="3" s="1"/>
  <c r="E187" i="8" l="1"/>
  <c r="Y187" i="7"/>
  <c r="G151" i="2"/>
  <c r="H151" i="2" s="1"/>
  <c r="L186" i="7"/>
  <c r="V186" i="7" s="1"/>
  <c r="T186" i="7"/>
  <c r="D186" i="8" s="1"/>
  <c r="AD95" i="8"/>
  <c r="AL95" i="8" s="1"/>
  <c r="Q133" i="3"/>
  <c r="J133" i="3"/>
  <c r="K133" i="3" s="1"/>
  <c r="G151" i="10" l="1"/>
  <c r="D151" i="3"/>
  <c r="I151" i="2"/>
  <c r="AE95" i="8"/>
  <c r="E187" i="7"/>
  <c r="Z186" i="7"/>
  <c r="AA186" i="7" s="1"/>
  <c r="B186" i="7" s="1"/>
  <c r="B186" i="8" s="1"/>
  <c r="U186" i="7"/>
  <c r="AP95" i="8"/>
  <c r="F96" i="8" s="1"/>
  <c r="U133" i="3"/>
  <c r="N133" i="3"/>
  <c r="AC133" i="3"/>
  <c r="M133" i="10" s="1"/>
  <c r="AF95" i="8" l="1"/>
  <c r="AM95" i="8" s="1"/>
  <c r="AQ95" i="8" s="1"/>
  <c r="G96" i="8" s="1"/>
  <c r="M151" i="2"/>
  <c r="J151" i="2"/>
  <c r="M187" i="7"/>
  <c r="X186" i="7"/>
  <c r="D187" i="7"/>
  <c r="U186" i="8"/>
  <c r="W186" i="8" s="1"/>
  <c r="V133" i="3"/>
  <c r="Y133" i="3" s="1"/>
  <c r="O133" i="3"/>
  <c r="X133" i="3"/>
  <c r="AG95" i="8" l="1"/>
  <c r="AH95" i="8" s="1"/>
  <c r="AN95" i="8" s="1"/>
  <c r="F151" i="10"/>
  <c r="C151" i="3"/>
  <c r="D151" i="10"/>
  <c r="B152" i="2"/>
  <c r="D152" i="2"/>
  <c r="C187" i="7"/>
  <c r="R187" i="7" s="1"/>
  <c r="AB186" i="7"/>
  <c r="I187" i="7"/>
  <c r="H187" i="7"/>
  <c r="N187" i="7"/>
  <c r="W187" i="7" s="1"/>
  <c r="F188" i="7" s="1"/>
  <c r="AO95" i="8"/>
  <c r="P133" i="3"/>
  <c r="I133" i="10"/>
  <c r="F134" i="3"/>
  <c r="R133" i="3"/>
  <c r="S133" i="3" s="1"/>
  <c r="H133" i="10"/>
  <c r="E134" i="3"/>
  <c r="W133" i="3"/>
  <c r="Z133" i="3" s="1"/>
  <c r="AR95" i="8" l="1"/>
  <c r="H96" i="8" s="1"/>
  <c r="K152" i="2"/>
  <c r="C152" i="10"/>
  <c r="C152" i="2"/>
  <c r="L152" i="2"/>
  <c r="O188" i="7"/>
  <c r="S187" i="7"/>
  <c r="C187" i="8" s="1"/>
  <c r="J187" i="7"/>
  <c r="K187" i="7" s="1"/>
  <c r="I96" i="8"/>
  <c r="AS95" i="8"/>
  <c r="G134" i="3"/>
  <c r="J133" i="10"/>
  <c r="T133" i="3"/>
  <c r="AA133" i="3"/>
  <c r="K133" i="10" s="1"/>
  <c r="E152" i="10" l="1"/>
  <c r="B152" i="3"/>
  <c r="E152" i="2"/>
  <c r="F152" i="2" s="1"/>
  <c r="O96" i="8"/>
  <c r="T187" i="7"/>
  <c r="D187" i="8" s="1"/>
  <c r="L187" i="7"/>
  <c r="V187" i="7" s="1"/>
  <c r="P188" i="7"/>
  <c r="Q188" i="7" s="1"/>
  <c r="J96" i="8"/>
  <c r="N96" i="8" s="1"/>
  <c r="H134" i="3"/>
  <c r="AB133" i="3"/>
  <c r="L133" i="10" s="1"/>
  <c r="G152" i="2" l="1"/>
  <c r="R96" i="8"/>
  <c r="K96" i="8"/>
  <c r="M96" i="8" s="1"/>
  <c r="U187" i="7"/>
  <c r="E188" i="7"/>
  <c r="Z187" i="7"/>
  <c r="AA187" i="7" s="1"/>
  <c r="B187" i="7" s="1"/>
  <c r="E188" i="8"/>
  <c r="Y188" i="7"/>
  <c r="I152" i="2"/>
  <c r="M134" i="3"/>
  <c r="I134" i="3"/>
  <c r="L134" i="3" s="1"/>
  <c r="H152" i="2" l="1"/>
  <c r="L96" i="8"/>
  <c r="P96" i="8"/>
  <c r="Q96" i="8" s="1"/>
  <c r="X96" i="8"/>
  <c r="AI96" i="8"/>
  <c r="X187" i="7"/>
  <c r="D188" i="7"/>
  <c r="M188" i="7"/>
  <c r="B187" i="8"/>
  <c r="J152" i="2"/>
  <c r="Q134" i="3"/>
  <c r="J134" i="3"/>
  <c r="K134" i="3" s="1"/>
  <c r="D152" i="3" l="1"/>
  <c r="G152" i="10"/>
  <c r="M152" i="2"/>
  <c r="H188" i="7"/>
  <c r="N188" i="7"/>
  <c r="W188" i="7" s="1"/>
  <c r="F189" i="7" s="1"/>
  <c r="AU96" i="8"/>
  <c r="C188" i="7"/>
  <c r="S96" i="8"/>
  <c r="Y96" i="8"/>
  <c r="AA96" i="8" s="1"/>
  <c r="AJ96" i="8"/>
  <c r="AB187" i="7"/>
  <c r="I188" i="7"/>
  <c r="U187" i="8"/>
  <c r="W187" i="8" s="1"/>
  <c r="D152" i="10"/>
  <c r="B153" i="2"/>
  <c r="Z96" i="8"/>
  <c r="AB96" i="8" s="1"/>
  <c r="U134" i="3"/>
  <c r="N134" i="3"/>
  <c r="AC134" i="3"/>
  <c r="M134" i="10" s="1"/>
  <c r="F152" i="10" l="1"/>
  <c r="C152" i="3"/>
  <c r="O189" i="7"/>
  <c r="R188" i="7"/>
  <c r="AK96" i="8"/>
  <c r="T96" i="8"/>
  <c r="V96" i="8" s="1"/>
  <c r="J188" i="7"/>
  <c r="P189" i="7"/>
  <c r="Q189" i="7" s="1"/>
  <c r="C153" i="2"/>
  <c r="D153" i="2"/>
  <c r="K153" i="2"/>
  <c r="C153" i="10"/>
  <c r="AC96" i="8"/>
  <c r="X134" i="3"/>
  <c r="V134" i="3"/>
  <c r="Y134" i="3" s="1"/>
  <c r="O134" i="3"/>
  <c r="S188" i="7" l="1"/>
  <c r="C188" i="8" s="1"/>
  <c r="AT96" i="8"/>
  <c r="K188" i="7"/>
  <c r="T188" i="7" s="1"/>
  <c r="D188" i="8" s="1"/>
  <c r="L188" i="7"/>
  <c r="E189" i="8"/>
  <c r="Y189" i="7"/>
  <c r="E153" i="2"/>
  <c r="AD96" i="8"/>
  <c r="H134" i="10"/>
  <c r="L153" i="2"/>
  <c r="E135" i="3"/>
  <c r="P134" i="3"/>
  <c r="I134" i="10"/>
  <c r="F135" i="3"/>
  <c r="R134" i="3"/>
  <c r="S134" i="3" s="1"/>
  <c r="W134" i="3"/>
  <c r="Z134" i="3" s="1"/>
  <c r="F153" i="2" l="1"/>
  <c r="AE96" i="8"/>
  <c r="U188" i="7"/>
  <c r="V188" i="7"/>
  <c r="E153" i="10"/>
  <c r="AL96" i="8"/>
  <c r="B153" i="3"/>
  <c r="G135" i="3"/>
  <c r="J134" i="10"/>
  <c r="T134" i="3"/>
  <c r="AA134" i="3"/>
  <c r="K134" i="10" s="1"/>
  <c r="AF96" i="8" l="1"/>
  <c r="AM96" i="8" s="1"/>
  <c r="AQ96" i="8" s="1"/>
  <c r="G97" i="8" s="1"/>
  <c r="Z188" i="7"/>
  <c r="AA188" i="7" s="1"/>
  <c r="B188" i="7" s="1"/>
  <c r="B188" i="8" s="1"/>
  <c r="U188" i="8" s="1"/>
  <c r="W188" i="8" s="1"/>
  <c r="E189" i="7"/>
  <c r="G153" i="2"/>
  <c r="H153" i="2" s="1"/>
  <c r="X188" i="7"/>
  <c r="D189" i="7"/>
  <c r="AP96" i="8"/>
  <c r="F97" i="8" s="1"/>
  <c r="H135" i="3"/>
  <c r="AB134" i="3"/>
  <c r="L134" i="10" s="1"/>
  <c r="AG96" i="8" l="1"/>
  <c r="AH96" i="8" s="1"/>
  <c r="AN96" i="8" s="1"/>
  <c r="M189" i="7"/>
  <c r="I153" i="2"/>
  <c r="D153" i="3"/>
  <c r="G153" i="10"/>
  <c r="AB188" i="7"/>
  <c r="C189" i="7"/>
  <c r="R189" i="7" s="1"/>
  <c r="I189" i="7"/>
  <c r="H189" i="7"/>
  <c r="I135" i="3"/>
  <c r="L135" i="3" s="1"/>
  <c r="M135" i="3"/>
  <c r="AO96" i="8" l="1"/>
  <c r="AR96" i="8"/>
  <c r="H97" i="8" s="1"/>
  <c r="N189" i="7"/>
  <c r="W189" i="7" s="1"/>
  <c r="F190" i="7" s="1"/>
  <c r="J189" i="7"/>
  <c r="S189" i="7"/>
  <c r="C189" i="8" s="1"/>
  <c r="M153" i="2"/>
  <c r="J153" i="2"/>
  <c r="B154" i="2" s="1"/>
  <c r="Q135" i="3"/>
  <c r="J135" i="3"/>
  <c r="K135" i="3" s="1"/>
  <c r="AS96" i="8" l="1"/>
  <c r="I97" i="8"/>
  <c r="D153" i="10"/>
  <c r="C153" i="3"/>
  <c r="F153" i="10"/>
  <c r="C154" i="2"/>
  <c r="D154" i="2"/>
  <c r="K154" i="2"/>
  <c r="C154" i="10"/>
  <c r="O190" i="7"/>
  <c r="K189" i="7"/>
  <c r="T189" i="7" s="1"/>
  <c r="D189" i="8" s="1"/>
  <c r="U135" i="3"/>
  <c r="N135" i="3"/>
  <c r="AC135" i="3"/>
  <c r="M135" i="10" s="1"/>
  <c r="O97" i="8" l="1"/>
  <c r="J97" i="8"/>
  <c r="N97" i="8" s="1"/>
  <c r="L189" i="7"/>
  <c r="V189" i="7" s="1"/>
  <c r="L154" i="2"/>
  <c r="E154" i="2"/>
  <c r="P190" i="7"/>
  <c r="Q190" i="7" s="1"/>
  <c r="B154" i="3"/>
  <c r="V135" i="3"/>
  <c r="Y135" i="3" s="1"/>
  <c r="O135" i="3"/>
  <c r="X135" i="3"/>
  <c r="U189" i="7" l="1"/>
  <c r="E190" i="7"/>
  <c r="Z189" i="7"/>
  <c r="AA189" i="7" s="1"/>
  <c r="B189" i="7" s="1"/>
  <c r="B189" i="8" s="1"/>
  <c r="U189" i="8" s="1"/>
  <c r="W189" i="8" s="1"/>
  <c r="E154" i="10"/>
  <c r="F154" i="2"/>
  <c r="Y190" i="7"/>
  <c r="E190" i="8"/>
  <c r="R97" i="8"/>
  <c r="K97" i="8"/>
  <c r="M97" i="8" s="1"/>
  <c r="P135" i="3"/>
  <c r="I135" i="10"/>
  <c r="F136" i="3"/>
  <c r="R135" i="3"/>
  <c r="S135" i="3" s="1"/>
  <c r="H135" i="10"/>
  <c r="E136" i="3"/>
  <c r="W135" i="3"/>
  <c r="Z135" i="3" s="1"/>
  <c r="X189" i="7" l="1"/>
  <c r="M190" i="7"/>
  <c r="D190" i="7"/>
  <c r="G154" i="2"/>
  <c r="P97" i="8"/>
  <c r="Q97" i="8" s="1"/>
  <c r="X97" i="8"/>
  <c r="AI97" i="8"/>
  <c r="L97" i="8"/>
  <c r="J135" i="10"/>
  <c r="G136" i="3"/>
  <c r="AA135" i="3"/>
  <c r="K135" i="10" s="1"/>
  <c r="T135" i="3"/>
  <c r="N190" i="7" l="1"/>
  <c r="W190" i="7" s="1"/>
  <c r="F191" i="7" s="1"/>
  <c r="I190" i="7"/>
  <c r="H190" i="7"/>
  <c r="AB189" i="7"/>
  <c r="C190" i="7"/>
  <c r="R190" i="7" s="1"/>
  <c r="H154" i="2"/>
  <c r="I154" i="2"/>
  <c r="AJ97" i="8"/>
  <c r="S97" i="8"/>
  <c r="Y97" i="8"/>
  <c r="AA97" i="8" s="1"/>
  <c r="AU97" i="8"/>
  <c r="O191" i="7"/>
  <c r="M154" i="2"/>
  <c r="J154" i="2"/>
  <c r="D154" i="3"/>
  <c r="G154" i="10"/>
  <c r="P191" i="7"/>
  <c r="Q191" i="7" s="1"/>
  <c r="S190" i="7"/>
  <c r="C190" i="8" s="1"/>
  <c r="J190" i="7"/>
  <c r="K190" i="7" s="1"/>
  <c r="Z97" i="8"/>
  <c r="AB97" i="8" s="1"/>
  <c r="AK97" i="8"/>
  <c r="T97" i="8"/>
  <c r="V97" i="8" s="1"/>
  <c r="H136" i="3"/>
  <c r="AB135" i="3"/>
  <c r="L135" i="10" s="1"/>
  <c r="T190" i="7" l="1"/>
  <c r="D190" i="8" s="1"/>
  <c r="F154" i="10"/>
  <c r="D154" i="10"/>
  <c r="B155" i="2"/>
  <c r="C154" i="3"/>
  <c r="L190" i="7"/>
  <c r="E191" i="8"/>
  <c r="Y191" i="7"/>
  <c r="AC97" i="8"/>
  <c r="AD97" i="8"/>
  <c r="AT97" i="8"/>
  <c r="I136" i="3"/>
  <c r="L136" i="3" s="1"/>
  <c r="M136" i="3"/>
  <c r="D155" i="2" l="1"/>
  <c r="K155" i="2"/>
  <c r="C155" i="10"/>
  <c r="C155" i="2"/>
  <c r="U190" i="7"/>
  <c r="V190" i="7"/>
  <c r="AE97" i="8"/>
  <c r="AL97" i="8"/>
  <c r="Q136" i="3"/>
  <c r="J136" i="3"/>
  <c r="K136" i="3" s="1"/>
  <c r="E155" i="2" l="1"/>
  <c r="L155" i="2"/>
  <c r="X190" i="7"/>
  <c r="D191" i="7"/>
  <c r="E191" i="7"/>
  <c r="Z190" i="7"/>
  <c r="AA190" i="7" s="1"/>
  <c r="B190" i="7" s="1"/>
  <c r="B190" i="8" s="1"/>
  <c r="U190" i="8" s="1"/>
  <c r="W190" i="8" s="1"/>
  <c r="AF97" i="8"/>
  <c r="AM97" i="8" s="1"/>
  <c r="AQ97" i="8" s="1"/>
  <c r="G98" i="8" s="1"/>
  <c r="AP97" i="8"/>
  <c r="F98" i="8" s="1"/>
  <c r="U136" i="3"/>
  <c r="N136" i="3"/>
  <c r="AC136" i="3"/>
  <c r="M136" i="10" s="1"/>
  <c r="AB190" i="7" l="1"/>
  <c r="C191" i="7"/>
  <c r="R191" i="7" s="1"/>
  <c r="F155" i="2"/>
  <c r="H191" i="7"/>
  <c r="I191" i="7"/>
  <c r="E155" i="10"/>
  <c r="B155" i="3"/>
  <c r="M191" i="7"/>
  <c r="G155" i="2"/>
  <c r="H155" i="2" s="1"/>
  <c r="AG97" i="8"/>
  <c r="AH97" i="8" s="1"/>
  <c r="AN97" i="8" s="1"/>
  <c r="V136" i="3"/>
  <c r="Y136" i="3" s="1"/>
  <c r="O136" i="3"/>
  <c r="X136" i="3"/>
  <c r="S191" i="7" l="1"/>
  <c r="C191" i="8" s="1"/>
  <c r="J191" i="7"/>
  <c r="N191" i="7"/>
  <c r="W191" i="7" s="1"/>
  <c r="F192" i="7" s="1"/>
  <c r="P136" i="3"/>
  <c r="D155" i="3"/>
  <c r="G155" i="10"/>
  <c r="K191" i="7"/>
  <c r="I155" i="2"/>
  <c r="AO97" i="8"/>
  <c r="AS97" i="8" s="1"/>
  <c r="AR97" i="8"/>
  <c r="H98" i="8" s="1"/>
  <c r="I136" i="10"/>
  <c r="F137" i="3"/>
  <c r="R136" i="3"/>
  <c r="S136" i="3" s="1"/>
  <c r="H136" i="10"/>
  <c r="E137" i="3"/>
  <c r="W136" i="3"/>
  <c r="Z136" i="3" s="1"/>
  <c r="O192" i="7" l="1"/>
  <c r="T191" i="7"/>
  <c r="D191" i="8" s="1"/>
  <c r="L191" i="7"/>
  <c r="V191" i="7" s="1"/>
  <c r="E192" i="7" s="1"/>
  <c r="M155" i="2"/>
  <c r="J155" i="2"/>
  <c r="I98" i="8"/>
  <c r="J136" i="10"/>
  <c r="G137" i="3"/>
  <c r="AA136" i="3"/>
  <c r="K136" i="10" s="1"/>
  <c r="T136" i="3"/>
  <c r="U191" i="7" l="1"/>
  <c r="P192" i="7"/>
  <c r="M192" i="7"/>
  <c r="Z191" i="7"/>
  <c r="AA191" i="7" s="1"/>
  <c r="B191" i="7" s="1"/>
  <c r="B191" i="8" s="1"/>
  <c r="U191" i="8" s="1"/>
  <c r="W191" i="8" s="1"/>
  <c r="O98" i="8"/>
  <c r="F155" i="10"/>
  <c r="C155" i="3"/>
  <c r="D155" i="10"/>
  <c r="B156" i="2"/>
  <c r="J98" i="8"/>
  <c r="N98" i="8" s="1"/>
  <c r="H137" i="3"/>
  <c r="AB136" i="3"/>
  <c r="L136" i="10" s="1"/>
  <c r="D192" i="7" l="1"/>
  <c r="H192" i="7" s="1"/>
  <c r="X191" i="7"/>
  <c r="C192" i="7" s="1"/>
  <c r="R192" i="7" s="1"/>
  <c r="Q192" i="7"/>
  <c r="N192" i="7"/>
  <c r="C156" i="10"/>
  <c r="K156" i="2"/>
  <c r="D156" i="2"/>
  <c r="C156" i="2"/>
  <c r="E192" i="8"/>
  <c r="Y192" i="7"/>
  <c r="R98" i="8"/>
  <c r="K98" i="8"/>
  <c r="I137" i="3"/>
  <c r="L137" i="3" s="1"/>
  <c r="M137" i="3"/>
  <c r="I192" i="7" l="1"/>
  <c r="S192" i="7" s="1"/>
  <c r="C192" i="8" s="1"/>
  <c r="AB191" i="7"/>
  <c r="J192" i="7"/>
  <c r="L156" i="2"/>
  <c r="E156" i="2"/>
  <c r="W192" i="7"/>
  <c r="F193" i="7" s="1"/>
  <c r="L98" i="8"/>
  <c r="M98" i="8"/>
  <c r="Q137" i="3"/>
  <c r="J137" i="3"/>
  <c r="K137" i="3" s="1"/>
  <c r="K192" i="7" l="1"/>
  <c r="B156" i="3"/>
  <c r="E156" i="10"/>
  <c r="F156" i="2"/>
  <c r="O193" i="7"/>
  <c r="T192" i="7"/>
  <c r="D192" i="8" s="1"/>
  <c r="AU98" i="8"/>
  <c r="L192" i="7"/>
  <c r="V192" i="7" s="1"/>
  <c r="X98" i="8"/>
  <c r="P98" i="8"/>
  <c r="Q98" i="8" s="1"/>
  <c r="AI98" i="8"/>
  <c r="U137" i="3"/>
  <c r="N137" i="3"/>
  <c r="AC137" i="3"/>
  <c r="M137" i="10" s="1"/>
  <c r="G156" i="2" l="1"/>
  <c r="P193" i="7"/>
  <c r="Q193" i="7" s="1"/>
  <c r="I156" i="2"/>
  <c r="H156" i="2"/>
  <c r="U192" i="7"/>
  <c r="Z192" i="7"/>
  <c r="AA192" i="7" s="1"/>
  <c r="B192" i="7" s="1"/>
  <c r="B192" i="8" s="1"/>
  <c r="U192" i="8" s="1"/>
  <c r="W192" i="8" s="1"/>
  <c r="E193" i="7"/>
  <c r="X137" i="3"/>
  <c r="Y98" i="8"/>
  <c r="AA98" i="8" s="1"/>
  <c r="S98" i="8"/>
  <c r="AJ98" i="8"/>
  <c r="V137" i="3"/>
  <c r="Y137" i="3" s="1"/>
  <c r="O137" i="3"/>
  <c r="P137" i="3" l="1"/>
  <c r="E193" i="8"/>
  <c r="Y193" i="7"/>
  <c r="J156" i="2"/>
  <c r="G156" i="10"/>
  <c r="M156" i="2"/>
  <c r="D156" i="3"/>
  <c r="X192" i="7"/>
  <c r="D193" i="7"/>
  <c r="Z98" i="8"/>
  <c r="AB98" i="8" s="1"/>
  <c r="M193" i="7"/>
  <c r="E138" i="3"/>
  <c r="H137" i="10"/>
  <c r="T98" i="8"/>
  <c r="V98" i="8" s="1"/>
  <c r="AK98" i="8"/>
  <c r="I137" i="10"/>
  <c r="F138" i="3"/>
  <c r="R137" i="3"/>
  <c r="S137" i="3" s="1"/>
  <c r="W137" i="3"/>
  <c r="Z137" i="3" s="1"/>
  <c r="D156" i="10" l="1"/>
  <c r="F156" i="10"/>
  <c r="C156" i="3"/>
  <c r="B157" i="2"/>
  <c r="AB192" i="7"/>
  <c r="C193" i="7"/>
  <c r="R193" i="7" s="1"/>
  <c r="I193" i="7"/>
  <c r="H193" i="7"/>
  <c r="AC98" i="8"/>
  <c r="N193" i="7"/>
  <c r="AT98" i="8"/>
  <c r="J137" i="10"/>
  <c r="G138" i="3"/>
  <c r="AA137" i="3"/>
  <c r="K137" i="10" s="1"/>
  <c r="T137" i="3"/>
  <c r="J193" i="7" l="1"/>
  <c r="C157" i="2"/>
  <c r="D157" i="2"/>
  <c r="K157" i="2"/>
  <c r="C157" i="10"/>
  <c r="S193" i="7"/>
  <c r="C193" i="8" s="1"/>
  <c r="AD98" i="8"/>
  <c r="W193" i="7"/>
  <c r="F194" i="7" s="1"/>
  <c r="AB137" i="3"/>
  <c r="L137" i="10" s="1"/>
  <c r="H138" i="3"/>
  <c r="K193" i="7" l="1"/>
  <c r="T193" i="7" s="1"/>
  <c r="D193" i="8" s="1"/>
  <c r="E157" i="2"/>
  <c r="L157" i="2"/>
  <c r="AE98" i="8"/>
  <c r="AL98" i="8"/>
  <c r="O194" i="7"/>
  <c r="M138" i="3"/>
  <c r="I138" i="3"/>
  <c r="L138" i="3" s="1"/>
  <c r="L193" i="7" l="1"/>
  <c r="F157" i="2"/>
  <c r="E157" i="10"/>
  <c r="B157" i="3"/>
  <c r="AF98" i="8"/>
  <c r="AM98" i="8" s="1"/>
  <c r="AQ98" i="8" s="1"/>
  <c r="G99" i="8" s="1"/>
  <c r="AP98" i="8"/>
  <c r="F99" i="8" s="1"/>
  <c r="P194" i="7"/>
  <c r="Q194" i="7" s="1"/>
  <c r="Q138" i="3"/>
  <c r="J138" i="3"/>
  <c r="K138" i="3" s="1"/>
  <c r="U193" i="7" l="1"/>
  <c r="V193" i="7"/>
  <c r="Z193" i="7" s="1"/>
  <c r="AA193" i="7" s="1"/>
  <c r="B193" i="7" s="1"/>
  <c r="B193" i="8" s="1"/>
  <c r="U193" i="8" s="1"/>
  <c r="W193" i="8" s="1"/>
  <c r="AG98" i="8"/>
  <c r="AH98" i="8" s="1"/>
  <c r="AN98" i="8" s="1"/>
  <c r="AR98" i="8" s="1"/>
  <c r="H99" i="8" s="1"/>
  <c r="G157" i="2"/>
  <c r="H157" i="2" s="1"/>
  <c r="E194" i="8"/>
  <c r="Y194" i="7"/>
  <c r="U138" i="3"/>
  <c r="N138" i="3"/>
  <c r="AC138" i="3"/>
  <c r="M138" i="10" s="1"/>
  <c r="E194" i="7" l="1"/>
  <c r="M194" i="7" s="1"/>
  <c r="D194" i="7"/>
  <c r="X193" i="7"/>
  <c r="I99" i="8"/>
  <c r="AO98" i="8"/>
  <c r="AS98" i="8" s="1"/>
  <c r="G157" i="10"/>
  <c r="D157" i="3"/>
  <c r="I157" i="2"/>
  <c r="X138" i="3"/>
  <c r="J157" i="2"/>
  <c r="V138" i="3"/>
  <c r="Y138" i="3" s="1"/>
  <c r="O138" i="3"/>
  <c r="I194" i="7" l="1"/>
  <c r="H194" i="7"/>
  <c r="J194" i="7" s="1"/>
  <c r="C194" i="7"/>
  <c r="R194" i="7" s="1"/>
  <c r="AB193" i="7"/>
  <c r="O99" i="8"/>
  <c r="J99" i="8"/>
  <c r="N99" i="8" s="1"/>
  <c r="N194" i="7"/>
  <c r="W194" i="7" s="1"/>
  <c r="F195" i="7" s="1"/>
  <c r="H138" i="10"/>
  <c r="M157" i="2"/>
  <c r="E139" i="3"/>
  <c r="P138" i="3"/>
  <c r="D157" i="10"/>
  <c r="B158" i="2"/>
  <c r="I138" i="10"/>
  <c r="F139" i="3"/>
  <c r="R138" i="3"/>
  <c r="S138" i="3" s="1"/>
  <c r="W138" i="3"/>
  <c r="Z138" i="3" s="1"/>
  <c r="K99" i="8" l="1"/>
  <c r="M99" i="8" s="1"/>
  <c r="R99" i="8"/>
  <c r="O195" i="7"/>
  <c r="S194" i="7"/>
  <c r="C194" i="8" s="1"/>
  <c r="K194" i="7"/>
  <c r="F157" i="10"/>
  <c r="C157" i="3"/>
  <c r="AI99" i="8"/>
  <c r="P99" i="8"/>
  <c r="Q99" i="8" s="1"/>
  <c r="X99" i="8"/>
  <c r="L99" i="8"/>
  <c r="AU99" i="8" s="1"/>
  <c r="K158" i="2"/>
  <c r="Y99" i="8"/>
  <c r="AA99" i="8" s="1"/>
  <c r="C158" i="2"/>
  <c r="C158" i="10"/>
  <c r="D158" i="2"/>
  <c r="P195" i="7"/>
  <c r="Q195" i="7" s="1"/>
  <c r="G139" i="3"/>
  <c r="J138" i="10"/>
  <c r="AA138" i="3"/>
  <c r="K138" i="10" s="1"/>
  <c r="T138" i="3"/>
  <c r="L194" i="7" l="1"/>
  <c r="T194" i="7"/>
  <c r="D194" i="8" s="1"/>
  <c r="AJ99" i="8"/>
  <c r="S99" i="8"/>
  <c r="U194" i="7"/>
  <c r="V194" i="7"/>
  <c r="E158" i="2"/>
  <c r="Z99" i="8"/>
  <c r="AB99" i="8" s="1"/>
  <c r="E195" i="8"/>
  <c r="Y195" i="7"/>
  <c r="L158" i="2"/>
  <c r="AB138" i="3"/>
  <c r="L138" i="10" s="1"/>
  <c r="H139" i="3"/>
  <c r="AK99" i="8" l="1"/>
  <c r="D195" i="7"/>
  <c r="E195" i="7"/>
  <c r="Z194" i="7"/>
  <c r="AA194" i="7" s="1"/>
  <c r="B194" i="7" s="1"/>
  <c r="B194" i="8" s="1"/>
  <c r="U194" i="8" s="1"/>
  <c r="W194" i="8" s="1"/>
  <c r="T99" i="8"/>
  <c r="V99" i="8" s="1"/>
  <c r="X194" i="7"/>
  <c r="E158" i="10"/>
  <c r="B158" i="3"/>
  <c r="F158" i="2"/>
  <c r="AC99" i="8"/>
  <c r="AD99" i="8" s="1"/>
  <c r="I139" i="3"/>
  <c r="L139" i="3" s="1"/>
  <c r="M139" i="3"/>
  <c r="AT99" i="8" l="1"/>
  <c r="C195" i="7"/>
  <c r="R195" i="7" s="1"/>
  <c r="I195" i="7"/>
  <c r="M195" i="7"/>
  <c r="H195" i="7"/>
  <c r="AB194" i="7"/>
  <c r="G158" i="2"/>
  <c r="H158" i="2" s="1"/>
  <c r="AE99" i="8"/>
  <c r="AL99" i="8"/>
  <c r="Q139" i="3"/>
  <c r="J139" i="3"/>
  <c r="K139" i="3" s="1"/>
  <c r="S195" i="7" l="1"/>
  <c r="C195" i="8" s="1"/>
  <c r="N195" i="7"/>
  <c r="W195" i="7" s="1"/>
  <c r="F196" i="7" s="1"/>
  <c r="J195" i="7"/>
  <c r="K195" i="7" s="1"/>
  <c r="D158" i="3"/>
  <c r="I158" i="2"/>
  <c r="G158" i="10"/>
  <c r="AF99" i="8"/>
  <c r="AM99" i="8" s="1"/>
  <c r="AQ99" i="8" s="1"/>
  <c r="G100" i="8" s="1"/>
  <c r="AP99" i="8"/>
  <c r="F100" i="8" s="1"/>
  <c r="U139" i="3"/>
  <c r="N139" i="3"/>
  <c r="AC139" i="3"/>
  <c r="M139" i="10" s="1"/>
  <c r="O196" i="7" l="1"/>
  <c r="T195" i="7"/>
  <c r="D195" i="8" s="1"/>
  <c r="L195" i="7"/>
  <c r="V195" i="7" s="1"/>
  <c r="E196" i="7" s="1"/>
  <c r="M158" i="2"/>
  <c r="X139" i="3"/>
  <c r="J158" i="2"/>
  <c r="AG99" i="8"/>
  <c r="AH99" i="8" s="1"/>
  <c r="AN99" i="8" s="1"/>
  <c r="AR99" i="8" s="1"/>
  <c r="H100" i="8" s="1"/>
  <c r="V139" i="3"/>
  <c r="Y139" i="3" s="1"/>
  <c r="O139" i="3"/>
  <c r="P196" i="7" l="1"/>
  <c r="Q196" i="7" s="1"/>
  <c r="Z195" i="7"/>
  <c r="AA195" i="7" s="1"/>
  <c r="B195" i="7" s="1"/>
  <c r="M196" i="7"/>
  <c r="U195" i="7"/>
  <c r="F158" i="10"/>
  <c r="C158" i="3"/>
  <c r="E140" i="3"/>
  <c r="H139" i="10"/>
  <c r="B159" i="2"/>
  <c r="D158" i="10"/>
  <c r="W139" i="3"/>
  <c r="Z139" i="3" s="1"/>
  <c r="AO99" i="8"/>
  <c r="I100" i="8"/>
  <c r="P139" i="3"/>
  <c r="I139" i="10"/>
  <c r="F140" i="3"/>
  <c r="R139" i="3"/>
  <c r="S139" i="3" s="1"/>
  <c r="Y196" i="7" l="1"/>
  <c r="E196" i="8"/>
  <c r="X195" i="7"/>
  <c r="D196" i="7"/>
  <c r="B195" i="8"/>
  <c r="N196" i="7"/>
  <c r="W196" i="7" s="1"/>
  <c r="F197" i="7" s="1"/>
  <c r="O100" i="8"/>
  <c r="J100" i="8"/>
  <c r="N100" i="8" s="1"/>
  <c r="C159" i="10"/>
  <c r="C159" i="2"/>
  <c r="D159" i="2"/>
  <c r="K159" i="2"/>
  <c r="AS99" i="8"/>
  <c r="G140" i="3"/>
  <c r="J139" i="10"/>
  <c r="AA139" i="3"/>
  <c r="K139" i="10" s="1"/>
  <c r="T139" i="3"/>
  <c r="U195" i="8" l="1"/>
  <c r="W195" i="8" s="1"/>
  <c r="C196" i="7"/>
  <c r="R196" i="7" s="1"/>
  <c r="AB195" i="7"/>
  <c r="H196" i="7"/>
  <c r="I196" i="7"/>
  <c r="O197" i="7"/>
  <c r="R100" i="8"/>
  <c r="K100" i="8"/>
  <c r="M100" i="8" s="1"/>
  <c r="P197" i="7"/>
  <c r="Q197" i="7" s="1"/>
  <c r="Y197" i="7" s="1"/>
  <c r="E159" i="2"/>
  <c r="F159" i="2" s="1"/>
  <c r="L159" i="2"/>
  <c r="H140" i="3"/>
  <c r="AB139" i="3"/>
  <c r="L139" i="10" s="1"/>
  <c r="L100" i="8" l="1"/>
  <c r="S196" i="7"/>
  <c r="C196" i="8" s="1"/>
  <c r="J196" i="7"/>
  <c r="K196" i="7" s="1"/>
  <c r="E197" i="8"/>
  <c r="P100" i="8"/>
  <c r="Q100" i="8" s="1"/>
  <c r="X100" i="8"/>
  <c r="AI100" i="8"/>
  <c r="G159" i="2"/>
  <c r="H159" i="2" s="1"/>
  <c r="I140" i="3"/>
  <c r="L140" i="3" s="1"/>
  <c r="B159" i="3"/>
  <c r="E159" i="10"/>
  <c r="M140" i="3"/>
  <c r="AU100" i="8" l="1"/>
  <c r="T196" i="7"/>
  <c r="D196" i="8" s="1"/>
  <c r="L196" i="7"/>
  <c r="V196" i="7" s="1"/>
  <c r="S100" i="8"/>
  <c r="Y100" i="8"/>
  <c r="AA100" i="8" s="1"/>
  <c r="AJ100" i="8"/>
  <c r="G159" i="10"/>
  <c r="I159" i="2"/>
  <c r="D159" i="3"/>
  <c r="Q140" i="3"/>
  <c r="J140" i="3"/>
  <c r="K140" i="3" s="1"/>
  <c r="Z100" i="8"/>
  <c r="AB100" i="8" s="1"/>
  <c r="E197" i="7"/>
  <c r="Z196" i="7"/>
  <c r="AA196" i="7" s="1"/>
  <c r="B196" i="7" s="1"/>
  <c r="U196" i="7" l="1"/>
  <c r="AK100" i="8"/>
  <c r="J159" i="2"/>
  <c r="M159" i="2"/>
  <c r="T100" i="8"/>
  <c r="V100" i="8" s="1"/>
  <c r="U140" i="3"/>
  <c r="N140" i="3"/>
  <c r="AC140" i="3"/>
  <c r="M140" i="10" s="1"/>
  <c r="D197" i="7"/>
  <c r="X196" i="7"/>
  <c r="AC100" i="8"/>
  <c r="M197" i="7"/>
  <c r="B196" i="8"/>
  <c r="D159" i="10"/>
  <c r="B160" i="2"/>
  <c r="F159" i="10"/>
  <c r="C159" i="3"/>
  <c r="AT100" i="8" l="1"/>
  <c r="V140" i="3"/>
  <c r="Y140" i="3" s="1"/>
  <c r="O140" i="3"/>
  <c r="X140" i="3"/>
  <c r="AD100" i="8"/>
  <c r="U196" i="8"/>
  <c r="W196" i="8" s="1"/>
  <c r="AB196" i="7"/>
  <c r="I197" i="7"/>
  <c r="H197" i="7"/>
  <c r="C197" i="7"/>
  <c r="N197" i="7"/>
  <c r="W197" i="7" s="1"/>
  <c r="F198" i="7" s="1"/>
  <c r="C160" i="2"/>
  <c r="D160" i="2"/>
  <c r="K160" i="2"/>
  <c r="C160" i="10"/>
  <c r="I140" i="10" l="1"/>
  <c r="P140" i="3"/>
  <c r="F141" i="3"/>
  <c r="R140" i="3"/>
  <c r="S140" i="3" s="1"/>
  <c r="W140" i="3"/>
  <c r="Z140" i="3" s="1"/>
  <c r="E141" i="3"/>
  <c r="H140" i="10"/>
  <c r="R197" i="7"/>
  <c r="AL100" i="8"/>
  <c r="J197" i="7"/>
  <c r="AE100" i="8"/>
  <c r="O198" i="7"/>
  <c r="L160" i="2"/>
  <c r="E160" i="2"/>
  <c r="S197" i="7" l="1"/>
  <c r="C197" i="8" s="1"/>
  <c r="AP100" i="8"/>
  <c r="F101" i="8" s="1"/>
  <c r="T140" i="3"/>
  <c r="G141" i="3"/>
  <c r="J140" i="10"/>
  <c r="AA140" i="3"/>
  <c r="K140" i="10" s="1"/>
  <c r="P198" i="7"/>
  <c r="Q198" i="7" s="1"/>
  <c r="K197" i="7"/>
  <c r="AF100" i="8"/>
  <c r="AM100" i="8" s="1"/>
  <c r="AQ100" i="8" s="1"/>
  <c r="G101" i="8" s="1"/>
  <c r="B160" i="3"/>
  <c r="E160" i="10"/>
  <c r="F160" i="2"/>
  <c r="Y198" i="7" l="1"/>
  <c r="E198" i="8"/>
  <c r="H141" i="3"/>
  <c r="AB140" i="3"/>
  <c r="L140" i="10" s="1"/>
  <c r="T197" i="7"/>
  <c r="D197" i="8" s="1"/>
  <c r="L197" i="7"/>
  <c r="V197" i="7" s="1"/>
  <c r="AG100" i="8"/>
  <c r="AH100" i="8" s="1"/>
  <c r="AN100" i="8" s="1"/>
  <c r="AR100" i="8" s="1"/>
  <c r="H101" i="8" s="1"/>
  <c r="G160" i="2"/>
  <c r="M141" i="3" l="1"/>
  <c r="E198" i="7"/>
  <c r="U197" i="7"/>
  <c r="I141" i="3"/>
  <c r="L141" i="3" s="1"/>
  <c r="AO100" i="8"/>
  <c r="Z197" i="7"/>
  <c r="AA197" i="7" s="1"/>
  <c r="B197" i="7" s="1"/>
  <c r="I101" i="8"/>
  <c r="I160" i="2"/>
  <c r="H160" i="2"/>
  <c r="O101" i="8" l="1"/>
  <c r="J101" i="8"/>
  <c r="N101" i="8" s="1"/>
  <c r="Q141" i="3"/>
  <c r="M198" i="7"/>
  <c r="D198" i="7"/>
  <c r="X197" i="7"/>
  <c r="J141" i="3"/>
  <c r="K141" i="3" s="1"/>
  <c r="AS100" i="8"/>
  <c r="B197" i="8"/>
  <c r="M160" i="2"/>
  <c r="J160" i="2"/>
  <c r="D160" i="3"/>
  <c r="G160" i="10"/>
  <c r="N198" i="7" l="1"/>
  <c r="W198" i="7" s="1"/>
  <c r="F199" i="7" s="1"/>
  <c r="R101" i="8"/>
  <c r="K101" i="8"/>
  <c r="M101" i="8" s="1"/>
  <c r="U197" i="8"/>
  <c r="W197" i="8" s="1"/>
  <c r="H198" i="7"/>
  <c r="I198" i="7"/>
  <c r="AB197" i="7"/>
  <c r="C198" i="7"/>
  <c r="U141" i="3"/>
  <c r="N141" i="3"/>
  <c r="AC141" i="3"/>
  <c r="M141" i="10" s="1"/>
  <c r="F160" i="10"/>
  <c r="C160" i="3"/>
  <c r="D160" i="10"/>
  <c r="B161" i="2"/>
  <c r="O199" i="7" l="1"/>
  <c r="AI101" i="8"/>
  <c r="J198" i="7"/>
  <c r="P101" i="8"/>
  <c r="Q101" i="8" s="1"/>
  <c r="L101" i="8"/>
  <c r="X101" i="8"/>
  <c r="R198" i="7"/>
  <c r="S198" i="7" s="1"/>
  <c r="C198" i="8" s="1"/>
  <c r="V141" i="3"/>
  <c r="Y141" i="3" s="1"/>
  <c r="O141" i="3"/>
  <c r="X141" i="3"/>
  <c r="C161" i="2"/>
  <c r="D161" i="2"/>
  <c r="K161" i="2"/>
  <c r="C161" i="10"/>
  <c r="K198" i="7" l="1"/>
  <c r="T198" i="7" s="1"/>
  <c r="D198" i="8" s="1"/>
  <c r="P199" i="7"/>
  <c r="Q199" i="7" s="1"/>
  <c r="P141" i="3"/>
  <c r="AJ101" i="8"/>
  <c r="S101" i="8"/>
  <c r="Y101" i="8"/>
  <c r="AA101" i="8" s="1"/>
  <c r="AU101" i="8"/>
  <c r="I141" i="10"/>
  <c r="F142" i="3"/>
  <c r="R141" i="3"/>
  <c r="S141" i="3" s="1"/>
  <c r="E142" i="3"/>
  <c r="W141" i="3"/>
  <c r="Z141" i="3" s="1"/>
  <c r="H141" i="10"/>
  <c r="Z101" i="8"/>
  <c r="AB101" i="8" s="1"/>
  <c r="E199" i="8"/>
  <c r="Y199" i="7"/>
  <c r="E161" i="2"/>
  <c r="L161" i="2"/>
  <c r="L198" i="7" l="1"/>
  <c r="V198" i="7" s="1"/>
  <c r="G142" i="3"/>
  <c r="J141" i="10"/>
  <c r="AA141" i="3"/>
  <c r="K141" i="10" s="1"/>
  <c r="T101" i="8"/>
  <c r="V101" i="8" s="1"/>
  <c r="AK101" i="8"/>
  <c r="T141" i="3"/>
  <c r="AC101" i="8"/>
  <c r="H142" i="3"/>
  <c r="F161" i="2"/>
  <c r="E161" i="10"/>
  <c r="B161" i="3"/>
  <c r="AB141" i="3"/>
  <c r="L141" i="10" s="1"/>
  <c r="E199" i="7" l="1"/>
  <c r="Z198" i="7"/>
  <c r="AA198" i="7" s="1"/>
  <c r="B198" i="7" s="1"/>
  <c r="U198" i="7"/>
  <c r="AT101" i="8"/>
  <c r="AD101" i="8"/>
  <c r="AL101" i="8" s="1"/>
  <c r="I142" i="3"/>
  <c r="L142" i="3" s="1"/>
  <c r="M142" i="3"/>
  <c r="G161" i="2"/>
  <c r="X198" i="7" l="1"/>
  <c r="D199" i="7"/>
  <c r="M199" i="7"/>
  <c r="B198" i="8"/>
  <c r="AE101" i="8"/>
  <c r="AP101" i="8"/>
  <c r="F102" i="8" s="1"/>
  <c r="C199" i="7"/>
  <c r="R199" i="7" s="1"/>
  <c r="AB198" i="7"/>
  <c r="Q142" i="3"/>
  <c r="I161" i="2"/>
  <c r="H161" i="2"/>
  <c r="J142" i="3"/>
  <c r="I199" i="7" l="1"/>
  <c r="H199" i="7"/>
  <c r="U198" i="8"/>
  <c r="W198" i="8" s="1"/>
  <c r="N199" i="7"/>
  <c r="W199" i="7" s="1"/>
  <c r="F200" i="7" s="1"/>
  <c r="J199" i="7"/>
  <c r="AF101" i="8"/>
  <c r="AM101" i="8" s="1"/>
  <c r="O200" i="7"/>
  <c r="S199" i="7"/>
  <c r="C199" i="8" s="1"/>
  <c r="M161" i="2"/>
  <c r="J161" i="2"/>
  <c r="D161" i="3"/>
  <c r="G161" i="10"/>
  <c r="AC142" i="3"/>
  <c r="M142" i="10" s="1"/>
  <c r="K142" i="3"/>
  <c r="K199" i="7" l="1"/>
  <c r="T199" i="7" s="1"/>
  <c r="D199" i="8" s="1"/>
  <c r="AG101" i="8"/>
  <c r="AH101" i="8" s="1"/>
  <c r="AN101" i="8" s="1"/>
  <c r="AR101" i="8" s="1"/>
  <c r="H102" i="8" s="1"/>
  <c r="AQ101" i="8"/>
  <c r="G102" i="8" s="1"/>
  <c r="P200" i="7"/>
  <c r="Q200" i="7" s="1"/>
  <c r="F161" i="10"/>
  <c r="C161" i="3"/>
  <c r="D161" i="10"/>
  <c r="B162" i="2"/>
  <c r="U142" i="3"/>
  <c r="N142" i="3"/>
  <c r="L199" i="7" l="1"/>
  <c r="V199" i="7" s="1"/>
  <c r="I102" i="8"/>
  <c r="AO101" i="8"/>
  <c r="AS101" i="8" s="1"/>
  <c r="X142" i="3"/>
  <c r="Y200" i="7"/>
  <c r="E200" i="8"/>
  <c r="C162" i="2"/>
  <c r="D162" i="2"/>
  <c r="K162" i="2"/>
  <c r="C162" i="10"/>
  <c r="V142" i="3"/>
  <c r="Y142" i="3" s="1"/>
  <c r="O142" i="3"/>
  <c r="Z199" i="7" l="1"/>
  <c r="AA199" i="7" s="1"/>
  <c r="B199" i="7" s="1"/>
  <c r="B199" i="8" s="1"/>
  <c r="E200" i="7"/>
  <c r="U199" i="7"/>
  <c r="M200" i="7"/>
  <c r="X199" i="7"/>
  <c r="D200" i="7"/>
  <c r="J102" i="8"/>
  <c r="N102" i="8" s="1"/>
  <c r="R102" i="8" s="1"/>
  <c r="O102" i="8"/>
  <c r="E143" i="3"/>
  <c r="H142" i="10"/>
  <c r="E162" i="2"/>
  <c r="P142" i="3"/>
  <c r="I142" i="10"/>
  <c r="F143" i="3"/>
  <c r="R142" i="3"/>
  <c r="S142" i="3" s="1"/>
  <c r="L162" i="2"/>
  <c r="W142" i="3"/>
  <c r="Z142" i="3" s="1"/>
  <c r="U199" i="8" l="1"/>
  <c r="W199" i="8" s="1"/>
  <c r="C200" i="7"/>
  <c r="R200" i="7" s="1"/>
  <c r="AB199" i="7"/>
  <c r="I200" i="7"/>
  <c r="H200" i="7"/>
  <c r="AA142" i="3"/>
  <c r="K142" i="10" s="1"/>
  <c r="N200" i="7"/>
  <c r="W200" i="7" s="1"/>
  <c r="F201" i="7" s="1"/>
  <c r="K102" i="8"/>
  <c r="M102" i="8" s="1"/>
  <c r="F162" i="2"/>
  <c r="E162" i="10"/>
  <c r="B162" i="3"/>
  <c r="J142" i="10"/>
  <c r="G143" i="3"/>
  <c r="T142" i="3"/>
  <c r="J200" i="7" l="1"/>
  <c r="O201" i="7"/>
  <c r="S200" i="7"/>
  <c r="C200" i="8" s="1"/>
  <c r="X102" i="8"/>
  <c r="AI102" i="8"/>
  <c r="P102" i="8"/>
  <c r="Q102" i="8" s="1"/>
  <c r="L102" i="8"/>
  <c r="G162" i="2"/>
  <c r="H143" i="3"/>
  <c r="AB142" i="3"/>
  <c r="L142" i="10" s="1"/>
  <c r="K200" i="7" l="1"/>
  <c r="P201" i="7"/>
  <c r="Q201" i="7" s="1"/>
  <c r="AU102" i="8"/>
  <c r="Z102" i="8"/>
  <c r="AB102" i="8" s="1"/>
  <c r="Y102" i="8"/>
  <c r="AA102" i="8" s="1"/>
  <c r="AJ102" i="8"/>
  <c r="S102" i="8"/>
  <c r="I162" i="2"/>
  <c r="H162" i="2"/>
  <c r="I143" i="3"/>
  <c r="L143" i="3" s="1"/>
  <c r="M143" i="3"/>
  <c r="L200" i="7" l="1"/>
  <c r="V200" i="7" s="1"/>
  <c r="T200" i="7"/>
  <c r="D200" i="8" s="1"/>
  <c r="E201" i="8"/>
  <c r="Y201" i="7"/>
  <c r="AC102" i="8"/>
  <c r="AK102" i="8"/>
  <c r="T102" i="8"/>
  <c r="V102" i="8" s="1"/>
  <c r="AT102" i="8" s="1"/>
  <c r="J162" i="2"/>
  <c r="M162" i="2"/>
  <c r="D162" i="3"/>
  <c r="G162" i="10"/>
  <c r="Q143" i="3"/>
  <c r="J143" i="3"/>
  <c r="K143" i="3" s="1"/>
  <c r="E201" i="7" l="1"/>
  <c r="M201" i="7" s="1"/>
  <c r="Z200" i="7"/>
  <c r="AA200" i="7" s="1"/>
  <c r="B200" i="7" s="1"/>
  <c r="B200" i="8" s="1"/>
  <c r="U200" i="7"/>
  <c r="AD102" i="8"/>
  <c r="B163" i="2"/>
  <c r="D162" i="10"/>
  <c r="C162" i="3"/>
  <c r="F162" i="10"/>
  <c r="U143" i="3"/>
  <c r="N143" i="3"/>
  <c r="AC143" i="3"/>
  <c r="M143" i="10" s="1"/>
  <c r="AL102" i="8" l="1"/>
  <c r="AP102" i="8" s="1"/>
  <c r="F103" i="8" s="1"/>
  <c r="X200" i="7"/>
  <c r="D201" i="7"/>
  <c r="U200" i="8"/>
  <c r="W200" i="8" s="1"/>
  <c r="N201" i="7"/>
  <c r="W201" i="7" s="1"/>
  <c r="F202" i="7" s="1"/>
  <c r="AE102" i="8"/>
  <c r="C201" i="7"/>
  <c r="R201" i="7" s="1"/>
  <c r="AB200" i="7"/>
  <c r="I201" i="7"/>
  <c r="H201" i="7"/>
  <c r="X143" i="3"/>
  <c r="K163" i="2"/>
  <c r="D163" i="2"/>
  <c r="L163" i="2" s="1"/>
  <c r="C163" i="10"/>
  <c r="C163" i="2"/>
  <c r="E163" i="2" s="1"/>
  <c r="V143" i="3"/>
  <c r="Y143" i="3" s="1"/>
  <c r="O143" i="3"/>
  <c r="J201" i="7" l="1"/>
  <c r="O202" i="7"/>
  <c r="AF102" i="8"/>
  <c r="AM102" i="8" s="1"/>
  <c r="AQ102" i="8" s="1"/>
  <c r="G103" i="8" s="1"/>
  <c r="S201" i="7"/>
  <c r="C201" i="8" s="1"/>
  <c r="P143" i="3"/>
  <c r="E144" i="3"/>
  <c r="H143" i="10"/>
  <c r="F163" i="2"/>
  <c r="E163" i="10"/>
  <c r="B163" i="3"/>
  <c r="I143" i="10"/>
  <c r="F144" i="3"/>
  <c r="R143" i="3"/>
  <c r="S143" i="3" s="1"/>
  <c r="W143" i="3"/>
  <c r="Z143" i="3" s="1"/>
  <c r="K201" i="7" l="1"/>
  <c r="AG102" i="8"/>
  <c r="AH102" i="8" s="1"/>
  <c r="AN102" i="8" s="1"/>
  <c r="P202" i="7"/>
  <c r="Q202" i="7" s="1"/>
  <c r="E202" i="8" s="1"/>
  <c r="Y202" i="7"/>
  <c r="T201" i="7"/>
  <c r="D201" i="8" s="1"/>
  <c r="G163" i="2"/>
  <c r="J143" i="10"/>
  <c r="G144" i="3"/>
  <c r="T143" i="3"/>
  <c r="AA143" i="3"/>
  <c r="K143" i="10" s="1"/>
  <c r="AO102" i="8" l="1"/>
  <c r="AR102" i="8"/>
  <c r="H103" i="8" s="1"/>
  <c r="L201" i="7"/>
  <c r="AS102" i="8"/>
  <c r="I163" i="2"/>
  <c r="H163" i="2"/>
  <c r="H144" i="3"/>
  <c r="AB143" i="3"/>
  <c r="L143" i="10" s="1"/>
  <c r="U201" i="7" l="1"/>
  <c r="V201" i="7"/>
  <c r="I103" i="8"/>
  <c r="M144" i="3"/>
  <c r="M163" i="2"/>
  <c r="J163" i="2"/>
  <c r="D163" i="3"/>
  <c r="G163" i="10"/>
  <c r="I144" i="3"/>
  <c r="L144" i="3" s="1"/>
  <c r="X201" i="7" l="1"/>
  <c r="D202" i="7"/>
  <c r="Z201" i="7"/>
  <c r="AA201" i="7" s="1"/>
  <c r="B201" i="7" s="1"/>
  <c r="B201" i="8" s="1"/>
  <c r="U201" i="8" s="1"/>
  <c r="W201" i="8" s="1"/>
  <c r="E202" i="7"/>
  <c r="J103" i="8"/>
  <c r="O103" i="8"/>
  <c r="F163" i="10"/>
  <c r="C163" i="3"/>
  <c r="D163" i="10"/>
  <c r="B164" i="2"/>
  <c r="Q144" i="3"/>
  <c r="J144" i="3"/>
  <c r="K144" i="3" s="1"/>
  <c r="C202" i="7" l="1"/>
  <c r="R202" i="7" s="1"/>
  <c r="S202" i="7" s="1"/>
  <c r="C202" i="8" s="1"/>
  <c r="AB201" i="7"/>
  <c r="H202" i="7"/>
  <c r="J202" i="7" s="1"/>
  <c r="K202" i="7" s="1"/>
  <c r="I202" i="7"/>
  <c r="M202" i="7"/>
  <c r="N103" i="8"/>
  <c r="R103" i="8" s="1"/>
  <c r="K103" i="8"/>
  <c r="M103" i="8" s="1"/>
  <c r="C164" i="2"/>
  <c r="D164" i="2"/>
  <c r="K164" i="2"/>
  <c r="C164" i="10"/>
  <c r="U144" i="3"/>
  <c r="N144" i="3"/>
  <c r="AC144" i="3"/>
  <c r="M144" i="10" s="1"/>
  <c r="N202" i="7" l="1"/>
  <c r="W202" i="7" s="1"/>
  <c r="F203" i="7" s="1"/>
  <c r="L202" i="7"/>
  <c r="T202" i="7"/>
  <c r="D202" i="8" s="1"/>
  <c r="X103" i="8"/>
  <c r="P103" i="8"/>
  <c r="Q103" i="8" s="1"/>
  <c r="AI103" i="8"/>
  <c r="L103" i="8"/>
  <c r="U202" i="7"/>
  <c r="E164" i="2"/>
  <c r="L164" i="2"/>
  <c r="V144" i="3"/>
  <c r="Y144" i="3" s="1"/>
  <c r="O144" i="3"/>
  <c r="P144" i="3"/>
  <c r="X144" i="3"/>
  <c r="O203" i="7" l="1"/>
  <c r="AU103" i="8"/>
  <c r="Y103" i="8"/>
  <c r="AA103" i="8" s="1"/>
  <c r="S103" i="8"/>
  <c r="AJ103" i="8"/>
  <c r="V202" i="7"/>
  <c r="D203" i="7"/>
  <c r="F164" i="2"/>
  <c r="Z103" i="8"/>
  <c r="AB103" i="8" s="1"/>
  <c r="E164" i="10"/>
  <c r="B164" i="3"/>
  <c r="I144" i="10"/>
  <c r="F145" i="3"/>
  <c r="R144" i="3"/>
  <c r="S144" i="3" s="1"/>
  <c r="H144" i="10"/>
  <c r="E145" i="3"/>
  <c r="W144" i="3"/>
  <c r="Z144" i="3" s="1"/>
  <c r="E203" i="7" l="1"/>
  <c r="Z202" i="7"/>
  <c r="AA202" i="7" s="1"/>
  <c r="B202" i="7" s="1"/>
  <c r="B202" i="8" s="1"/>
  <c r="U202" i="8" s="1"/>
  <c r="W202" i="8" s="1"/>
  <c r="P203" i="7"/>
  <c r="Q203" i="7" s="1"/>
  <c r="X202" i="7"/>
  <c r="T103" i="8"/>
  <c r="V103" i="8" s="1"/>
  <c r="AK103" i="8"/>
  <c r="I203" i="7"/>
  <c r="H203" i="7"/>
  <c r="G164" i="2"/>
  <c r="AC103" i="8"/>
  <c r="AT103" i="8"/>
  <c r="G145" i="3"/>
  <c r="J144" i="10"/>
  <c r="AA144" i="3"/>
  <c r="K144" i="10" s="1"/>
  <c r="T144" i="3"/>
  <c r="N203" i="7" l="1"/>
  <c r="W203" i="7" s="1"/>
  <c r="F204" i="7" s="1"/>
  <c r="O204" i="7" s="1"/>
  <c r="M203" i="7"/>
  <c r="E203" i="8"/>
  <c r="Y203" i="7"/>
  <c r="C203" i="7"/>
  <c r="R203" i="7" s="1"/>
  <c r="AB202" i="7"/>
  <c r="J203" i="7"/>
  <c r="I164" i="2"/>
  <c r="H164" i="2"/>
  <c r="AD103" i="8"/>
  <c r="H145" i="3"/>
  <c r="AB144" i="3"/>
  <c r="L144" i="10" s="1"/>
  <c r="P204" i="7" l="1"/>
  <c r="Q204" i="7" s="1"/>
  <c r="S203" i="7"/>
  <c r="C203" i="8" s="1"/>
  <c r="K203" i="7"/>
  <c r="T203" i="7" s="1"/>
  <c r="D203" i="8" s="1"/>
  <c r="J164" i="2"/>
  <c r="M164" i="2"/>
  <c r="D164" i="3"/>
  <c r="G164" i="10"/>
  <c r="L203" i="7"/>
  <c r="V203" i="7" s="1"/>
  <c r="AE103" i="8"/>
  <c r="AL103" i="8"/>
  <c r="AP103" i="8" s="1"/>
  <c r="F104" i="8" s="1"/>
  <c r="M145" i="3"/>
  <c r="I145" i="3"/>
  <c r="L145" i="3" s="1"/>
  <c r="E204" i="8" l="1"/>
  <c r="Y204" i="7"/>
  <c r="E204" i="7"/>
  <c r="C164" i="3"/>
  <c r="F164" i="10"/>
  <c r="Z203" i="7"/>
  <c r="AA203" i="7" s="1"/>
  <c r="B203" i="7" s="1"/>
  <c r="U203" i="7"/>
  <c r="B165" i="2"/>
  <c r="D164" i="10"/>
  <c r="AF103" i="8"/>
  <c r="AM103" i="8"/>
  <c r="M204" i="7"/>
  <c r="Q145" i="3"/>
  <c r="J145" i="3"/>
  <c r="K145" i="3" s="1"/>
  <c r="B203" i="8" l="1"/>
  <c r="X203" i="7"/>
  <c r="D204" i="7"/>
  <c r="C165" i="2"/>
  <c r="AG103" i="8"/>
  <c r="AH103" i="8" s="1"/>
  <c r="AN103" i="8" s="1"/>
  <c r="AR103" i="8" s="1"/>
  <c r="H104" i="8" s="1"/>
  <c r="D165" i="2"/>
  <c r="K165" i="2"/>
  <c r="C165" i="10"/>
  <c r="AQ103" i="8"/>
  <c r="G104" i="8" s="1"/>
  <c r="N204" i="7"/>
  <c r="W204" i="7" s="1"/>
  <c r="F205" i="7" s="1"/>
  <c r="U145" i="3"/>
  <c r="N145" i="3"/>
  <c r="AC145" i="3"/>
  <c r="M145" i="10" s="1"/>
  <c r="C204" i="7" l="1"/>
  <c r="R204" i="7" s="1"/>
  <c r="AB203" i="7"/>
  <c r="I204" i="7"/>
  <c r="H204" i="7"/>
  <c r="U203" i="8"/>
  <c r="W203" i="8" s="1"/>
  <c r="I104" i="8"/>
  <c r="J104" i="8" s="1"/>
  <c r="AO103" i="8"/>
  <c r="E165" i="2"/>
  <c r="L165" i="2"/>
  <c r="X145" i="3"/>
  <c r="O205" i="7"/>
  <c r="V145" i="3"/>
  <c r="Y145" i="3" s="1"/>
  <c r="O145" i="3"/>
  <c r="P145" i="3"/>
  <c r="J204" i="7" l="1"/>
  <c r="S204" i="7"/>
  <c r="C204" i="8" s="1"/>
  <c r="K104" i="8"/>
  <c r="M104" i="8" s="1"/>
  <c r="N104" i="8"/>
  <c r="R104" i="8" s="1"/>
  <c r="O104" i="8"/>
  <c r="F165" i="2"/>
  <c r="E165" i="10"/>
  <c r="B165" i="3"/>
  <c r="AS103" i="8"/>
  <c r="P205" i="7"/>
  <c r="Q205" i="7" s="1"/>
  <c r="E146" i="3"/>
  <c r="H145" i="10"/>
  <c r="I145" i="10"/>
  <c r="F146" i="3"/>
  <c r="R145" i="3"/>
  <c r="S145" i="3" s="1"/>
  <c r="W145" i="3"/>
  <c r="K204" i="7" l="1"/>
  <c r="L204" i="7"/>
  <c r="V204" i="7" s="1"/>
  <c r="L104" i="8"/>
  <c r="P104" i="8"/>
  <c r="Q104" i="8" s="1"/>
  <c r="S104" i="8" s="1"/>
  <c r="X104" i="8"/>
  <c r="Y104" i="8" s="1"/>
  <c r="AA104" i="8" s="1"/>
  <c r="AI104" i="8"/>
  <c r="G165" i="2"/>
  <c r="AJ104" i="8"/>
  <c r="AK104" i="8" s="1"/>
  <c r="AU104" i="8"/>
  <c r="Z104" i="8"/>
  <c r="AB104" i="8" s="1"/>
  <c r="T104" i="8"/>
  <c r="V104" i="8" s="1"/>
  <c r="Z204" i="7"/>
  <c r="AA204" i="7" s="1"/>
  <c r="B204" i="7" s="1"/>
  <c r="U204" i="7"/>
  <c r="E205" i="7"/>
  <c r="M205" i="7" s="1"/>
  <c r="E205" i="8"/>
  <c r="Y205" i="7"/>
  <c r="X204" i="7"/>
  <c r="I165" i="2"/>
  <c r="AA145" i="3"/>
  <c r="K145" i="10" s="1"/>
  <c r="Z145" i="3"/>
  <c r="T145" i="3"/>
  <c r="H165" i="2" l="1"/>
  <c r="T204" i="7"/>
  <c r="D204" i="8" s="1"/>
  <c r="AT104" i="8"/>
  <c r="AC104" i="8"/>
  <c r="AD104" i="8" s="1"/>
  <c r="B204" i="8"/>
  <c r="D205" i="7"/>
  <c r="N205" i="7"/>
  <c r="W205" i="7" s="1"/>
  <c r="F206" i="7" s="1"/>
  <c r="C205" i="7"/>
  <c r="R205" i="7" s="1"/>
  <c r="AB204" i="7"/>
  <c r="M165" i="2"/>
  <c r="J165" i="2"/>
  <c r="D165" i="3"/>
  <c r="G165" i="10"/>
  <c r="AB145" i="3"/>
  <c r="L145" i="10" s="1"/>
  <c r="G146" i="3"/>
  <c r="J145" i="10"/>
  <c r="U204" i="8" l="1"/>
  <c r="W204" i="8" s="1"/>
  <c r="I205" i="7"/>
  <c r="AE104" i="8"/>
  <c r="AL104" i="8"/>
  <c r="H205" i="7"/>
  <c r="O206" i="7"/>
  <c r="AP104" i="8"/>
  <c r="F105" i="8" s="1"/>
  <c r="AF104" i="8"/>
  <c r="AM104" i="8" s="1"/>
  <c r="AQ104" i="8" s="1"/>
  <c r="G105" i="8" s="1"/>
  <c r="F165" i="10"/>
  <c r="C165" i="3"/>
  <c r="D165" i="10"/>
  <c r="B166" i="2"/>
  <c r="H146" i="3"/>
  <c r="S205" i="7" l="1"/>
  <c r="C205" i="8" s="1"/>
  <c r="J205" i="7"/>
  <c r="K205" i="7" s="1"/>
  <c r="T205" i="7" s="1"/>
  <c r="D205" i="8" s="1"/>
  <c r="P206" i="7"/>
  <c r="Q206" i="7" s="1"/>
  <c r="L205" i="7"/>
  <c r="V205" i="7" s="1"/>
  <c r="AG104" i="8"/>
  <c r="AH104" i="8" s="1"/>
  <c r="AN104" i="8" s="1"/>
  <c r="C166" i="10"/>
  <c r="C166" i="2"/>
  <c r="K166" i="2"/>
  <c r="D166" i="2"/>
  <c r="M146" i="3"/>
  <c r="I146" i="3"/>
  <c r="L146" i="3" s="1"/>
  <c r="Y206" i="7" l="1"/>
  <c r="AO104" i="8"/>
  <c r="E206" i="8"/>
  <c r="AR104" i="8"/>
  <c r="H105" i="8" s="1"/>
  <c r="U205" i="7"/>
  <c r="Z205" i="7"/>
  <c r="AA205" i="7" s="1"/>
  <c r="B205" i="7" s="1"/>
  <c r="E206" i="7"/>
  <c r="L166" i="2"/>
  <c r="E166" i="2"/>
  <c r="M206" i="7"/>
  <c r="I105" i="8"/>
  <c r="Q146" i="3"/>
  <c r="J146" i="3"/>
  <c r="K146" i="3" s="1"/>
  <c r="AS104" i="8" l="1"/>
  <c r="D206" i="7"/>
  <c r="X205" i="7"/>
  <c r="B205" i="8"/>
  <c r="O105" i="8"/>
  <c r="B166" i="3"/>
  <c r="E166" i="10"/>
  <c r="F166" i="2"/>
  <c r="N206" i="7"/>
  <c r="W206" i="7" s="1"/>
  <c r="F207" i="7" s="1"/>
  <c r="J105" i="8"/>
  <c r="N105" i="8" s="1"/>
  <c r="U146" i="3"/>
  <c r="N146" i="3"/>
  <c r="AC146" i="3"/>
  <c r="M146" i="10" s="1"/>
  <c r="H206" i="7" l="1"/>
  <c r="I206" i="7"/>
  <c r="AB205" i="7"/>
  <c r="C206" i="7"/>
  <c r="R206" i="7" s="1"/>
  <c r="U205" i="8"/>
  <c r="W205" i="8" s="1"/>
  <c r="X146" i="3"/>
  <c r="G166" i="2"/>
  <c r="O207" i="7"/>
  <c r="R105" i="8"/>
  <c r="K105" i="8"/>
  <c r="M105" i="8" s="1"/>
  <c r="V146" i="3"/>
  <c r="Y146" i="3" s="1"/>
  <c r="O146" i="3"/>
  <c r="S206" i="7" l="1"/>
  <c r="C206" i="8" s="1"/>
  <c r="J206" i="7"/>
  <c r="K206" i="7" s="1"/>
  <c r="T206" i="7" s="1"/>
  <c r="D206" i="8" s="1"/>
  <c r="P146" i="3"/>
  <c r="E147" i="3"/>
  <c r="H146" i="10"/>
  <c r="H166" i="2"/>
  <c r="I166" i="2"/>
  <c r="P207" i="7"/>
  <c r="Q207" i="7" s="1"/>
  <c r="X105" i="8"/>
  <c r="P105" i="8"/>
  <c r="Q105" i="8" s="1"/>
  <c r="AI105" i="8"/>
  <c r="L105" i="8"/>
  <c r="AU105" i="8" s="1"/>
  <c r="I146" i="10"/>
  <c r="F147" i="3"/>
  <c r="R146" i="3"/>
  <c r="S146" i="3" s="1"/>
  <c r="W146" i="3"/>
  <c r="Z146" i="3" s="1"/>
  <c r="L206" i="7" l="1"/>
  <c r="V206" i="7" s="1"/>
  <c r="M166" i="2"/>
  <c r="J166" i="2"/>
  <c r="D166" i="3"/>
  <c r="G166" i="10"/>
  <c r="E207" i="8"/>
  <c r="Y207" i="7"/>
  <c r="Y105" i="8"/>
  <c r="AA105" i="8" s="1"/>
  <c r="S105" i="8"/>
  <c r="AJ105" i="8"/>
  <c r="G147" i="3"/>
  <c r="J146" i="10"/>
  <c r="T146" i="3"/>
  <c r="AA146" i="3"/>
  <c r="K146" i="10" s="1"/>
  <c r="U206" i="7" l="1"/>
  <c r="E207" i="7"/>
  <c r="Z206" i="7"/>
  <c r="AA206" i="7" s="1"/>
  <c r="B206" i="7" s="1"/>
  <c r="B206" i="8" s="1"/>
  <c r="U206" i="8" s="1"/>
  <c r="W206" i="8" s="1"/>
  <c r="Z105" i="8"/>
  <c r="AB105" i="8" s="1"/>
  <c r="F166" i="10"/>
  <c r="C166" i="3"/>
  <c r="D166" i="10"/>
  <c r="B167" i="2"/>
  <c r="T105" i="8"/>
  <c r="V105" i="8" s="1"/>
  <c r="AK105" i="8"/>
  <c r="H147" i="3"/>
  <c r="AB146" i="3"/>
  <c r="L146" i="10" s="1"/>
  <c r="X206" i="7" l="1"/>
  <c r="D207" i="7"/>
  <c r="M207" i="7"/>
  <c r="AC105" i="8"/>
  <c r="C167" i="2"/>
  <c r="D167" i="2"/>
  <c r="K167" i="2"/>
  <c r="C167" i="10"/>
  <c r="M147" i="3"/>
  <c r="AT105" i="8"/>
  <c r="I147" i="3"/>
  <c r="L147" i="3" s="1"/>
  <c r="C207" i="7" l="1"/>
  <c r="R207" i="7" s="1"/>
  <c r="AB206" i="7"/>
  <c r="H207" i="7"/>
  <c r="I207" i="7"/>
  <c r="S207" i="7" s="1"/>
  <c r="C207" i="8" s="1"/>
  <c r="AD105" i="8"/>
  <c r="E167" i="2"/>
  <c r="N207" i="7"/>
  <c r="W207" i="7" s="1"/>
  <c r="F208" i="7" s="1"/>
  <c r="L167" i="2"/>
  <c r="Q147" i="3"/>
  <c r="J147" i="3"/>
  <c r="O208" i="7" l="1"/>
  <c r="AE105" i="8"/>
  <c r="AL105" i="8"/>
  <c r="F167" i="2"/>
  <c r="J207" i="7"/>
  <c r="K207" i="7" s="1"/>
  <c r="E167" i="10"/>
  <c r="B167" i="3"/>
  <c r="AC147" i="3"/>
  <c r="M147" i="10" s="1"/>
  <c r="K147" i="3"/>
  <c r="L207" i="7" l="1"/>
  <c r="T207" i="7"/>
  <c r="D207" i="8" s="1"/>
  <c r="P208" i="7"/>
  <c r="Q208" i="7" s="1"/>
  <c r="G167" i="2"/>
  <c r="AF105" i="8"/>
  <c r="AM105" i="8" s="1"/>
  <c r="AQ105" i="8" s="1"/>
  <c r="G106" i="8" s="1"/>
  <c r="AP105" i="8"/>
  <c r="F106" i="8" s="1"/>
  <c r="U147" i="3"/>
  <c r="N147" i="3"/>
  <c r="E208" i="8" l="1"/>
  <c r="Y208" i="7"/>
  <c r="U207" i="7"/>
  <c r="V207" i="7"/>
  <c r="AG105" i="8"/>
  <c r="AH105" i="8" s="1"/>
  <c r="AN105" i="8" s="1"/>
  <c r="AR105" i="8" s="1"/>
  <c r="H106" i="8" s="1"/>
  <c r="I167" i="2"/>
  <c r="H167" i="2"/>
  <c r="X147" i="3"/>
  <c r="D208" i="7"/>
  <c r="X207" i="7"/>
  <c r="E208" i="7"/>
  <c r="V147" i="3"/>
  <c r="Y147" i="3" s="1"/>
  <c r="O147" i="3"/>
  <c r="Z207" i="7" l="1"/>
  <c r="AA207" i="7" s="1"/>
  <c r="B207" i="7" s="1"/>
  <c r="B207" i="8" s="1"/>
  <c r="U207" i="8" s="1"/>
  <c r="W207" i="8" s="1"/>
  <c r="I106" i="8"/>
  <c r="AO105" i="8"/>
  <c r="M167" i="2"/>
  <c r="J167" i="2"/>
  <c r="D167" i="3"/>
  <c r="G167" i="10"/>
  <c r="E148" i="3"/>
  <c r="H147" i="10"/>
  <c r="H208" i="7"/>
  <c r="I208" i="7"/>
  <c r="AB207" i="7"/>
  <c r="C208" i="7"/>
  <c r="R208" i="7" s="1"/>
  <c r="M208" i="7"/>
  <c r="AS105" i="8"/>
  <c r="J106" i="8"/>
  <c r="N106" i="8" s="1"/>
  <c r="I147" i="10"/>
  <c r="F148" i="3"/>
  <c r="R147" i="3"/>
  <c r="S147" i="3" s="1"/>
  <c r="P147" i="3"/>
  <c r="W147" i="3"/>
  <c r="Z147" i="3" s="1"/>
  <c r="O106" i="8" l="1"/>
  <c r="F167" i="10"/>
  <c r="C167" i="3"/>
  <c r="D167" i="10"/>
  <c r="B168" i="2"/>
  <c r="J208" i="7"/>
  <c r="S208" i="7"/>
  <c r="C208" i="8" s="1"/>
  <c r="N208" i="7"/>
  <c r="W208" i="7" s="1"/>
  <c r="F209" i="7" s="1"/>
  <c r="R106" i="8"/>
  <c r="K106" i="8"/>
  <c r="M106" i="8" s="1"/>
  <c r="G148" i="3"/>
  <c r="J147" i="10"/>
  <c r="T147" i="3"/>
  <c r="AA147" i="3"/>
  <c r="K147" i="10" s="1"/>
  <c r="C168" i="2" l="1"/>
  <c r="D168" i="2"/>
  <c r="K168" i="2"/>
  <c r="C168" i="10"/>
  <c r="K208" i="7"/>
  <c r="O209" i="7"/>
  <c r="P106" i="8"/>
  <c r="Q106" i="8" s="1"/>
  <c r="AI106" i="8"/>
  <c r="X106" i="8"/>
  <c r="L106" i="8"/>
  <c r="H148" i="3"/>
  <c r="AB147" i="3"/>
  <c r="L147" i="10" s="1"/>
  <c r="E168" i="2" l="1"/>
  <c r="F168" i="2" s="1"/>
  <c r="L208" i="7"/>
  <c r="V208" i="7" s="1"/>
  <c r="L168" i="2"/>
  <c r="P209" i="7"/>
  <c r="Q209" i="7" s="1"/>
  <c r="T208" i="7"/>
  <c r="D208" i="8" s="1"/>
  <c r="S106" i="8"/>
  <c r="AJ106" i="8"/>
  <c r="Y106" i="8"/>
  <c r="AA106" i="8" s="1"/>
  <c r="M148" i="3"/>
  <c r="AU106" i="8"/>
  <c r="I148" i="3"/>
  <c r="L148" i="3" s="1"/>
  <c r="Z208" i="7" l="1"/>
  <c r="AA208" i="7" s="1"/>
  <c r="B208" i="7" s="1"/>
  <c r="B208" i="8" s="1"/>
  <c r="U208" i="8" s="1"/>
  <c r="W208" i="8" s="1"/>
  <c r="E209" i="7"/>
  <c r="M209" i="7" s="1"/>
  <c r="E209" i="8"/>
  <c r="U208" i="7"/>
  <c r="B168" i="3"/>
  <c r="G168" i="2"/>
  <c r="H168" i="2" s="1"/>
  <c r="E168" i="10"/>
  <c r="Y209" i="7"/>
  <c r="Z106" i="8"/>
  <c r="AB106" i="8" s="1"/>
  <c r="T106" i="8"/>
  <c r="V106" i="8" s="1"/>
  <c r="AK106" i="8"/>
  <c r="Q148" i="3"/>
  <c r="J148" i="3"/>
  <c r="K148" i="3" s="1"/>
  <c r="N209" i="7" l="1"/>
  <c r="W209" i="7" s="1"/>
  <c r="F210" i="7" s="1"/>
  <c r="D209" i="7"/>
  <c r="X208" i="7"/>
  <c r="G168" i="10"/>
  <c r="I168" i="2"/>
  <c r="D168" i="3"/>
  <c r="AC106" i="8"/>
  <c r="AT106" i="8"/>
  <c r="U148" i="3"/>
  <c r="N148" i="3"/>
  <c r="AC148" i="3"/>
  <c r="M148" i="10" s="1"/>
  <c r="O210" i="7" l="1"/>
  <c r="I209" i="7"/>
  <c r="H209" i="7"/>
  <c r="J209" i="7" s="1"/>
  <c r="J168" i="2"/>
  <c r="C209" i="7"/>
  <c r="R209" i="7" s="1"/>
  <c r="AB208" i="7"/>
  <c r="M168" i="2"/>
  <c r="AD106" i="8"/>
  <c r="AL106" i="8" s="1"/>
  <c r="X148" i="3"/>
  <c r="V148" i="3"/>
  <c r="Y148" i="3" s="1"/>
  <c r="O148" i="3"/>
  <c r="S209" i="7" l="1"/>
  <c r="C209" i="8" s="1"/>
  <c r="P210" i="7"/>
  <c r="Q210" i="7" s="1"/>
  <c r="C168" i="3"/>
  <c r="F168" i="10"/>
  <c r="B169" i="2"/>
  <c r="D168" i="10"/>
  <c r="K209" i="7"/>
  <c r="AP106" i="8"/>
  <c r="F107" i="8" s="1"/>
  <c r="AE106" i="8"/>
  <c r="C169" i="2"/>
  <c r="P148" i="3"/>
  <c r="E149" i="3"/>
  <c r="H148" i="10"/>
  <c r="I148" i="10"/>
  <c r="F149" i="3"/>
  <c r="R148" i="3"/>
  <c r="S148" i="3" s="1"/>
  <c r="W148" i="3"/>
  <c r="Z148" i="3" s="1"/>
  <c r="C169" i="10" l="1"/>
  <c r="E210" i="8"/>
  <c r="Y210" i="7"/>
  <c r="D169" i="2"/>
  <c r="K169" i="2"/>
  <c r="L209" i="7"/>
  <c r="V209" i="7" s="1"/>
  <c r="T209" i="7"/>
  <c r="D209" i="8" s="1"/>
  <c r="AF106" i="8"/>
  <c r="AM106" i="8" s="1"/>
  <c r="G149" i="3"/>
  <c r="J148" i="10"/>
  <c r="T148" i="3"/>
  <c r="AA148" i="3"/>
  <c r="K148" i="10" s="1"/>
  <c r="E169" i="2" l="1"/>
  <c r="L169" i="2"/>
  <c r="E210" i="7"/>
  <c r="M210" i="7" s="1"/>
  <c r="U209" i="7"/>
  <c r="D210" i="7" s="1"/>
  <c r="Z209" i="7"/>
  <c r="AA209" i="7" s="1"/>
  <c r="B209" i="7" s="1"/>
  <c r="B209" i="8" s="1"/>
  <c r="AQ106" i="8"/>
  <c r="G107" i="8" s="1"/>
  <c r="AG106" i="8"/>
  <c r="AH106" i="8" s="1"/>
  <c r="AN106" i="8" s="1"/>
  <c r="AR106" i="8" s="1"/>
  <c r="H107" i="8" s="1"/>
  <c r="H149" i="3"/>
  <c r="AB148" i="3"/>
  <c r="L148" i="10" s="1"/>
  <c r="B169" i="3" l="1"/>
  <c r="E169" i="10"/>
  <c r="F169" i="2"/>
  <c r="N210" i="7"/>
  <c r="W210" i="7" s="1"/>
  <c r="F211" i="7" s="1"/>
  <c r="X209" i="7"/>
  <c r="U209" i="8"/>
  <c r="W209" i="8" s="1"/>
  <c r="H210" i="7"/>
  <c r="AO106" i="8"/>
  <c r="I107" i="8"/>
  <c r="I210" i="7"/>
  <c r="I149" i="3"/>
  <c r="L149" i="3" s="1"/>
  <c r="M149" i="3"/>
  <c r="O107" i="8" l="1"/>
  <c r="G169" i="2"/>
  <c r="H169" i="2" s="1"/>
  <c r="O211" i="7"/>
  <c r="J107" i="8"/>
  <c r="N107" i="8" s="1"/>
  <c r="C210" i="7"/>
  <c r="R210" i="7" s="1"/>
  <c r="AB209" i="7"/>
  <c r="S210" i="7"/>
  <c r="C210" i="8" s="1"/>
  <c r="AS106" i="8"/>
  <c r="J210" i="7"/>
  <c r="I169" i="2"/>
  <c r="D169" i="3"/>
  <c r="J149" i="3"/>
  <c r="K149" i="3" s="1"/>
  <c r="Q149" i="3"/>
  <c r="G169" i="10" l="1"/>
  <c r="K107" i="8"/>
  <c r="M107" i="8" s="1"/>
  <c r="R107" i="8"/>
  <c r="P211" i="7"/>
  <c r="Q211" i="7" s="1"/>
  <c r="K210" i="7"/>
  <c r="M169" i="2"/>
  <c r="E211" i="8"/>
  <c r="Y211" i="7"/>
  <c r="J169" i="2"/>
  <c r="B170" i="2"/>
  <c r="P107" i="8"/>
  <c r="Q107" i="8" s="1"/>
  <c r="U149" i="3"/>
  <c r="AC149" i="3"/>
  <c r="M149" i="10" s="1"/>
  <c r="N149" i="3"/>
  <c r="AI107" i="8" l="1"/>
  <c r="AJ107" i="8" s="1"/>
  <c r="X107" i="8"/>
  <c r="L107" i="8"/>
  <c r="T210" i="7"/>
  <c r="D210" i="8" s="1"/>
  <c r="L210" i="7"/>
  <c r="V210" i="7" s="1"/>
  <c r="S107" i="8"/>
  <c r="D169" i="10"/>
  <c r="C169" i="3"/>
  <c r="F169" i="10"/>
  <c r="C170" i="10"/>
  <c r="K170" i="2"/>
  <c r="D170" i="2"/>
  <c r="C170" i="2"/>
  <c r="V149" i="3"/>
  <c r="Y149" i="3" s="1"/>
  <c r="X149" i="3"/>
  <c r="AK107" i="8"/>
  <c r="O149" i="3"/>
  <c r="Y107" i="8" l="1"/>
  <c r="AA107" i="8" s="1"/>
  <c r="AU107" i="8"/>
  <c r="L170" i="2"/>
  <c r="E211" i="7"/>
  <c r="M211" i="7" s="1"/>
  <c r="Z210" i="7"/>
  <c r="AA210" i="7" s="1"/>
  <c r="B210" i="7" s="1"/>
  <c r="U210" i="7"/>
  <c r="T107" i="8"/>
  <c r="V107" i="8" s="1"/>
  <c r="F150" i="3"/>
  <c r="Z107" i="8"/>
  <c r="AB107" i="8" s="1"/>
  <c r="I149" i="10"/>
  <c r="E170" i="2"/>
  <c r="H149" i="10"/>
  <c r="W149" i="3"/>
  <c r="Z149" i="3" s="1"/>
  <c r="E150" i="3"/>
  <c r="R149" i="3"/>
  <c r="S149" i="3" s="1"/>
  <c r="P149" i="3"/>
  <c r="N211" i="7" l="1"/>
  <c r="W211" i="7" s="1"/>
  <c r="F212" i="7" s="1"/>
  <c r="E170" i="10"/>
  <c r="B210" i="8"/>
  <c r="B170" i="3"/>
  <c r="D211" i="7"/>
  <c r="X210" i="7"/>
  <c r="AT107" i="8"/>
  <c r="J149" i="10"/>
  <c r="F170" i="2"/>
  <c r="AC107" i="8"/>
  <c r="AD107" i="8" s="1"/>
  <c r="G150" i="3"/>
  <c r="AA149" i="3"/>
  <c r="K149" i="10" s="1"/>
  <c r="T149" i="3"/>
  <c r="O212" i="7" l="1"/>
  <c r="U210" i="8"/>
  <c r="W210" i="8" s="1"/>
  <c r="H211" i="7"/>
  <c r="I211" i="7"/>
  <c r="AB210" i="7"/>
  <c r="C211" i="7"/>
  <c r="AE107" i="8"/>
  <c r="AF107" i="8" s="1"/>
  <c r="AM107" i="8" s="1"/>
  <c r="AQ107" i="8" s="1"/>
  <c r="G108" i="8" s="1"/>
  <c r="AL107" i="8"/>
  <c r="G170" i="2"/>
  <c r="H150" i="3"/>
  <c r="AB149" i="3"/>
  <c r="L149" i="10" s="1"/>
  <c r="AP107" i="8" l="1"/>
  <c r="F108" i="8" s="1"/>
  <c r="P212" i="7"/>
  <c r="Q212" i="7" s="1"/>
  <c r="J211" i="7"/>
  <c r="R211" i="7"/>
  <c r="S211" i="7" s="1"/>
  <c r="C211" i="8" s="1"/>
  <c r="I170" i="2"/>
  <c r="H170" i="2"/>
  <c r="AG107" i="8"/>
  <c r="AH107" i="8" s="1"/>
  <c r="AN107" i="8" s="1"/>
  <c r="M150" i="3"/>
  <c r="I150" i="3"/>
  <c r="L150" i="3" s="1"/>
  <c r="Y212" i="7" l="1"/>
  <c r="E212" i="8"/>
  <c r="K211" i="7"/>
  <c r="J170" i="2"/>
  <c r="M170" i="2"/>
  <c r="D170" i="3"/>
  <c r="G170" i="10"/>
  <c r="AO107" i="8"/>
  <c r="AR107" i="8"/>
  <c r="H108" i="8" s="1"/>
  <c r="Q150" i="3"/>
  <c r="J150" i="3"/>
  <c r="K150" i="3" s="1"/>
  <c r="L211" i="7" l="1"/>
  <c r="V211" i="7" s="1"/>
  <c r="T211" i="7"/>
  <c r="D211" i="8" s="1"/>
  <c r="I108" i="8"/>
  <c r="B171" i="2"/>
  <c r="D170" i="10"/>
  <c r="C170" i="3"/>
  <c r="F170" i="10"/>
  <c r="AS107" i="8"/>
  <c r="U150" i="3"/>
  <c r="N150" i="3"/>
  <c r="AC150" i="3"/>
  <c r="M150" i="10" s="1"/>
  <c r="Z211" i="7" l="1"/>
  <c r="AA211" i="7" s="1"/>
  <c r="B211" i="7" s="1"/>
  <c r="B211" i="8" s="1"/>
  <c r="E212" i="7"/>
  <c r="U211" i="7"/>
  <c r="U211" i="8"/>
  <c r="W211" i="8" s="1"/>
  <c r="J108" i="8"/>
  <c r="N108" i="8" s="1"/>
  <c r="D212" i="7"/>
  <c r="X150" i="3"/>
  <c r="V150" i="3"/>
  <c r="Y150" i="3" s="1"/>
  <c r="O108" i="8"/>
  <c r="C171" i="10"/>
  <c r="K171" i="2"/>
  <c r="D171" i="2"/>
  <c r="C171" i="2"/>
  <c r="E171" i="2" s="1"/>
  <c r="O150" i="3"/>
  <c r="M212" i="7" l="1"/>
  <c r="X211" i="7"/>
  <c r="H150" i="10"/>
  <c r="R108" i="8"/>
  <c r="I212" i="7"/>
  <c r="P150" i="3"/>
  <c r="L171" i="2"/>
  <c r="H212" i="7"/>
  <c r="C212" i="7"/>
  <c r="R212" i="7" s="1"/>
  <c r="AB211" i="7"/>
  <c r="E151" i="3"/>
  <c r="K108" i="8"/>
  <c r="M108" i="8" s="1"/>
  <c r="I150" i="10"/>
  <c r="F151" i="3"/>
  <c r="W150" i="3"/>
  <c r="Z150" i="3" s="1"/>
  <c r="R150" i="3"/>
  <c r="S150" i="3" s="1"/>
  <c r="F171" i="2"/>
  <c r="N212" i="7" l="1"/>
  <c r="J212" i="7"/>
  <c r="S212" i="7"/>
  <c r="C212" i="8" s="1"/>
  <c r="B171" i="3"/>
  <c r="E171" i="10"/>
  <c r="X108" i="8"/>
  <c r="P108" i="8"/>
  <c r="Q108" i="8" s="1"/>
  <c r="AI108" i="8"/>
  <c r="L108" i="8"/>
  <c r="J150" i="10"/>
  <c r="G151" i="3"/>
  <c r="AA150" i="3"/>
  <c r="K150" i="10" s="1"/>
  <c r="T150" i="3"/>
  <c r="G171" i="2"/>
  <c r="H171" i="2" s="1"/>
  <c r="W212" i="7" l="1"/>
  <c r="F213" i="7" s="1"/>
  <c r="K212" i="7"/>
  <c r="T212" i="7" s="1"/>
  <c r="D212" i="8" s="1"/>
  <c r="S108" i="8"/>
  <c r="Y108" i="8"/>
  <c r="AA108" i="8" s="1"/>
  <c r="AJ108" i="8"/>
  <c r="AU108" i="8"/>
  <c r="H151" i="3"/>
  <c r="AB150" i="3"/>
  <c r="L150" i="10" s="1"/>
  <c r="Z108" i="8"/>
  <c r="AB108" i="8" s="1"/>
  <c r="D171" i="3"/>
  <c r="G171" i="10"/>
  <c r="I171" i="2"/>
  <c r="O213" i="7" l="1"/>
  <c r="M151" i="3"/>
  <c r="L212" i="7"/>
  <c r="U212" i="7" s="1"/>
  <c r="T108" i="8"/>
  <c r="V108" i="8" s="1"/>
  <c r="AK108" i="8"/>
  <c r="I151" i="3"/>
  <c r="L151" i="3" s="1"/>
  <c r="AC108" i="8"/>
  <c r="J171" i="2"/>
  <c r="M171" i="2"/>
  <c r="P213" i="7" l="1"/>
  <c r="Q213" i="7" s="1"/>
  <c r="V212" i="7"/>
  <c r="D213" i="7"/>
  <c r="Y213" i="7"/>
  <c r="E213" i="8"/>
  <c r="AT108" i="8"/>
  <c r="J151" i="3"/>
  <c r="K151" i="3" s="1"/>
  <c r="Q151" i="3"/>
  <c r="AD108" i="8"/>
  <c r="D171" i="10"/>
  <c r="B172" i="2"/>
  <c r="F171" i="10"/>
  <c r="C171" i="3"/>
  <c r="X212" i="7" l="1"/>
  <c r="Z212" i="7"/>
  <c r="AA212" i="7" s="1"/>
  <c r="B212" i="7" s="1"/>
  <c r="B212" i="8" s="1"/>
  <c r="U212" i="8" s="1"/>
  <c r="W212" i="8" s="1"/>
  <c r="E213" i="7"/>
  <c r="M213" i="7" s="1"/>
  <c r="N151" i="3"/>
  <c r="I213" i="7"/>
  <c r="H213" i="7"/>
  <c r="U151" i="3"/>
  <c r="AC151" i="3"/>
  <c r="M151" i="10" s="1"/>
  <c r="AE108" i="8"/>
  <c r="AL108" i="8"/>
  <c r="C172" i="2"/>
  <c r="D172" i="2"/>
  <c r="K172" i="2"/>
  <c r="C172" i="10"/>
  <c r="J213" i="7" l="1"/>
  <c r="AB212" i="7"/>
  <c r="C213" i="7"/>
  <c r="R213" i="7" s="1"/>
  <c r="V151" i="3"/>
  <c r="Y151" i="3" s="1"/>
  <c r="O151" i="3"/>
  <c r="N213" i="7"/>
  <c r="W213" i="7" s="1"/>
  <c r="F214" i="7" s="1"/>
  <c r="X151" i="3"/>
  <c r="P151" i="3"/>
  <c r="AF108" i="8"/>
  <c r="AM108" i="8" s="1"/>
  <c r="AQ108" i="8" s="1"/>
  <c r="G109" i="8" s="1"/>
  <c r="AP108" i="8"/>
  <c r="F109" i="8" s="1"/>
  <c r="E172" i="2"/>
  <c r="L172" i="2"/>
  <c r="K213" i="7" l="1"/>
  <c r="L213" i="7" s="1"/>
  <c r="S213" i="7"/>
  <c r="C213" i="8" s="1"/>
  <c r="W151" i="3"/>
  <c r="Z151" i="3" s="1"/>
  <c r="F152" i="3"/>
  <c r="R151" i="3"/>
  <c r="S151" i="3" s="1"/>
  <c r="H151" i="10"/>
  <c r="O214" i="7"/>
  <c r="I151" i="10"/>
  <c r="E152" i="3"/>
  <c r="AG108" i="8"/>
  <c r="AH108" i="8" s="1"/>
  <c r="AN108" i="8" s="1"/>
  <c r="AR108" i="8" s="1"/>
  <c r="H109" i="8" s="1"/>
  <c r="F172" i="2"/>
  <c r="E172" i="10"/>
  <c r="B172" i="3"/>
  <c r="U213" i="7" l="1"/>
  <c r="T213" i="7"/>
  <c r="D213" i="8" s="1"/>
  <c r="V213" i="7"/>
  <c r="AA151" i="3"/>
  <c r="K151" i="10" s="1"/>
  <c r="G152" i="3"/>
  <c r="T151" i="3"/>
  <c r="J151" i="10"/>
  <c r="P214" i="7"/>
  <c r="Q214" i="7" s="1"/>
  <c r="G172" i="2"/>
  <c r="I109" i="8"/>
  <c r="AO108" i="8"/>
  <c r="H152" i="3"/>
  <c r="X213" i="7" l="1"/>
  <c r="D214" i="7"/>
  <c r="I214" i="7" s="1"/>
  <c r="E214" i="7"/>
  <c r="M214" i="7" s="1"/>
  <c r="Z213" i="7"/>
  <c r="AA213" i="7" s="1"/>
  <c r="B213" i="7" s="1"/>
  <c r="B213" i="8" s="1"/>
  <c r="U213" i="8" s="1"/>
  <c r="W213" i="8" s="1"/>
  <c r="AB151" i="3"/>
  <c r="L151" i="10" s="1"/>
  <c r="E214" i="8"/>
  <c r="Y214" i="7"/>
  <c r="I172" i="2"/>
  <c r="H172" i="2"/>
  <c r="AS108" i="8"/>
  <c r="I152" i="3"/>
  <c r="L152" i="3" s="1"/>
  <c r="M152" i="3"/>
  <c r="J109" i="8"/>
  <c r="N109" i="8" s="1"/>
  <c r="O109" i="8"/>
  <c r="C214" i="7" l="1"/>
  <c r="R214" i="7" s="1"/>
  <c r="AB213" i="7"/>
  <c r="H214" i="7"/>
  <c r="J214" i="7" s="1"/>
  <c r="N214" i="7"/>
  <c r="W214" i="7" s="1"/>
  <c r="F215" i="7" s="1"/>
  <c r="S214" i="7"/>
  <c r="C214" i="8" s="1"/>
  <c r="K214" i="7"/>
  <c r="O215" i="7"/>
  <c r="M172" i="2"/>
  <c r="J172" i="2"/>
  <c r="D172" i="3"/>
  <c r="G172" i="10"/>
  <c r="Q152" i="3"/>
  <c r="J152" i="3"/>
  <c r="K152" i="3" s="1"/>
  <c r="R109" i="8"/>
  <c r="K109" i="8"/>
  <c r="M109" i="8" s="1"/>
  <c r="T214" i="7" l="1"/>
  <c r="D214" i="8" s="1"/>
  <c r="L214" i="7"/>
  <c r="V214" i="7" s="1"/>
  <c r="P215" i="7"/>
  <c r="Q215" i="7" s="1"/>
  <c r="F172" i="10"/>
  <c r="C172" i="3"/>
  <c r="D172" i="10"/>
  <c r="B173" i="2"/>
  <c r="U152" i="3"/>
  <c r="N152" i="3"/>
  <c r="AC152" i="3"/>
  <c r="M152" i="10" s="1"/>
  <c r="L109" i="8"/>
  <c r="X109" i="8"/>
  <c r="P109" i="8"/>
  <c r="Q109" i="8" s="1"/>
  <c r="AI109" i="8"/>
  <c r="V152" i="3"/>
  <c r="Y152" i="3" s="1"/>
  <c r="Y215" i="7" l="1"/>
  <c r="E215" i="8"/>
  <c r="C173" i="2"/>
  <c r="D173" i="2"/>
  <c r="K173" i="2"/>
  <c r="C173" i="10"/>
  <c r="E215" i="7"/>
  <c r="Z214" i="7"/>
  <c r="AA214" i="7" s="1"/>
  <c r="B214" i="7" s="1"/>
  <c r="X152" i="3"/>
  <c r="U214" i="7"/>
  <c r="O152" i="3"/>
  <c r="E153" i="3"/>
  <c r="H152" i="10"/>
  <c r="AU109" i="8"/>
  <c r="Y109" i="8"/>
  <c r="AA109" i="8" s="1"/>
  <c r="Z109" i="8"/>
  <c r="AB109" i="8" s="1"/>
  <c r="S109" i="8"/>
  <c r="AJ109" i="8"/>
  <c r="I152" i="10"/>
  <c r="F153" i="3"/>
  <c r="W152" i="3"/>
  <c r="Z152" i="3" s="1"/>
  <c r="M215" i="7"/>
  <c r="B214" i="8" l="1"/>
  <c r="U214" i="8" s="1"/>
  <c r="W214" i="8" s="1"/>
  <c r="D215" i="7"/>
  <c r="X214" i="7"/>
  <c r="E173" i="2"/>
  <c r="L173" i="2"/>
  <c r="G153" i="3"/>
  <c r="AA152" i="3"/>
  <c r="K152" i="10" s="1"/>
  <c r="P152" i="3"/>
  <c r="R152" i="3"/>
  <c r="S152" i="3" s="1"/>
  <c r="T109" i="8"/>
  <c r="V109" i="8" s="1"/>
  <c r="AT109" i="8" s="1"/>
  <c r="AC109" i="8"/>
  <c r="AK109" i="8"/>
  <c r="J152" i="10"/>
  <c r="N215" i="7"/>
  <c r="W215" i="7" s="1"/>
  <c r="F216" i="7" s="1"/>
  <c r="I215" i="7" l="1"/>
  <c r="H215" i="7"/>
  <c r="J215" i="7" s="1"/>
  <c r="AB214" i="7"/>
  <c r="C215" i="7"/>
  <c r="R215" i="7" s="1"/>
  <c r="F173" i="2"/>
  <c r="E173" i="10"/>
  <c r="B173" i="3"/>
  <c r="H153" i="3"/>
  <c r="T152" i="3"/>
  <c r="AD109" i="8"/>
  <c r="G173" i="2"/>
  <c r="H173" i="2" s="1"/>
  <c r="AB152" i="3"/>
  <c r="L152" i="10" s="1"/>
  <c r="O216" i="7"/>
  <c r="S215" i="7" l="1"/>
  <c r="C215" i="8" s="1"/>
  <c r="K215" i="7"/>
  <c r="AL109" i="8"/>
  <c r="M153" i="3"/>
  <c r="I153" i="3"/>
  <c r="L153" i="3" s="1"/>
  <c r="AE109" i="8"/>
  <c r="G173" i="10"/>
  <c r="D173" i="3"/>
  <c r="I173" i="2"/>
  <c r="P216" i="7"/>
  <c r="Q216" i="7" s="1"/>
  <c r="Y216" i="7" s="1"/>
  <c r="T215" i="7" l="1"/>
  <c r="D215" i="8" s="1"/>
  <c r="L215" i="7"/>
  <c r="V215" i="7" s="1"/>
  <c r="AP109" i="8"/>
  <c r="F110" i="8" s="1"/>
  <c r="Q153" i="3"/>
  <c r="J153" i="3"/>
  <c r="AF109" i="8"/>
  <c r="AM109" i="8" s="1"/>
  <c r="AQ109" i="8" s="1"/>
  <c r="G110" i="8" s="1"/>
  <c r="U215" i="7"/>
  <c r="M173" i="2"/>
  <c r="J173" i="2"/>
  <c r="E216" i="8"/>
  <c r="E216" i="7"/>
  <c r="Z215" i="7" l="1"/>
  <c r="AA215" i="7" s="1"/>
  <c r="B215" i="7" s="1"/>
  <c r="AC153" i="3"/>
  <c r="M153" i="10" s="1"/>
  <c r="K153" i="3"/>
  <c r="AG109" i="8"/>
  <c r="AH109" i="8" s="1"/>
  <c r="AN109" i="8" s="1"/>
  <c r="D216" i="7"/>
  <c r="X215" i="7"/>
  <c r="B174" i="2"/>
  <c r="D173" i="10"/>
  <c r="F173" i="10"/>
  <c r="C173" i="3"/>
  <c r="M216" i="7"/>
  <c r="U153" i="3"/>
  <c r="N153" i="3"/>
  <c r="H216" i="7"/>
  <c r="AB215" i="7"/>
  <c r="C216" i="7"/>
  <c r="B215" i="8" l="1"/>
  <c r="I216" i="7"/>
  <c r="AO109" i="8"/>
  <c r="AR109" i="8"/>
  <c r="H110" i="8" s="1"/>
  <c r="C174" i="2"/>
  <c r="D174" i="2"/>
  <c r="K174" i="2"/>
  <c r="C174" i="10"/>
  <c r="N216" i="7"/>
  <c r="W216" i="7" s="1"/>
  <c r="F217" i="7" s="1"/>
  <c r="X153" i="3"/>
  <c r="V153" i="3"/>
  <c r="Y153" i="3" s="1"/>
  <c r="O153" i="3"/>
  <c r="R216" i="7"/>
  <c r="U215" i="8" l="1"/>
  <c r="W215" i="8" s="1"/>
  <c r="J216" i="7"/>
  <c r="S216" i="7"/>
  <c r="C216" i="8" s="1"/>
  <c r="I110" i="8"/>
  <c r="AS109" i="8"/>
  <c r="O217" i="7"/>
  <c r="E174" i="2"/>
  <c r="L174" i="2"/>
  <c r="E154" i="3"/>
  <c r="H153" i="10"/>
  <c r="P153" i="3"/>
  <c r="I153" i="10"/>
  <c r="F154" i="3"/>
  <c r="R153" i="3"/>
  <c r="S153" i="3" s="1"/>
  <c r="W153" i="3"/>
  <c r="Z153" i="3" s="1"/>
  <c r="K216" i="7" l="1"/>
  <c r="T216" i="7" s="1"/>
  <c r="D216" i="8" s="1"/>
  <c r="J110" i="8"/>
  <c r="N110" i="8" s="1"/>
  <c r="O110" i="8"/>
  <c r="E174" i="10"/>
  <c r="B174" i="3"/>
  <c r="P217" i="7"/>
  <c r="Q217" i="7" s="1"/>
  <c r="F174" i="2"/>
  <c r="E217" i="8"/>
  <c r="R110" i="8"/>
  <c r="K110" i="8"/>
  <c r="M110" i="8" s="1"/>
  <c r="G154" i="3"/>
  <c r="J153" i="10"/>
  <c r="AA153" i="3"/>
  <c r="K153" i="10" s="1"/>
  <c r="T153" i="3"/>
  <c r="L216" i="7" l="1"/>
  <c r="Y217" i="7"/>
  <c r="G174" i="2"/>
  <c r="AI110" i="8"/>
  <c r="P110" i="8"/>
  <c r="Q110" i="8" s="1"/>
  <c r="X110" i="8"/>
  <c r="L110" i="8"/>
  <c r="H154" i="3"/>
  <c r="AB153" i="3"/>
  <c r="L153" i="10" s="1"/>
  <c r="U216" i="7" l="1"/>
  <c r="V216" i="7"/>
  <c r="I174" i="2"/>
  <c r="H174" i="2"/>
  <c r="D217" i="7"/>
  <c r="M154" i="3"/>
  <c r="AJ110" i="8"/>
  <c r="S110" i="8"/>
  <c r="Y110" i="8"/>
  <c r="AA110" i="8" s="1"/>
  <c r="AU110" i="8"/>
  <c r="I154" i="3"/>
  <c r="L154" i="3" s="1"/>
  <c r="Z216" i="7" l="1"/>
  <c r="AA216" i="7" s="1"/>
  <c r="B216" i="7" s="1"/>
  <c r="B216" i="8" s="1"/>
  <c r="X216" i="7"/>
  <c r="E217" i="7"/>
  <c r="M217" i="7" s="1"/>
  <c r="J174" i="2"/>
  <c r="M174" i="2"/>
  <c r="D174" i="3"/>
  <c r="G174" i="10"/>
  <c r="I217" i="7"/>
  <c r="H217" i="7"/>
  <c r="J217" i="7" s="1"/>
  <c r="N217" i="7"/>
  <c r="W217" i="7" s="1"/>
  <c r="F218" i="7" s="1"/>
  <c r="C217" i="7"/>
  <c r="R217" i="7" s="1"/>
  <c r="AB216" i="7"/>
  <c r="Z110" i="8"/>
  <c r="AB110" i="8" s="1"/>
  <c r="T110" i="8"/>
  <c r="V110" i="8" s="1"/>
  <c r="AK110" i="8"/>
  <c r="Q154" i="3"/>
  <c r="J154" i="3"/>
  <c r="U216" i="8" l="1"/>
  <c r="W216" i="8" s="1"/>
  <c r="F174" i="10"/>
  <c r="D174" i="10"/>
  <c r="C174" i="3"/>
  <c r="B175" i="2"/>
  <c r="K217" i="7"/>
  <c r="S217" i="7"/>
  <c r="C217" i="8" s="1"/>
  <c r="O218" i="7"/>
  <c r="AC110" i="8"/>
  <c r="AT110" i="8"/>
  <c r="AC154" i="3"/>
  <c r="M154" i="10" s="1"/>
  <c r="K154" i="3"/>
  <c r="D175" i="2" l="1"/>
  <c r="C175" i="10"/>
  <c r="C175" i="2"/>
  <c r="K175" i="2"/>
  <c r="T217" i="7"/>
  <c r="D217" i="8" s="1"/>
  <c r="L217" i="7"/>
  <c r="V217" i="7" s="1"/>
  <c r="P218" i="7"/>
  <c r="Q218" i="7" s="1"/>
  <c r="AD110" i="8"/>
  <c r="U154" i="3"/>
  <c r="N154" i="3"/>
  <c r="E175" i="2" l="1"/>
  <c r="L175" i="2"/>
  <c r="Z217" i="7"/>
  <c r="AA217" i="7" s="1"/>
  <c r="B217" i="7" s="1"/>
  <c r="U217" i="7"/>
  <c r="E218" i="7"/>
  <c r="Y218" i="7"/>
  <c r="E218" i="8"/>
  <c r="B175" i="3"/>
  <c r="F175" i="2"/>
  <c r="AE110" i="8"/>
  <c r="AL110" i="8"/>
  <c r="X154" i="3"/>
  <c r="V154" i="3"/>
  <c r="Y154" i="3" s="1"/>
  <c r="O154" i="3"/>
  <c r="M218" i="7" l="1"/>
  <c r="E175" i="10"/>
  <c r="D218" i="7"/>
  <c r="B217" i="8"/>
  <c r="G175" i="2"/>
  <c r="H175" i="2" s="1"/>
  <c r="X217" i="7"/>
  <c r="AF110" i="8"/>
  <c r="AM110" i="8" s="1"/>
  <c r="AQ110" i="8" s="1"/>
  <c r="G111" i="8" s="1"/>
  <c r="N218" i="7"/>
  <c r="W218" i="7" s="1"/>
  <c r="F219" i="7" s="1"/>
  <c r="AP110" i="8"/>
  <c r="F111" i="8" s="1"/>
  <c r="P154" i="3"/>
  <c r="E155" i="3"/>
  <c r="H154" i="10"/>
  <c r="I154" i="10"/>
  <c r="F155" i="3"/>
  <c r="R154" i="3"/>
  <c r="S154" i="3" s="1"/>
  <c r="W154" i="3"/>
  <c r="Z154" i="3" s="1"/>
  <c r="H218" i="7" l="1"/>
  <c r="I218" i="7"/>
  <c r="C218" i="7"/>
  <c r="D175" i="3"/>
  <c r="I175" i="2"/>
  <c r="U217" i="8"/>
  <c r="W217" i="8" s="1"/>
  <c r="G175" i="10"/>
  <c r="O219" i="7"/>
  <c r="AB217" i="7"/>
  <c r="AG110" i="8"/>
  <c r="AH110" i="8" s="1"/>
  <c r="AN110" i="8" s="1"/>
  <c r="AR110" i="8" s="1"/>
  <c r="H111" i="8" s="1"/>
  <c r="G155" i="3"/>
  <c r="J154" i="10"/>
  <c r="AA154" i="3"/>
  <c r="K154" i="10" s="1"/>
  <c r="T154" i="3"/>
  <c r="J218" i="7" l="1"/>
  <c r="R218" i="7"/>
  <c r="S218" i="7" s="1"/>
  <c r="C218" i="8" s="1"/>
  <c r="M175" i="2"/>
  <c r="J175" i="2"/>
  <c r="C175" i="3"/>
  <c r="P219" i="7"/>
  <c r="Q219" i="7" s="1"/>
  <c r="I111" i="8"/>
  <c r="AO110" i="8"/>
  <c r="H155" i="3"/>
  <c r="AB154" i="3"/>
  <c r="L154" i="10" s="1"/>
  <c r="K218" i="7" l="1"/>
  <c r="T218" i="7" s="1"/>
  <c r="D218" i="8" s="1"/>
  <c r="F175" i="10"/>
  <c r="D175" i="10"/>
  <c r="B176" i="2"/>
  <c r="L218" i="7"/>
  <c r="V218" i="7" s="1"/>
  <c r="E219" i="8"/>
  <c r="Y219" i="7"/>
  <c r="J111" i="8"/>
  <c r="N111" i="8" s="1"/>
  <c r="O111" i="8"/>
  <c r="AS110" i="8"/>
  <c r="M155" i="3"/>
  <c r="I155" i="3"/>
  <c r="L155" i="3" s="1"/>
  <c r="D176" i="2" l="1"/>
  <c r="C176" i="2"/>
  <c r="E176" i="2" s="1"/>
  <c r="C176" i="10"/>
  <c r="K176" i="2"/>
  <c r="E219" i="7"/>
  <c r="M219" i="7" s="1"/>
  <c r="U218" i="7"/>
  <c r="Z218" i="7"/>
  <c r="AA218" i="7" s="1"/>
  <c r="B218" i="7" s="1"/>
  <c r="B218" i="8" s="1"/>
  <c r="R111" i="8"/>
  <c r="K111" i="8"/>
  <c r="M111" i="8" s="1"/>
  <c r="Q155" i="3"/>
  <c r="J155" i="3"/>
  <c r="K155" i="3" s="1"/>
  <c r="F176" i="2" l="1"/>
  <c r="L176" i="2"/>
  <c r="X218" i="7"/>
  <c r="D219" i="7"/>
  <c r="N219" i="7"/>
  <c r="W219" i="7" s="1"/>
  <c r="F220" i="7" s="1"/>
  <c r="U218" i="8"/>
  <c r="W218" i="8" s="1"/>
  <c r="AI111" i="8"/>
  <c r="X111" i="8"/>
  <c r="P111" i="8"/>
  <c r="Q111" i="8" s="1"/>
  <c r="L111" i="8"/>
  <c r="U155" i="3"/>
  <c r="N155" i="3"/>
  <c r="AC155" i="3"/>
  <c r="M155" i="10" s="1"/>
  <c r="B176" i="3" l="1"/>
  <c r="E176" i="10"/>
  <c r="G176" i="2"/>
  <c r="H176" i="2" s="1"/>
  <c r="C219" i="7"/>
  <c r="R219" i="7" s="1"/>
  <c r="I219" i="7"/>
  <c r="AB218" i="7"/>
  <c r="H219" i="7"/>
  <c r="O220" i="7"/>
  <c r="AJ111" i="8"/>
  <c r="Z111" i="8"/>
  <c r="AB111" i="8" s="1"/>
  <c r="Y111" i="8"/>
  <c r="AA111" i="8" s="1"/>
  <c r="S111" i="8"/>
  <c r="AU111" i="8"/>
  <c r="X155" i="3"/>
  <c r="V155" i="3"/>
  <c r="Y155" i="3" s="1"/>
  <c r="O155" i="3"/>
  <c r="I176" i="2" l="1"/>
  <c r="D176" i="3"/>
  <c r="G176" i="10"/>
  <c r="J219" i="7"/>
  <c r="S219" i="7"/>
  <c r="C219" i="8" s="1"/>
  <c r="P220" i="7"/>
  <c r="Q220" i="7" s="1"/>
  <c r="AK111" i="8"/>
  <c r="T111" i="8"/>
  <c r="V111" i="8" s="1"/>
  <c r="AC111" i="8"/>
  <c r="E156" i="3"/>
  <c r="H155" i="10"/>
  <c r="P155" i="3"/>
  <c r="I155" i="10"/>
  <c r="F156" i="3"/>
  <c r="R155" i="3"/>
  <c r="S155" i="3" s="1"/>
  <c r="W155" i="3"/>
  <c r="Z155" i="3" s="1"/>
  <c r="J176" i="2" l="1"/>
  <c r="M176" i="2"/>
  <c r="K219" i="7"/>
  <c r="E220" i="8"/>
  <c r="Y220" i="7"/>
  <c r="AT111" i="8"/>
  <c r="AD111" i="8"/>
  <c r="G156" i="3"/>
  <c r="J155" i="10"/>
  <c r="AA155" i="3"/>
  <c r="K155" i="10" s="1"/>
  <c r="T155" i="3"/>
  <c r="B177" i="2" l="1"/>
  <c r="D176" i="10"/>
  <c r="F176" i="10"/>
  <c r="C176" i="3"/>
  <c r="T219" i="7"/>
  <c r="D219" i="8" s="1"/>
  <c r="L219" i="7"/>
  <c r="V219" i="7" s="1"/>
  <c r="U219" i="7"/>
  <c r="D220" i="7" s="1"/>
  <c r="AE111" i="8"/>
  <c r="AL111" i="8"/>
  <c r="H156" i="3"/>
  <c r="AB155" i="3"/>
  <c r="L155" i="10" s="1"/>
  <c r="C177" i="10" l="1"/>
  <c r="C177" i="2"/>
  <c r="K177" i="2"/>
  <c r="D177" i="2"/>
  <c r="E220" i="7"/>
  <c r="M220" i="7" s="1"/>
  <c r="Z219" i="7"/>
  <c r="AA219" i="7" s="1"/>
  <c r="B219" i="7" s="1"/>
  <c r="B219" i="8" s="1"/>
  <c r="X219" i="7"/>
  <c r="H220" i="7"/>
  <c r="I220" i="7"/>
  <c r="L177" i="2"/>
  <c r="AF111" i="8"/>
  <c r="AM111" i="8" s="1"/>
  <c r="AQ111" i="8" s="1"/>
  <c r="G112" i="8" s="1"/>
  <c r="AP111" i="8"/>
  <c r="F112" i="8" s="1"/>
  <c r="M156" i="3"/>
  <c r="I156" i="3"/>
  <c r="L156" i="3" s="1"/>
  <c r="E177" i="2" l="1"/>
  <c r="B177" i="3"/>
  <c r="U219" i="8"/>
  <c r="W219" i="8" s="1"/>
  <c r="N220" i="7"/>
  <c r="W220" i="7" s="1"/>
  <c r="F221" i="7" s="1"/>
  <c r="O221" i="7" s="1"/>
  <c r="J220" i="7"/>
  <c r="AB219" i="7"/>
  <c r="C220" i="7"/>
  <c r="E177" i="10"/>
  <c r="AG111" i="8"/>
  <c r="AH111" i="8" s="1"/>
  <c r="AN111" i="8" s="1"/>
  <c r="AR111" i="8" s="1"/>
  <c r="H112" i="8" s="1"/>
  <c r="I112" i="8" s="1"/>
  <c r="J156" i="3"/>
  <c r="K156" i="3" s="1"/>
  <c r="Q156" i="3"/>
  <c r="F177" i="2" l="1"/>
  <c r="K220" i="7"/>
  <c r="P221" i="7"/>
  <c r="Q221" i="7" s="1"/>
  <c r="R220" i="7"/>
  <c r="S220" i="7" s="1"/>
  <c r="C220" i="8" s="1"/>
  <c r="J112" i="8"/>
  <c r="N112" i="8" s="1"/>
  <c r="O112" i="8"/>
  <c r="AO111" i="8"/>
  <c r="N156" i="3"/>
  <c r="U156" i="3"/>
  <c r="AC156" i="3"/>
  <c r="M156" i="10" s="1"/>
  <c r="G177" i="2" l="1"/>
  <c r="H177" i="2" s="1"/>
  <c r="E221" i="8"/>
  <c r="Y221" i="7"/>
  <c r="T220" i="7"/>
  <c r="D220" i="8" s="1"/>
  <c r="L220" i="7"/>
  <c r="V220" i="7" s="1"/>
  <c r="O156" i="3"/>
  <c r="R112" i="8"/>
  <c r="K112" i="8"/>
  <c r="M112" i="8" s="1"/>
  <c r="AS111" i="8"/>
  <c r="V156" i="3"/>
  <c r="Y156" i="3" s="1"/>
  <c r="F157" i="3" s="1"/>
  <c r="X156" i="3"/>
  <c r="G177" i="10" l="1"/>
  <c r="I177" i="2"/>
  <c r="D177" i="3"/>
  <c r="E157" i="3"/>
  <c r="E221" i="7"/>
  <c r="Z220" i="7"/>
  <c r="AA220" i="7" s="1"/>
  <c r="B220" i="7" s="1"/>
  <c r="U220" i="7"/>
  <c r="P156" i="3"/>
  <c r="H156" i="10"/>
  <c r="R156" i="3"/>
  <c r="S156" i="3" s="1"/>
  <c r="W156" i="3"/>
  <c r="Z156" i="3" s="1"/>
  <c r="M177" i="2"/>
  <c r="I156" i="10"/>
  <c r="P112" i="8"/>
  <c r="Q112" i="8" s="1"/>
  <c r="S112" i="8" s="1"/>
  <c r="X112" i="8"/>
  <c r="Y112" i="8" s="1"/>
  <c r="AA112" i="8" s="1"/>
  <c r="L112" i="8"/>
  <c r="AI112" i="8"/>
  <c r="AJ112" i="8"/>
  <c r="J177" i="2" l="1"/>
  <c r="M221" i="7"/>
  <c r="B220" i="8"/>
  <c r="D221" i="7"/>
  <c r="X220" i="7"/>
  <c r="D177" i="10"/>
  <c r="T156" i="3"/>
  <c r="AB156" i="3" s="1"/>
  <c r="L156" i="10" s="1"/>
  <c r="Z112" i="8"/>
  <c r="AB112" i="8" s="1"/>
  <c r="AU112" i="8"/>
  <c r="G157" i="3"/>
  <c r="J156" i="10"/>
  <c r="AA156" i="3"/>
  <c r="K156" i="10" s="1"/>
  <c r="F177" i="10"/>
  <c r="C177" i="3"/>
  <c r="T112" i="8"/>
  <c r="V112" i="8" s="1"/>
  <c r="AK112" i="8"/>
  <c r="B178" i="2" l="1"/>
  <c r="U220" i="8"/>
  <c r="W220" i="8" s="1"/>
  <c r="I221" i="7"/>
  <c r="C221" i="7"/>
  <c r="N221" i="7"/>
  <c r="W221" i="7" s="1"/>
  <c r="F222" i="7" s="1"/>
  <c r="O222" i="7" s="1"/>
  <c r="H221" i="7"/>
  <c r="AB220" i="7"/>
  <c r="C178" i="10"/>
  <c r="C178" i="2"/>
  <c r="AC112" i="8"/>
  <c r="H157" i="3"/>
  <c r="AT112" i="8"/>
  <c r="K178" i="2" l="1"/>
  <c r="D178" i="2"/>
  <c r="R221" i="7"/>
  <c r="P222" i="7"/>
  <c r="Q222" i="7" s="1"/>
  <c r="J221" i="7"/>
  <c r="L178" i="2"/>
  <c r="B178" i="3" s="1"/>
  <c r="E178" i="2"/>
  <c r="S221" i="7"/>
  <c r="C221" i="8" s="1"/>
  <c r="AD112" i="8"/>
  <c r="M157" i="3"/>
  <c r="I157" i="3"/>
  <c r="L157" i="3" s="1"/>
  <c r="AE112" i="8"/>
  <c r="E222" i="8" l="1"/>
  <c r="Y222" i="7"/>
  <c r="F178" i="2"/>
  <c r="E178" i="10"/>
  <c r="AL112" i="8"/>
  <c r="K221" i="7"/>
  <c r="T221" i="7"/>
  <c r="D221" i="8" s="1"/>
  <c r="J157" i="3"/>
  <c r="K157" i="3" s="1"/>
  <c r="Q157" i="3"/>
  <c r="AF112" i="8"/>
  <c r="AM112" i="8" s="1"/>
  <c r="AQ112" i="8" s="1"/>
  <c r="G113" i="8" s="1"/>
  <c r="G178" i="2"/>
  <c r="H178" i="2" s="1"/>
  <c r="AP112" i="8" l="1"/>
  <c r="F113" i="8" s="1"/>
  <c r="L221" i="7"/>
  <c r="V221" i="7" s="1"/>
  <c r="U157" i="3"/>
  <c r="AC157" i="3"/>
  <c r="M157" i="10" s="1"/>
  <c r="N157" i="3"/>
  <c r="AG112" i="8"/>
  <c r="AH112" i="8" s="1"/>
  <c r="AN112" i="8" s="1"/>
  <c r="AR112" i="8" s="1"/>
  <c r="H113" i="8" s="1"/>
  <c r="G178" i="10"/>
  <c r="D178" i="3"/>
  <c r="I178" i="2"/>
  <c r="E222" i="7" l="1"/>
  <c r="Z221" i="7"/>
  <c r="AA221" i="7" s="1"/>
  <c r="B221" i="7" s="1"/>
  <c r="U221" i="7"/>
  <c r="X157" i="3"/>
  <c r="V157" i="3"/>
  <c r="Y157" i="3" s="1"/>
  <c r="O157" i="3"/>
  <c r="I113" i="8"/>
  <c r="AO112" i="8"/>
  <c r="W157" i="3"/>
  <c r="Z157" i="3" s="1"/>
  <c r="F158" i="3"/>
  <c r="I157" i="10"/>
  <c r="R157" i="3"/>
  <c r="S157" i="3" s="1"/>
  <c r="G158" i="3"/>
  <c r="M222" i="7"/>
  <c r="B221" i="8"/>
  <c r="J178" i="2"/>
  <c r="M178" i="2"/>
  <c r="D222" i="7" l="1"/>
  <c r="H157" i="10"/>
  <c r="X221" i="7"/>
  <c r="E158" i="3"/>
  <c r="P157" i="3"/>
  <c r="AA157" i="3"/>
  <c r="K157" i="10" s="1"/>
  <c r="J113" i="8"/>
  <c r="N113" i="8" s="1"/>
  <c r="AS112" i="8"/>
  <c r="O113" i="8"/>
  <c r="J157" i="10"/>
  <c r="AB221" i="7"/>
  <c r="C222" i="7"/>
  <c r="H158" i="3"/>
  <c r="N222" i="7"/>
  <c r="W222" i="7" s="1"/>
  <c r="F223" i="7" s="1"/>
  <c r="O223" i="7" s="1"/>
  <c r="U221" i="8"/>
  <c r="W221" i="8" s="1"/>
  <c r="H222" i="7"/>
  <c r="I222" i="7"/>
  <c r="T157" i="3"/>
  <c r="B179" i="2"/>
  <c r="D178" i="10"/>
  <c r="C178" i="3"/>
  <c r="F178" i="10"/>
  <c r="K113" i="8" l="1"/>
  <c r="M113" i="8" s="1"/>
  <c r="R113" i="8"/>
  <c r="M158" i="3"/>
  <c r="I158" i="3"/>
  <c r="L158" i="3" s="1"/>
  <c r="R222" i="7"/>
  <c r="S222" i="7" s="1"/>
  <c r="C222" i="8" s="1"/>
  <c r="AB157" i="3"/>
  <c r="L157" i="10" s="1"/>
  <c r="P223" i="7"/>
  <c r="Q223" i="7" s="1"/>
  <c r="E223" i="8" s="1"/>
  <c r="J222" i="7"/>
  <c r="C179" i="2"/>
  <c r="C179" i="10"/>
  <c r="D179" i="2"/>
  <c r="K179" i="2"/>
  <c r="P113" i="8" l="1"/>
  <c r="Q113" i="8" s="1"/>
  <c r="L113" i="8"/>
  <c r="X113" i="8"/>
  <c r="AI113" i="8"/>
  <c r="Y223" i="7"/>
  <c r="J158" i="3"/>
  <c r="K158" i="3" s="1"/>
  <c r="Q158" i="3"/>
  <c r="Y113" i="8"/>
  <c r="AA113" i="8" s="1"/>
  <c r="K222" i="7"/>
  <c r="L179" i="2"/>
  <c r="E179" i="2"/>
  <c r="AJ113" i="8" l="1"/>
  <c r="AC158" i="3"/>
  <c r="M158" i="10" s="1"/>
  <c r="AU113" i="8"/>
  <c r="S113" i="8"/>
  <c r="Z113" i="8"/>
  <c r="AB113" i="8" s="1"/>
  <c r="N158" i="3"/>
  <c r="U158" i="3"/>
  <c r="T222" i="7"/>
  <c r="D222" i="8" s="1"/>
  <c r="L222" i="7"/>
  <c r="V222" i="7" s="1"/>
  <c r="E179" i="10"/>
  <c r="B179" i="3"/>
  <c r="F179" i="2"/>
  <c r="AK113" i="8" l="1"/>
  <c r="T113" i="8"/>
  <c r="V113" i="8" s="1"/>
  <c r="AT113" i="8" s="1"/>
  <c r="AC113" i="8"/>
  <c r="O158" i="3"/>
  <c r="X158" i="3"/>
  <c r="V158" i="3"/>
  <c r="Y158" i="3" s="1"/>
  <c r="E223" i="7"/>
  <c r="Z222" i="7"/>
  <c r="AA222" i="7" s="1"/>
  <c r="B222" i="7" s="1"/>
  <c r="U222" i="7"/>
  <c r="G179" i="2"/>
  <c r="P158" i="3" l="1"/>
  <c r="R158" i="3"/>
  <c r="S158" i="3" s="1"/>
  <c r="F159" i="3"/>
  <c r="I158" i="10"/>
  <c r="H158" i="10"/>
  <c r="E159" i="3"/>
  <c r="W158" i="3"/>
  <c r="AD113" i="8"/>
  <c r="M223" i="7"/>
  <c r="B222" i="8"/>
  <c r="T158" i="3"/>
  <c r="AE113" i="8"/>
  <c r="AL113" i="8"/>
  <c r="D223" i="7"/>
  <c r="X222" i="7"/>
  <c r="I179" i="2"/>
  <c r="H179" i="2"/>
  <c r="AA158" i="3" l="1"/>
  <c r="K158" i="10" s="1"/>
  <c r="Z158" i="3"/>
  <c r="N223" i="7"/>
  <c r="W223" i="7" s="1"/>
  <c r="F224" i="7" s="1"/>
  <c r="AB158" i="3"/>
  <c r="L158" i="10" s="1"/>
  <c r="U222" i="8"/>
  <c r="W222" i="8" s="1"/>
  <c r="AF113" i="8"/>
  <c r="AM113" i="8" s="1"/>
  <c r="AQ113" i="8" s="1"/>
  <c r="G114" i="8" s="1"/>
  <c r="AP113" i="8"/>
  <c r="F114" i="8" s="1"/>
  <c r="H223" i="7"/>
  <c r="I223" i="7"/>
  <c r="AB222" i="7"/>
  <c r="C223" i="7"/>
  <c r="J179" i="2"/>
  <c r="M179" i="2"/>
  <c r="G179" i="10"/>
  <c r="D179" i="3"/>
  <c r="J158" i="10" l="1"/>
  <c r="G159" i="3"/>
  <c r="O224" i="7"/>
  <c r="R223" i="7"/>
  <c r="AG113" i="8"/>
  <c r="AH113" i="8" s="1"/>
  <c r="AN113" i="8" s="1"/>
  <c r="J223" i="7"/>
  <c r="B180" i="2"/>
  <c r="D179" i="10"/>
  <c r="F179" i="10"/>
  <c r="C179" i="3"/>
  <c r="H159" i="3"/>
  <c r="S223" i="7" l="1"/>
  <c r="C223" i="8" s="1"/>
  <c r="P224" i="7"/>
  <c r="Q224" i="7" s="1"/>
  <c r="E224" i="8" s="1"/>
  <c r="AO113" i="8"/>
  <c r="AR113" i="8"/>
  <c r="H114" i="8" s="1"/>
  <c r="K223" i="7"/>
  <c r="C180" i="10"/>
  <c r="K180" i="2"/>
  <c r="D180" i="2"/>
  <c r="C180" i="2"/>
  <c r="E180" i="2" s="1"/>
  <c r="F180" i="2" s="1"/>
  <c r="M159" i="3"/>
  <c r="I159" i="3"/>
  <c r="L159" i="3" s="1"/>
  <c r="Y224" i="7" l="1"/>
  <c r="L180" i="2"/>
  <c r="T223" i="7"/>
  <c r="D223" i="8" s="1"/>
  <c r="I114" i="8"/>
  <c r="AS113" i="8"/>
  <c r="L223" i="7"/>
  <c r="V223" i="7" s="1"/>
  <c r="J159" i="3"/>
  <c r="K159" i="3" s="1"/>
  <c r="Q159" i="3"/>
  <c r="G180" i="2"/>
  <c r="O114" i="8" l="1"/>
  <c r="J114" i="8"/>
  <c r="N114" i="8" s="1"/>
  <c r="E180" i="10"/>
  <c r="B180" i="3"/>
  <c r="E224" i="7"/>
  <c r="Z223" i="7"/>
  <c r="AA223" i="7" s="1"/>
  <c r="B223" i="7" s="1"/>
  <c r="U223" i="7"/>
  <c r="U159" i="3"/>
  <c r="AC159" i="3"/>
  <c r="M159" i="10" s="1"/>
  <c r="N159" i="3"/>
  <c r="I180" i="2"/>
  <c r="H180" i="2"/>
  <c r="R114" i="8" l="1"/>
  <c r="K114" i="8"/>
  <c r="D180" i="3"/>
  <c r="M224" i="7"/>
  <c r="G180" i="10"/>
  <c r="B223" i="8"/>
  <c r="D224" i="7"/>
  <c r="X223" i="7"/>
  <c r="V159" i="3"/>
  <c r="Y159" i="3" s="1"/>
  <c r="O159" i="3"/>
  <c r="X159" i="3"/>
  <c r="M180" i="2"/>
  <c r="J180" i="2"/>
  <c r="L114" i="8"/>
  <c r="M114" i="8"/>
  <c r="N224" i="7" l="1"/>
  <c r="W224" i="7" s="1"/>
  <c r="F225" i="7" s="1"/>
  <c r="I224" i="7"/>
  <c r="AB223" i="7"/>
  <c r="C224" i="7"/>
  <c r="I159" i="10"/>
  <c r="F160" i="3"/>
  <c r="W159" i="3"/>
  <c r="R159" i="3"/>
  <c r="S159" i="3" s="1"/>
  <c r="U223" i="8"/>
  <c r="W223" i="8" s="1"/>
  <c r="H224" i="7"/>
  <c r="E160" i="3"/>
  <c r="H159" i="10"/>
  <c r="P159" i="3"/>
  <c r="F180" i="10"/>
  <c r="C180" i="3"/>
  <c r="D180" i="10"/>
  <c r="B181" i="2"/>
  <c r="AU114" i="8"/>
  <c r="P114" i="8"/>
  <c r="Q114" i="8" s="1"/>
  <c r="X114" i="8"/>
  <c r="AI114" i="8"/>
  <c r="O225" i="7" l="1"/>
  <c r="AA159" i="3"/>
  <c r="K159" i="10" s="1"/>
  <c r="Z159" i="3"/>
  <c r="T159" i="3"/>
  <c r="R224" i="7"/>
  <c r="S224" i="7" s="1"/>
  <c r="C224" i="8" s="1"/>
  <c r="C181" i="2"/>
  <c r="D181" i="2"/>
  <c r="K181" i="2"/>
  <c r="C181" i="10"/>
  <c r="J224" i="7"/>
  <c r="S114" i="8"/>
  <c r="Y114" i="8"/>
  <c r="AA114" i="8" s="1"/>
  <c r="AJ114" i="8"/>
  <c r="P225" i="7" l="1"/>
  <c r="Q225" i="7" s="1"/>
  <c r="J159" i="10"/>
  <c r="G160" i="3"/>
  <c r="AB159" i="3"/>
  <c r="L159" i="10" s="1"/>
  <c r="K224" i="7"/>
  <c r="L181" i="2"/>
  <c r="E181" i="2"/>
  <c r="F181" i="2" s="1"/>
  <c r="Z114" i="8"/>
  <c r="AB114" i="8" s="1"/>
  <c r="H160" i="3"/>
  <c r="AK114" i="8"/>
  <c r="E225" i="8"/>
  <c r="T114" i="8"/>
  <c r="V114" i="8" s="1"/>
  <c r="Y225" i="7" l="1"/>
  <c r="E181" i="10"/>
  <c r="T224" i="7"/>
  <c r="D224" i="8" s="1"/>
  <c r="B181" i="3"/>
  <c r="L224" i="7"/>
  <c r="V224" i="7" s="1"/>
  <c r="G181" i="2"/>
  <c r="AC114" i="8"/>
  <c r="M160" i="3"/>
  <c r="I160" i="3"/>
  <c r="L160" i="3" s="1"/>
  <c r="AT114" i="8"/>
  <c r="AD114" i="8" l="1"/>
  <c r="E225" i="7"/>
  <c r="Z224" i="7"/>
  <c r="AA224" i="7" s="1"/>
  <c r="B224" i="7" s="1"/>
  <c r="U224" i="7"/>
  <c r="I181" i="2"/>
  <c r="H181" i="2"/>
  <c r="Q160" i="3"/>
  <c r="J160" i="3"/>
  <c r="K160" i="3" s="1"/>
  <c r="AE114" i="8" l="1"/>
  <c r="AL114" i="8"/>
  <c r="M225" i="7"/>
  <c r="B224" i="8"/>
  <c r="D225" i="7"/>
  <c r="X224" i="7"/>
  <c r="M181" i="2"/>
  <c r="J181" i="2"/>
  <c r="D181" i="3"/>
  <c r="G181" i="10"/>
  <c r="U160" i="3"/>
  <c r="AC160" i="3"/>
  <c r="M160" i="10" s="1"/>
  <c r="N160" i="3"/>
  <c r="O160" i="3" l="1"/>
  <c r="N225" i="7"/>
  <c r="W225" i="7" s="1"/>
  <c r="F226" i="7" s="1"/>
  <c r="AP114" i="8"/>
  <c r="F115" i="8" s="1"/>
  <c r="AF114" i="8"/>
  <c r="AM114" i="8" s="1"/>
  <c r="AQ114" i="8" s="1"/>
  <c r="G115" i="8" s="1"/>
  <c r="U224" i="8"/>
  <c r="W224" i="8" s="1"/>
  <c r="H225" i="7"/>
  <c r="I225" i="7"/>
  <c r="AB224" i="7"/>
  <c r="C225" i="7"/>
  <c r="C181" i="3"/>
  <c r="B182" i="2"/>
  <c r="F181" i="10"/>
  <c r="D181" i="10"/>
  <c r="V160" i="3"/>
  <c r="Y160" i="3" s="1"/>
  <c r="X160" i="3"/>
  <c r="P160" i="3" l="1"/>
  <c r="O226" i="7"/>
  <c r="AG114" i="8"/>
  <c r="AH114" i="8" s="1"/>
  <c r="AN114" i="8" s="1"/>
  <c r="R225" i="7"/>
  <c r="S225" i="7" s="1"/>
  <c r="C225" i="8" s="1"/>
  <c r="R160" i="3"/>
  <c r="S160" i="3" s="1"/>
  <c r="J225" i="7"/>
  <c r="C182" i="2"/>
  <c r="D182" i="2"/>
  <c r="K182" i="2"/>
  <c r="C182" i="10"/>
  <c r="E161" i="3"/>
  <c r="H160" i="10"/>
  <c r="F161" i="3"/>
  <c r="W160" i="3"/>
  <c r="Z160" i="3" s="1"/>
  <c r="I160" i="10"/>
  <c r="P226" i="7" l="1"/>
  <c r="Q226" i="7" s="1"/>
  <c r="AO114" i="8"/>
  <c r="AR114" i="8"/>
  <c r="H115" i="8" s="1"/>
  <c r="T160" i="3"/>
  <c r="K225" i="7"/>
  <c r="E182" i="2"/>
  <c r="L182" i="2"/>
  <c r="G161" i="3"/>
  <c r="J160" i="10"/>
  <c r="AA160" i="3"/>
  <c r="K160" i="10" s="1"/>
  <c r="E226" i="8" l="1"/>
  <c r="Y226" i="7"/>
  <c r="I115" i="8"/>
  <c r="AS114" i="8"/>
  <c r="AB160" i="3"/>
  <c r="L160" i="10" s="1"/>
  <c r="T225" i="7"/>
  <c r="D225" i="8" s="1"/>
  <c r="L225" i="7"/>
  <c r="V225" i="7" s="1"/>
  <c r="H161" i="3"/>
  <c r="E182" i="10"/>
  <c r="F182" i="2"/>
  <c r="B182" i="3"/>
  <c r="E226" i="7"/>
  <c r="Z225" i="7"/>
  <c r="AA225" i="7" s="1"/>
  <c r="B225" i="7" s="1"/>
  <c r="O115" i="8" l="1"/>
  <c r="J115" i="8"/>
  <c r="N115" i="8" s="1"/>
  <c r="U225" i="7"/>
  <c r="M161" i="3"/>
  <c r="I161" i="3"/>
  <c r="L161" i="3" s="1"/>
  <c r="G182" i="2"/>
  <c r="R115" i="8"/>
  <c r="D226" i="7"/>
  <c r="X225" i="7"/>
  <c r="K115" i="8"/>
  <c r="M115" i="8" s="1"/>
  <c r="M226" i="7"/>
  <c r="B225" i="8"/>
  <c r="Q161" i="3" l="1"/>
  <c r="J161" i="3"/>
  <c r="K161" i="3" s="1"/>
  <c r="I182" i="2"/>
  <c r="H182" i="2"/>
  <c r="L115" i="8"/>
  <c r="N226" i="7"/>
  <c r="W226" i="7" s="1"/>
  <c r="F227" i="7" s="1"/>
  <c r="H226" i="7"/>
  <c r="I226" i="7"/>
  <c r="P115" i="8"/>
  <c r="Q115" i="8" s="1"/>
  <c r="X115" i="8"/>
  <c r="AI115" i="8"/>
  <c r="AB225" i="7"/>
  <c r="C226" i="7"/>
  <c r="U225" i="8"/>
  <c r="W225" i="8" s="1"/>
  <c r="R226" i="7" l="1"/>
  <c r="M182" i="2"/>
  <c r="U161" i="3"/>
  <c r="N161" i="3"/>
  <c r="AC161" i="3"/>
  <c r="M161" i="10" s="1"/>
  <c r="J182" i="2"/>
  <c r="D182" i="3"/>
  <c r="G182" i="10"/>
  <c r="AU115" i="8"/>
  <c r="O227" i="7"/>
  <c r="J226" i="7"/>
  <c r="S115" i="8"/>
  <c r="Y115" i="8"/>
  <c r="AA115" i="8" s="1"/>
  <c r="AJ115" i="8"/>
  <c r="S226" i="7" l="1"/>
  <c r="C226" i="8" s="1"/>
  <c r="X161" i="3"/>
  <c r="F182" i="10"/>
  <c r="C182" i="3"/>
  <c r="V161" i="3"/>
  <c r="Y161" i="3" s="1"/>
  <c r="O161" i="3"/>
  <c r="D182" i="10"/>
  <c r="B183" i="2"/>
  <c r="K226" i="7"/>
  <c r="P227" i="7"/>
  <c r="Q227" i="7" s="1"/>
  <c r="Z115" i="8"/>
  <c r="AB115" i="8" s="1"/>
  <c r="T115" i="8"/>
  <c r="V115" i="8" s="1"/>
  <c r="AK115" i="8"/>
  <c r="C183" i="2" l="1"/>
  <c r="K183" i="2"/>
  <c r="D183" i="2"/>
  <c r="C183" i="10"/>
  <c r="E162" i="3"/>
  <c r="H161" i="10"/>
  <c r="I161" i="10"/>
  <c r="F162" i="3"/>
  <c r="R161" i="3"/>
  <c r="S161" i="3" s="1"/>
  <c r="W161" i="3"/>
  <c r="Z161" i="3" s="1"/>
  <c r="P161" i="3"/>
  <c r="AT115" i="8"/>
  <c r="E227" i="8"/>
  <c r="Y227" i="7"/>
  <c r="T226" i="7"/>
  <c r="D226" i="8" s="1"/>
  <c r="AC115" i="8"/>
  <c r="L226" i="7"/>
  <c r="V226" i="7" s="1"/>
  <c r="E183" i="2" l="1"/>
  <c r="L183" i="2"/>
  <c r="T161" i="3"/>
  <c r="AA161" i="3"/>
  <c r="K161" i="10" s="1"/>
  <c r="G162" i="3"/>
  <c r="J161" i="10"/>
  <c r="AD115" i="8"/>
  <c r="Z226" i="7"/>
  <c r="AA226" i="7" s="1"/>
  <c r="B226" i="7" s="1"/>
  <c r="E227" i="7"/>
  <c r="U226" i="7"/>
  <c r="F183" i="2" l="1"/>
  <c r="E183" i="10"/>
  <c r="B183" i="3"/>
  <c r="AB161" i="3"/>
  <c r="L161" i="10" s="1"/>
  <c r="H162" i="3"/>
  <c r="AE115" i="8"/>
  <c r="AL115" i="8"/>
  <c r="B226" i="8"/>
  <c r="M227" i="7"/>
  <c r="D227" i="7"/>
  <c r="X226" i="7"/>
  <c r="G183" i="2" l="1"/>
  <c r="H183" i="2" s="1"/>
  <c r="M162" i="3"/>
  <c r="I162" i="3"/>
  <c r="L162" i="3" s="1"/>
  <c r="AF115" i="8"/>
  <c r="AM115" i="8" s="1"/>
  <c r="AQ115" i="8" s="1"/>
  <c r="G116" i="8" s="1"/>
  <c r="U226" i="8"/>
  <c r="W226" i="8" s="1"/>
  <c r="AP115" i="8"/>
  <c r="F116" i="8" s="1"/>
  <c r="I227" i="7"/>
  <c r="J162" i="3"/>
  <c r="K162" i="3" s="1"/>
  <c r="N227" i="7"/>
  <c r="W227" i="7" s="1"/>
  <c r="F228" i="7" s="1"/>
  <c r="H227" i="7"/>
  <c r="AB226" i="7"/>
  <c r="C227" i="7"/>
  <c r="D183" i="3" l="1"/>
  <c r="G183" i="10"/>
  <c r="I183" i="2"/>
  <c r="Q162" i="3"/>
  <c r="O228" i="7"/>
  <c r="AG115" i="8"/>
  <c r="AH115" i="8" s="1"/>
  <c r="AN115" i="8" s="1"/>
  <c r="AR115" i="8" s="1"/>
  <c r="H116" i="8" s="1"/>
  <c r="U162" i="3"/>
  <c r="AC162" i="3"/>
  <c r="M162" i="10" s="1"/>
  <c r="N162" i="3"/>
  <c r="R227" i="7"/>
  <c r="S227" i="7" s="1"/>
  <c r="C227" i="8" s="1"/>
  <c r="J227" i="7"/>
  <c r="M183" i="2" l="1"/>
  <c r="J183" i="2"/>
  <c r="P228" i="7"/>
  <c r="Q228" i="7" s="1"/>
  <c r="I116" i="8"/>
  <c r="AO115" i="8"/>
  <c r="X162" i="3"/>
  <c r="O162" i="3"/>
  <c r="V162" i="3"/>
  <c r="Y162" i="3" s="1"/>
  <c r="K227" i="7"/>
  <c r="F183" i="10" l="1"/>
  <c r="C183" i="3"/>
  <c r="D183" i="10"/>
  <c r="B184" i="2"/>
  <c r="Y228" i="7"/>
  <c r="E163" i="3"/>
  <c r="H162" i="10"/>
  <c r="E228" i="8"/>
  <c r="O116" i="8"/>
  <c r="J116" i="8"/>
  <c r="N116" i="8" s="1"/>
  <c r="AS115" i="8"/>
  <c r="T227" i="7"/>
  <c r="D227" i="8" s="1"/>
  <c r="P162" i="3"/>
  <c r="R162" i="3"/>
  <c r="S162" i="3" s="1"/>
  <c r="I162" i="10"/>
  <c r="F163" i="3"/>
  <c r="L227" i="7"/>
  <c r="V227" i="7" s="1"/>
  <c r="W162" i="3"/>
  <c r="Z162" i="3" s="1"/>
  <c r="C184" i="2" l="1"/>
  <c r="K184" i="2"/>
  <c r="D184" i="2"/>
  <c r="C184" i="10"/>
  <c r="J162" i="10"/>
  <c r="AA162" i="3"/>
  <c r="K162" i="10" s="1"/>
  <c r="U227" i="7"/>
  <c r="R116" i="8"/>
  <c r="K116" i="8"/>
  <c r="M116" i="8" s="1"/>
  <c r="E228" i="7"/>
  <c r="Z227" i="7"/>
  <c r="AA227" i="7" s="1"/>
  <c r="B227" i="7" s="1"/>
  <c r="G163" i="3"/>
  <c r="T162" i="3"/>
  <c r="L184" i="2" l="1"/>
  <c r="E184" i="2"/>
  <c r="E184" i="10"/>
  <c r="B184" i="3"/>
  <c r="AI116" i="8"/>
  <c r="P116" i="8"/>
  <c r="Q116" i="8" s="1"/>
  <c r="L116" i="8"/>
  <c r="AU116" i="8" s="1"/>
  <c r="AB162" i="3"/>
  <c r="L162" i="10" s="1"/>
  <c r="M228" i="7"/>
  <c r="D228" i="7"/>
  <c r="X227" i="7"/>
  <c r="X116" i="8"/>
  <c r="B227" i="8"/>
  <c r="H163" i="3"/>
  <c r="F184" i="2" l="1"/>
  <c r="S116" i="8"/>
  <c r="N228" i="7"/>
  <c r="W228" i="7" s="1"/>
  <c r="F229" i="7" s="1"/>
  <c r="AJ116" i="8"/>
  <c r="H228" i="7"/>
  <c r="I228" i="7"/>
  <c r="AB227" i="7"/>
  <c r="C228" i="7"/>
  <c r="I163" i="3"/>
  <c r="L163" i="3" s="1"/>
  <c r="Y116" i="8"/>
  <c r="AA116" i="8" s="1"/>
  <c r="U227" i="8"/>
  <c r="W227" i="8" s="1"/>
  <c r="M163" i="3"/>
  <c r="Z116" i="8"/>
  <c r="AB116" i="8" s="1"/>
  <c r="G184" i="2" l="1"/>
  <c r="T116" i="8"/>
  <c r="V116" i="8" s="1"/>
  <c r="O229" i="7"/>
  <c r="AK116" i="8"/>
  <c r="J228" i="7"/>
  <c r="R228" i="7"/>
  <c r="S228" i="7" s="1"/>
  <c r="C228" i="8" s="1"/>
  <c r="Q163" i="3"/>
  <c r="J163" i="3"/>
  <c r="K163" i="3" s="1"/>
  <c r="AC116" i="8"/>
  <c r="I184" i="2" l="1"/>
  <c r="H184" i="2"/>
  <c r="P229" i="7"/>
  <c r="Q229" i="7" s="1"/>
  <c r="AT116" i="8"/>
  <c r="K228" i="7"/>
  <c r="T228" i="7" s="1"/>
  <c r="D228" i="8" s="1"/>
  <c r="N163" i="3"/>
  <c r="U163" i="3"/>
  <c r="AC163" i="3"/>
  <c r="M163" i="10" s="1"/>
  <c r="AD116" i="8"/>
  <c r="E229" i="8"/>
  <c r="Y229" i="7"/>
  <c r="J184" i="2"/>
  <c r="M184" i="2"/>
  <c r="G184" i="10"/>
  <c r="D184" i="3"/>
  <c r="L228" i="7" l="1"/>
  <c r="V228" i="7" s="1"/>
  <c r="X163" i="3"/>
  <c r="V163" i="3"/>
  <c r="Y163" i="3" s="1"/>
  <c r="O163" i="3"/>
  <c r="AE116" i="8"/>
  <c r="AL116" i="8"/>
  <c r="D184" i="10"/>
  <c r="B185" i="2"/>
  <c r="F184" i="10"/>
  <c r="C184" i="3"/>
  <c r="I163" i="10" l="1"/>
  <c r="W163" i="3"/>
  <c r="Z163" i="3" s="1"/>
  <c r="P163" i="3"/>
  <c r="F164" i="3"/>
  <c r="R163" i="3"/>
  <c r="S163" i="3" s="1"/>
  <c r="E164" i="3"/>
  <c r="H163" i="10"/>
  <c r="Z228" i="7"/>
  <c r="AA228" i="7" s="1"/>
  <c r="B228" i="7" s="1"/>
  <c r="E229" i="7"/>
  <c r="U228" i="7"/>
  <c r="M229" i="7"/>
  <c r="X228" i="7"/>
  <c r="AF116" i="8"/>
  <c r="AM116" i="8" s="1"/>
  <c r="AQ116" i="8" s="1"/>
  <c r="G117" i="8" s="1"/>
  <c r="AP116" i="8"/>
  <c r="F117" i="8" s="1"/>
  <c r="C185" i="10"/>
  <c r="K185" i="2"/>
  <c r="D185" i="2"/>
  <c r="C185" i="2"/>
  <c r="G164" i="3" l="1"/>
  <c r="J163" i="10"/>
  <c r="AA163" i="3"/>
  <c r="K163" i="10" s="1"/>
  <c r="N229" i="7"/>
  <c r="W229" i="7" s="1"/>
  <c r="F230" i="7" s="1"/>
  <c r="E185" i="2"/>
  <c r="T163" i="3"/>
  <c r="D229" i="7"/>
  <c r="B228" i="8"/>
  <c r="U228" i="8" s="1"/>
  <c r="W228" i="8" s="1"/>
  <c r="AB228" i="7"/>
  <c r="C229" i="7"/>
  <c r="AG116" i="8"/>
  <c r="AH116" i="8" s="1"/>
  <c r="AN116" i="8" s="1"/>
  <c r="L185" i="2"/>
  <c r="E185" i="10"/>
  <c r="H164" i="3" l="1"/>
  <c r="O230" i="7"/>
  <c r="F185" i="2"/>
  <c r="AB163" i="3"/>
  <c r="L163" i="10" s="1"/>
  <c r="H229" i="7"/>
  <c r="I229" i="7"/>
  <c r="R229" i="7"/>
  <c r="P230" i="7"/>
  <c r="Q230" i="7" s="1"/>
  <c r="AO116" i="8"/>
  <c r="AR116" i="8"/>
  <c r="H117" i="8" s="1"/>
  <c r="B185" i="3"/>
  <c r="M164" i="3"/>
  <c r="I164" i="3"/>
  <c r="L164" i="3" s="1"/>
  <c r="G185" i="2" l="1"/>
  <c r="H185" i="2" s="1"/>
  <c r="S229" i="7"/>
  <c r="C229" i="8" s="1"/>
  <c r="J229" i="7"/>
  <c r="K229" i="7" s="1"/>
  <c r="I185" i="2"/>
  <c r="E230" i="8"/>
  <c r="Y230" i="7"/>
  <c r="G185" i="10"/>
  <c r="I117" i="8"/>
  <c r="AS116" i="8"/>
  <c r="Q164" i="3"/>
  <c r="J164" i="3"/>
  <c r="K164" i="3" s="1"/>
  <c r="T229" i="7" l="1"/>
  <c r="D229" i="8" s="1"/>
  <c r="D185" i="3"/>
  <c r="L229" i="7"/>
  <c r="V229" i="7" s="1"/>
  <c r="J185" i="2"/>
  <c r="M185" i="2"/>
  <c r="J117" i="8"/>
  <c r="N117" i="8" s="1"/>
  <c r="O117" i="8"/>
  <c r="D185" i="10"/>
  <c r="C185" i="3"/>
  <c r="U164" i="3"/>
  <c r="N164" i="3"/>
  <c r="AC164" i="3"/>
  <c r="M164" i="10" s="1"/>
  <c r="E230" i="7" l="1"/>
  <c r="Z229" i="7"/>
  <c r="AA229" i="7" s="1"/>
  <c r="B229" i="7" s="1"/>
  <c r="U229" i="7"/>
  <c r="B186" i="2"/>
  <c r="K117" i="8"/>
  <c r="R117" i="8"/>
  <c r="F185" i="10"/>
  <c r="D186" i="2"/>
  <c r="C186" i="2"/>
  <c r="E186" i="2" s="1"/>
  <c r="X164" i="3"/>
  <c r="V164" i="3"/>
  <c r="Y164" i="3" s="1"/>
  <c r="O164" i="3"/>
  <c r="B229" i="8" l="1"/>
  <c r="M230" i="7"/>
  <c r="D230" i="7"/>
  <c r="X229" i="7"/>
  <c r="K186" i="2"/>
  <c r="C186" i="10"/>
  <c r="L117" i="8"/>
  <c r="M117" i="8"/>
  <c r="P164" i="3"/>
  <c r="E165" i="3"/>
  <c r="H164" i="10"/>
  <c r="F186" i="2"/>
  <c r="AI117" i="8"/>
  <c r="AU117" i="8"/>
  <c r="I164" i="10"/>
  <c r="F165" i="3"/>
  <c r="R164" i="3"/>
  <c r="S164" i="3" s="1"/>
  <c r="W164" i="3"/>
  <c r="Z164" i="3" s="1"/>
  <c r="N230" i="7" l="1"/>
  <c r="W230" i="7" s="1"/>
  <c r="F231" i="7" s="1"/>
  <c r="U229" i="8"/>
  <c r="W229" i="8" s="1"/>
  <c r="AB229" i="7"/>
  <c r="C230" i="7"/>
  <c r="L186" i="2"/>
  <c r="I230" i="7"/>
  <c r="H230" i="7"/>
  <c r="X117" i="8"/>
  <c r="P117" i="8"/>
  <c r="Q117" i="8" s="1"/>
  <c r="O231" i="7"/>
  <c r="G186" i="2"/>
  <c r="H186" i="2" s="1"/>
  <c r="AJ117" i="8"/>
  <c r="G165" i="3"/>
  <c r="J164" i="10"/>
  <c r="AA164" i="3"/>
  <c r="K164" i="10" s="1"/>
  <c r="T164" i="3"/>
  <c r="R230" i="7" l="1"/>
  <c r="S230" i="7" s="1"/>
  <c r="C230" i="8" s="1"/>
  <c r="J230" i="7"/>
  <c r="E186" i="10"/>
  <c r="B186" i="3"/>
  <c r="Y117" i="8"/>
  <c r="AA117" i="8" s="1"/>
  <c r="S117" i="8"/>
  <c r="P231" i="7"/>
  <c r="Q231" i="7" s="1"/>
  <c r="G186" i="10"/>
  <c r="D186" i="3"/>
  <c r="Z117" i="8"/>
  <c r="AB117" i="8" s="1"/>
  <c r="I186" i="2"/>
  <c r="AK117" i="8"/>
  <c r="H165" i="3"/>
  <c r="AB164" i="3"/>
  <c r="L164" i="10" s="1"/>
  <c r="K230" i="7" l="1"/>
  <c r="T117" i="8"/>
  <c r="V117" i="8" s="1"/>
  <c r="T230" i="7"/>
  <c r="D230" i="8" s="1"/>
  <c r="E231" i="8"/>
  <c r="Y231" i="7"/>
  <c r="AC117" i="8"/>
  <c r="M186" i="2"/>
  <c r="J186" i="2"/>
  <c r="M165" i="3"/>
  <c r="I165" i="3"/>
  <c r="L165" i="3" s="1"/>
  <c r="L230" i="7" l="1"/>
  <c r="AT117" i="8"/>
  <c r="AD117" i="8"/>
  <c r="F186" i="10"/>
  <c r="C186" i="3"/>
  <c r="D186" i="10"/>
  <c r="B187" i="2"/>
  <c r="Q165" i="3"/>
  <c r="J165" i="3"/>
  <c r="K165" i="3" s="1"/>
  <c r="U230" i="7" l="1"/>
  <c r="V230" i="7"/>
  <c r="X230" i="7"/>
  <c r="D231" i="7"/>
  <c r="E231" i="7"/>
  <c r="Z230" i="7"/>
  <c r="AA230" i="7" s="1"/>
  <c r="B230" i="7" s="1"/>
  <c r="AE117" i="8"/>
  <c r="AL117" i="8"/>
  <c r="C187" i="10"/>
  <c r="K187" i="2"/>
  <c r="D187" i="2"/>
  <c r="C187" i="2"/>
  <c r="AB230" i="7"/>
  <c r="U165" i="3"/>
  <c r="N165" i="3"/>
  <c r="AC165" i="3"/>
  <c r="M165" i="10" s="1"/>
  <c r="C231" i="7" l="1"/>
  <c r="H231" i="7"/>
  <c r="I231" i="7"/>
  <c r="M231" i="7"/>
  <c r="B230" i="8"/>
  <c r="L187" i="2"/>
  <c r="AF117" i="8"/>
  <c r="AM117" i="8" s="1"/>
  <c r="AQ117" i="8" s="1"/>
  <c r="G118" i="8" s="1"/>
  <c r="AP117" i="8"/>
  <c r="F118" i="8" s="1"/>
  <c r="E187" i="2"/>
  <c r="F187" i="2" s="1"/>
  <c r="B187" i="3"/>
  <c r="E187" i="10"/>
  <c r="X165" i="3"/>
  <c r="U230" i="8"/>
  <c r="W230" i="8" s="1"/>
  <c r="V165" i="3"/>
  <c r="Y165" i="3" s="1"/>
  <c r="O165" i="3"/>
  <c r="R231" i="7" l="1"/>
  <c r="S231" i="7" s="1"/>
  <c r="C231" i="8" s="1"/>
  <c r="J231" i="7"/>
  <c r="N231" i="7"/>
  <c r="W231" i="7" s="1"/>
  <c r="F232" i="7" s="1"/>
  <c r="AG117" i="8"/>
  <c r="AH117" i="8" s="1"/>
  <c r="AN117" i="8" s="1"/>
  <c r="AR117" i="8" s="1"/>
  <c r="H118" i="8" s="1"/>
  <c r="G187" i="2"/>
  <c r="E166" i="3"/>
  <c r="H165" i="10"/>
  <c r="I165" i="10"/>
  <c r="F166" i="3"/>
  <c r="R165" i="3"/>
  <c r="S165" i="3" s="1"/>
  <c r="W165" i="3"/>
  <c r="Z165" i="3" s="1"/>
  <c r="P165" i="3"/>
  <c r="K231" i="7" l="1"/>
  <c r="O232" i="7"/>
  <c r="I118" i="8"/>
  <c r="AO117" i="8"/>
  <c r="H187" i="2"/>
  <c r="I187" i="2"/>
  <c r="G166" i="3"/>
  <c r="J165" i="10"/>
  <c r="T165" i="3"/>
  <c r="AA165" i="3"/>
  <c r="K165" i="10" s="1"/>
  <c r="P232" i="7" l="1"/>
  <c r="Q232" i="7" s="1"/>
  <c r="AS117" i="8"/>
  <c r="L231" i="7"/>
  <c r="V231" i="7" s="1"/>
  <c r="T231" i="7"/>
  <c r="D231" i="8" s="1"/>
  <c r="O118" i="8"/>
  <c r="J118" i="8"/>
  <c r="N118" i="8" s="1"/>
  <c r="M187" i="2"/>
  <c r="G187" i="10"/>
  <c r="J187" i="2"/>
  <c r="D187" i="3"/>
  <c r="B188" i="2"/>
  <c r="H166" i="3"/>
  <c r="AB165" i="3"/>
  <c r="L165" i="10" s="1"/>
  <c r="E232" i="8" l="1"/>
  <c r="Y232" i="7"/>
  <c r="F187" i="10"/>
  <c r="C187" i="3"/>
  <c r="D187" i="10"/>
  <c r="E232" i="7"/>
  <c r="Z231" i="7"/>
  <c r="AA231" i="7" s="1"/>
  <c r="B231" i="7" s="1"/>
  <c r="U231" i="7"/>
  <c r="K118" i="8"/>
  <c r="M118" i="8" s="1"/>
  <c r="R118" i="8"/>
  <c r="M166" i="3"/>
  <c r="C188" i="2"/>
  <c r="D188" i="2"/>
  <c r="K188" i="2"/>
  <c r="C188" i="10"/>
  <c r="I166" i="3"/>
  <c r="L166" i="3" s="1"/>
  <c r="X118" i="8" l="1"/>
  <c r="M232" i="7"/>
  <c r="B231" i="8"/>
  <c r="D232" i="7"/>
  <c r="X231" i="7"/>
  <c r="P118" i="8"/>
  <c r="Q118" i="8" s="1"/>
  <c r="AI118" i="8"/>
  <c r="L118" i="8"/>
  <c r="AU118" i="8" s="1"/>
  <c r="Z118" i="8"/>
  <c r="AB118" i="8" s="1"/>
  <c r="Q166" i="3"/>
  <c r="E188" i="2"/>
  <c r="L188" i="2"/>
  <c r="J166" i="3"/>
  <c r="K166" i="3" s="1"/>
  <c r="Y118" i="8" l="1"/>
  <c r="AA118" i="8" s="1"/>
  <c r="N232" i="7"/>
  <c r="W232" i="7" s="1"/>
  <c r="F233" i="7" s="1"/>
  <c r="U231" i="8"/>
  <c r="W231" i="8" s="1"/>
  <c r="H232" i="7"/>
  <c r="I232" i="7"/>
  <c r="AB231" i="7"/>
  <c r="C232" i="7"/>
  <c r="S118" i="8"/>
  <c r="AJ118" i="8"/>
  <c r="F188" i="2"/>
  <c r="E188" i="10"/>
  <c r="B188" i="3"/>
  <c r="U166" i="3"/>
  <c r="N166" i="3"/>
  <c r="AC166" i="3"/>
  <c r="M166" i="10" s="1"/>
  <c r="AC118" i="8" l="1"/>
  <c r="O233" i="7"/>
  <c r="R232" i="7"/>
  <c r="S232" i="7" s="1"/>
  <c r="C232" i="8" s="1"/>
  <c r="J232" i="7"/>
  <c r="T118" i="8"/>
  <c r="V118" i="8" s="1"/>
  <c r="AK118" i="8"/>
  <c r="P233" i="7"/>
  <c r="Q233" i="7" s="1"/>
  <c r="X166" i="3"/>
  <c r="V166" i="3"/>
  <c r="Y166" i="3" s="1"/>
  <c r="O166" i="3"/>
  <c r="G188" i="2"/>
  <c r="AD118" i="8" l="1"/>
  <c r="K232" i="7"/>
  <c r="AT118" i="8"/>
  <c r="E233" i="8"/>
  <c r="Y233" i="7"/>
  <c r="P166" i="3"/>
  <c r="AE118" i="8"/>
  <c r="AL118" i="8"/>
  <c r="E167" i="3"/>
  <c r="H166" i="10"/>
  <c r="I166" i="10"/>
  <c r="F167" i="3"/>
  <c r="R166" i="3"/>
  <c r="S166" i="3" s="1"/>
  <c r="I188" i="2"/>
  <c r="H188" i="2"/>
  <c r="W166" i="3"/>
  <c r="Z166" i="3" s="1"/>
  <c r="T232" i="7" l="1"/>
  <c r="D232" i="8" s="1"/>
  <c r="L232" i="7"/>
  <c r="V232" i="7" s="1"/>
  <c r="AF118" i="8"/>
  <c r="AM118" i="8" s="1"/>
  <c r="AQ118" i="8" s="1"/>
  <c r="G119" i="8" s="1"/>
  <c r="AP118" i="8"/>
  <c r="F119" i="8" s="1"/>
  <c r="M188" i="2"/>
  <c r="J188" i="2"/>
  <c r="D188" i="3"/>
  <c r="G188" i="10"/>
  <c r="G167" i="3"/>
  <c r="J166" i="10"/>
  <c r="AA166" i="3"/>
  <c r="K166" i="10" s="1"/>
  <c r="T166" i="3"/>
  <c r="U232" i="7" l="1"/>
  <c r="Z232" i="7"/>
  <c r="AA232" i="7" s="1"/>
  <c r="B232" i="7" s="1"/>
  <c r="E233" i="7"/>
  <c r="M233" i="7"/>
  <c r="AG118" i="8"/>
  <c r="AH118" i="8" s="1"/>
  <c r="AN118" i="8" s="1"/>
  <c r="AR118" i="8" s="1"/>
  <c r="H119" i="8" s="1"/>
  <c r="F188" i="10"/>
  <c r="C188" i="3"/>
  <c r="D188" i="10"/>
  <c r="B189" i="2"/>
  <c r="H167" i="3"/>
  <c r="AB166" i="3"/>
  <c r="L166" i="10" s="1"/>
  <c r="X232" i="7" l="1"/>
  <c r="D233" i="7"/>
  <c r="B232" i="8"/>
  <c r="AB232" i="7"/>
  <c r="I233" i="7"/>
  <c r="N233" i="7"/>
  <c r="W233" i="7" s="1"/>
  <c r="F234" i="7" s="1"/>
  <c r="I119" i="8"/>
  <c r="AO118" i="8"/>
  <c r="U232" i="8"/>
  <c r="W232" i="8" s="1"/>
  <c r="C189" i="2"/>
  <c r="D189" i="2"/>
  <c r="K189" i="2"/>
  <c r="C189" i="10"/>
  <c r="I167" i="3"/>
  <c r="L167" i="3" s="1"/>
  <c r="M167" i="3"/>
  <c r="C233" i="7" l="1"/>
  <c r="H233" i="7"/>
  <c r="R233" i="7"/>
  <c r="S233" i="7" s="1"/>
  <c r="C233" i="8" s="1"/>
  <c r="O234" i="7"/>
  <c r="P234" i="7" s="1"/>
  <c r="Q234" i="7" s="1"/>
  <c r="AS118" i="8"/>
  <c r="J119" i="8"/>
  <c r="N119" i="8" s="1"/>
  <c r="O119" i="8"/>
  <c r="Q167" i="3"/>
  <c r="E189" i="2"/>
  <c r="L189" i="2"/>
  <c r="J167" i="3"/>
  <c r="K167" i="3" s="1"/>
  <c r="J233" i="7" l="1"/>
  <c r="Y234" i="7"/>
  <c r="E234" i="8"/>
  <c r="R119" i="8"/>
  <c r="K119" i="8"/>
  <c r="M119" i="8" s="1"/>
  <c r="F189" i="2"/>
  <c r="E189" i="10"/>
  <c r="B189" i="3"/>
  <c r="U167" i="3"/>
  <c r="N167" i="3"/>
  <c r="AC167" i="3"/>
  <c r="M167" i="10" s="1"/>
  <c r="K233" i="7" l="1"/>
  <c r="T233" i="7" s="1"/>
  <c r="D233" i="8" s="1"/>
  <c r="L233" i="7"/>
  <c r="P119" i="8"/>
  <c r="Q119" i="8" s="1"/>
  <c r="X119" i="8"/>
  <c r="AI119" i="8"/>
  <c r="L119" i="8"/>
  <c r="V167" i="3"/>
  <c r="Y167" i="3" s="1"/>
  <c r="O167" i="3"/>
  <c r="X167" i="3"/>
  <c r="G189" i="2"/>
  <c r="U233" i="7" l="1"/>
  <c r="S119" i="8"/>
  <c r="V233" i="7"/>
  <c r="Y119" i="8"/>
  <c r="AA119" i="8" s="1"/>
  <c r="Z119" i="8"/>
  <c r="AB119" i="8" s="1"/>
  <c r="AU119" i="8"/>
  <c r="AJ119" i="8"/>
  <c r="I167" i="10"/>
  <c r="F168" i="3"/>
  <c r="R167" i="3"/>
  <c r="S167" i="3" s="1"/>
  <c r="H167" i="10"/>
  <c r="E168" i="3"/>
  <c r="I189" i="2"/>
  <c r="H189" i="2"/>
  <c r="P167" i="3"/>
  <c r="W167" i="3"/>
  <c r="T119" i="8" l="1"/>
  <c r="V119" i="8" s="1"/>
  <c r="X233" i="7"/>
  <c r="D234" i="7"/>
  <c r="E234" i="7"/>
  <c r="Z233" i="7"/>
  <c r="AA233" i="7" s="1"/>
  <c r="B233" i="7" s="1"/>
  <c r="AC119" i="8"/>
  <c r="AK119" i="8"/>
  <c r="C234" i="7"/>
  <c r="T167" i="3"/>
  <c r="M189" i="2"/>
  <c r="J189" i="2"/>
  <c r="D189" i="3"/>
  <c r="G189" i="10"/>
  <c r="AA167" i="3"/>
  <c r="K167" i="10" s="1"/>
  <c r="Z167" i="3"/>
  <c r="I234" i="7" l="1"/>
  <c r="M234" i="7"/>
  <c r="B233" i="8"/>
  <c r="H234" i="7"/>
  <c r="AT119" i="8"/>
  <c r="AB233" i="7"/>
  <c r="AD119" i="8"/>
  <c r="AB167" i="3"/>
  <c r="L167" i="10" s="1"/>
  <c r="R234" i="7"/>
  <c r="F189" i="10"/>
  <c r="C189" i="3"/>
  <c r="D189" i="10"/>
  <c r="B190" i="2"/>
  <c r="J167" i="10"/>
  <c r="G168" i="3"/>
  <c r="N234" i="7" l="1"/>
  <c r="W234" i="7" s="1"/>
  <c r="F235" i="7" s="1"/>
  <c r="J234" i="7"/>
  <c r="U233" i="8"/>
  <c r="W233" i="8" s="1"/>
  <c r="S234" i="7"/>
  <c r="C234" i="8" s="1"/>
  <c r="AE119" i="8"/>
  <c r="AL119" i="8"/>
  <c r="C190" i="2"/>
  <c r="D190" i="2"/>
  <c r="K190" i="2"/>
  <c r="C190" i="10"/>
  <c r="H168" i="3"/>
  <c r="O235" i="7" l="1"/>
  <c r="K234" i="7"/>
  <c r="T234" i="7" s="1"/>
  <c r="D234" i="8" s="1"/>
  <c r="P235" i="7"/>
  <c r="Q235" i="7" s="1"/>
  <c r="AF119" i="8"/>
  <c r="AM119" i="8" s="1"/>
  <c r="AQ119" i="8" s="1"/>
  <c r="G120" i="8" s="1"/>
  <c r="AP119" i="8"/>
  <c r="F120" i="8" s="1"/>
  <c r="E190" i="2"/>
  <c r="M168" i="3"/>
  <c r="I168" i="3"/>
  <c r="L168" i="3" s="1"/>
  <c r="L190" i="2"/>
  <c r="L234" i="7" l="1"/>
  <c r="V234" i="7" s="1"/>
  <c r="Z234" i="7" s="1"/>
  <c r="AA234" i="7" s="1"/>
  <c r="B234" i="7" s="1"/>
  <c r="U234" i="7"/>
  <c r="E235" i="8"/>
  <c r="Y235" i="7"/>
  <c r="E235" i="7"/>
  <c r="B234" i="8"/>
  <c r="AG119" i="8"/>
  <c r="AH119" i="8" s="1"/>
  <c r="AN119" i="8" s="1"/>
  <c r="AR119" i="8" s="1"/>
  <c r="H120" i="8" s="1"/>
  <c r="F190" i="2"/>
  <c r="Q168" i="3"/>
  <c r="E190" i="10"/>
  <c r="B190" i="3"/>
  <c r="J168" i="3"/>
  <c r="K168" i="3" s="1"/>
  <c r="D235" i="7" l="1"/>
  <c r="X234" i="7"/>
  <c r="M235" i="7"/>
  <c r="AO119" i="8"/>
  <c r="U234" i="8"/>
  <c r="W234" i="8" s="1"/>
  <c r="I120" i="8"/>
  <c r="G190" i="2"/>
  <c r="U168" i="3"/>
  <c r="N168" i="3"/>
  <c r="AC168" i="3"/>
  <c r="M168" i="10" s="1"/>
  <c r="I235" i="7" l="1"/>
  <c r="H235" i="7"/>
  <c r="AB234" i="7"/>
  <c r="C235" i="7"/>
  <c r="R235" i="7" s="1"/>
  <c r="N235" i="7"/>
  <c r="W235" i="7" s="1"/>
  <c r="F236" i="7" s="1"/>
  <c r="O236" i="7" s="1"/>
  <c r="I190" i="2"/>
  <c r="H190" i="2"/>
  <c r="O120" i="8"/>
  <c r="P236" i="7"/>
  <c r="Q236" i="7" s="1"/>
  <c r="AS119" i="8"/>
  <c r="J120" i="8"/>
  <c r="N120" i="8" s="1"/>
  <c r="X168" i="3"/>
  <c r="V168" i="3"/>
  <c r="Y168" i="3" s="1"/>
  <c r="O168" i="3"/>
  <c r="J235" i="7" l="1"/>
  <c r="S235" i="7"/>
  <c r="C235" i="8" s="1"/>
  <c r="J190" i="2"/>
  <c r="M190" i="2"/>
  <c r="D190" i="3"/>
  <c r="G190" i="10"/>
  <c r="Y236" i="7"/>
  <c r="E236" i="8"/>
  <c r="R120" i="8"/>
  <c r="K120" i="8"/>
  <c r="M120" i="8" s="1"/>
  <c r="P168" i="3"/>
  <c r="E169" i="3"/>
  <c r="H168" i="10"/>
  <c r="I168" i="10"/>
  <c r="F169" i="3"/>
  <c r="R168" i="3"/>
  <c r="S168" i="3" s="1"/>
  <c r="W168" i="3"/>
  <c r="K235" i="7" l="1"/>
  <c r="T235" i="7"/>
  <c r="D235" i="8" s="1"/>
  <c r="X120" i="8"/>
  <c r="B191" i="2"/>
  <c r="D190" i="10"/>
  <c r="C190" i="3"/>
  <c r="F190" i="10"/>
  <c r="L120" i="8"/>
  <c r="P120" i="8"/>
  <c r="Q120" i="8" s="1"/>
  <c r="AI120" i="8"/>
  <c r="AA168" i="3"/>
  <c r="K168" i="10" s="1"/>
  <c r="Z168" i="3"/>
  <c r="T168" i="3"/>
  <c r="AB168" i="3" s="1"/>
  <c r="L168" i="10" s="1"/>
  <c r="L235" i="7" l="1"/>
  <c r="V235" i="7" s="1"/>
  <c r="AU120" i="8"/>
  <c r="Z120" i="8"/>
  <c r="AB120" i="8" s="1"/>
  <c r="Y120" i="8"/>
  <c r="AA120" i="8" s="1"/>
  <c r="C191" i="2"/>
  <c r="D191" i="2"/>
  <c r="K191" i="2"/>
  <c r="C191" i="10"/>
  <c r="S120" i="8"/>
  <c r="AJ120" i="8"/>
  <c r="G169" i="3"/>
  <c r="J168" i="10"/>
  <c r="L191" i="2"/>
  <c r="Z235" i="7" l="1"/>
  <c r="AA235" i="7" s="1"/>
  <c r="B235" i="7" s="1"/>
  <c r="U235" i="7"/>
  <c r="E236" i="7"/>
  <c r="M236" i="7" s="1"/>
  <c r="N236" i="7" s="1"/>
  <c r="W236" i="7" s="1"/>
  <c r="F237" i="7" s="1"/>
  <c r="O237" i="7" s="1"/>
  <c r="E191" i="2"/>
  <c r="D236" i="7"/>
  <c r="X235" i="7"/>
  <c r="AB235" i="7" s="1"/>
  <c r="C236" i="7"/>
  <c r="AC120" i="8"/>
  <c r="T120" i="8"/>
  <c r="V120" i="8" s="1"/>
  <c r="AK120" i="8"/>
  <c r="P237" i="7"/>
  <c r="Q237" i="7" s="1"/>
  <c r="F191" i="2"/>
  <c r="H169" i="3"/>
  <c r="E191" i="10"/>
  <c r="B191" i="3"/>
  <c r="B235" i="8" l="1"/>
  <c r="U235" i="8"/>
  <c r="W235" i="8" s="1"/>
  <c r="H236" i="7"/>
  <c r="I236" i="7"/>
  <c r="R236" i="7"/>
  <c r="AD120" i="8"/>
  <c r="AT120" i="8"/>
  <c r="E237" i="8"/>
  <c r="Y237" i="7"/>
  <c r="M169" i="3"/>
  <c r="G191" i="2"/>
  <c r="I169" i="3"/>
  <c r="L169" i="3" s="1"/>
  <c r="S236" i="7" l="1"/>
  <c r="C236" i="8" s="1"/>
  <c r="J236" i="7"/>
  <c r="AL120" i="8"/>
  <c r="AE120" i="8"/>
  <c r="K236" i="7"/>
  <c r="I191" i="2"/>
  <c r="H191" i="2"/>
  <c r="Q169" i="3"/>
  <c r="J169" i="3"/>
  <c r="K169" i="3" s="1"/>
  <c r="AP120" i="8" l="1"/>
  <c r="F121" i="8" s="1"/>
  <c r="AF120" i="8"/>
  <c r="AM120" i="8" s="1"/>
  <c r="AQ120" i="8" s="1"/>
  <c r="G121" i="8" s="1"/>
  <c r="L236" i="7"/>
  <c r="V236" i="7" s="1"/>
  <c r="T236" i="7"/>
  <c r="D236" i="8" s="1"/>
  <c r="E237" i="7"/>
  <c r="J191" i="2"/>
  <c r="M191" i="2"/>
  <c r="D191" i="3"/>
  <c r="G191" i="10"/>
  <c r="AC169" i="3"/>
  <c r="M169" i="10" s="1"/>
  <c r="U169" i="3"/>
  <c r="N169" i="3"/>
  <c r="U236" i="7" l="1"/>
  <c r="Z236" i="7"/>
  <c r="AA236" i="7" s="1"/>
  <c r="B236" i="7" s="1"/>
  <c r="AG120" i="8"/>
  <c r="AH120" i="8" s="1"/>
  <c r="AN120" i="8" s="1"/>
  <c r="AR120" i="8" s="1"/>
  <c r="H121" i="8" s="1"/>
  <c r="M237" i="7"/>
  <c r="X169" i="3"/>
  <c r="D191" i="10"/>
  <c r="B192" i="2"/>
  <c r="F191" i="10"/>
  <c r="C191" i="3"/>
  <c r="V169" i="3"/>
  <c r="Y169" i="3" s="1"/>
  <c r="O169" i="3"/>
  <c r="B236" i="8" l="1"/>
  <c r="D237" i="7"/>
  <c r="H237" i="7" s="1"/>
  <c r="X236" i="7"/>
  <c r="I237" i="7"/>
  <c r="AB236" i="7"/>
  <c r="C237" i="7"/>
  <c r="U236" i="8"/>
  <c r="W236" i="8" s="1"/>
  <c r="I121" i="8"/>
  <c r="AO120" i="8"/>
  <c r="N237" i="7"/>
  <c r="W237" i="7" s="1"/>
  <c r="F238" i="7" s="1"/>
  <c r="E170" i="3"/>
  <c r="H169" i="10"/>
  <c r="P169" i="3"/>
  <c r="C192" i="10"/>
  <c r="D192" i="2"/>
  <c r="C192" i="2"/>
  <c r="K192" i="2"/>
  <c r="I169" i="10"/>
  <c r="F170" i="3"/>
  <c r="R169" i="3"/>
  <c r="S169" i="3" s="1"/>
  <c r="W169" i="3"/>
  <c r="R237" i="7" l="1"/>
  <c r="S237" i="7" s="1"/>
  <c r="C237" i="8" s="1"/>
  <c r="J237" i="7"/>
  <c r="J121" i="8"/>
  <c r="O121" i="8"/>
  <c r="AS120" i="8"/>
  <c r="O238" i="7"/>
  <c r="E192" i="2"/>
  <c r="L192" i="2"/>
  <c r="AA169" i="3"/>
  <c r="K169" i="10" s="1"/>
  <c r="Z169" i="3"/>
  <c r="T169" i="3"/>
  <c r="K237" i="7" l="1"/>
  <c r="K121" i="8"/>
  <c r="M121" i="8" s="1"/>
  <c r="N121" i="8"/>
  <c r="R121" i="8" s="1"/>
  <c r="L121" i="8"/>
  <c r="P238" i="7"/>
  <c r="Q238" i="7" s="1"/>
  <c r="F192" i="2"/>
  <c r="B192" i="3"/>
  <c r="E192" i="10"/>
  <c r="G170" i="3"/>
  <c r="J169" i="10"/>
  <c r="AB169" i="3"/>
  <c r="L169" i="10" s="1"/>
  <c r="E238" i="8" l="1"/>
  <c r="T237" i="7"/>
  <c r="D237" i="8" s="1"/>
  <c r="L237" i="7"/>
  <c r="V237" i="7" s="1"/>
  <c r="AU121" i="8"/>
  <c r="P121" i="8"/>
  <c r="Q121" i="8" s="1"/>
  <c r="S121" i="8" s="1"/>
  <c r="AI121" i="8"/>
  <c r="AJ121" i="8" s="1"/>
  <c r="X121" i="8"/>
  <c r="Y238" i="7"/>
  <c r="G192" i="2"/>
  <c r="H192" i="2" s="1"/>
  <c r="H170" i="3"/>
  <c r="U237" i="7" l="1"/>
  <c r="E238" i="7"/>
  <c r="Z237" i="7"/>
  <c r="AA237" i="7" s="1"/>
  <c r="B237" i="7" s="1"/>
  <c r="T121" i="8"/>
  <c r="V121" i="8" s="1"/>
  <c r="AK121" i="8"/>
  <c r="Z121" i="8"/>
  <c r="AB121" i="8" s="1"/>
  <c r="Y121" i="8"/>
  <c r="AA121" i="8" s="1"/>
  <c r="G192" i="10"/>
  <c r="D192" i="3"/>
  <c r="I192" i="2"/>
  <c r="M170" i="3"/>
  <c r="I170" i="3"/>
  <c r="L170" i="3" s="1"/>
  <c r="X237" i="7" l="1"/>
  <c r="D238" i="7"/>
  <c r="M238" i="7"/>
  <c r="B237" i="8"/>
  <c r="AC121" i="8"/>
  <c r="AD121" i="8" s="1"/>
  <c r="AT121" i="8"/>
  <c r="M192" i="2"/>
  <c r="J192" i="2"/>
  <c r="J170" i="3"/>
  <c r="K170" i="3" s="1"/>
  <c r="AB237" i="7"/>
  <c r="C238" i="7"/>
  <c r="H238" i="7"/>
  <c r="I238" i="7"/>
  <c r="Q170" i="3"/>
  <c r="AE121" i="8" l="1"/>
  <c r="AF121" i="8" s="1"/>
  <c r="AM121" i="8" s="1"/>
  <c r="AQ121" i="8" s="1"/>
  <c r="G122" i="8" s="1"/>
  <c r="AL121" i="8"/>
  <c r="N238" i="7"/>
  <c r="W238" i="7" s="1"/>
  <c r="F239" i="7" s="1"/>
  <c r="U237" i="8"/>
  <c r="W237" i="8" s="1"/>
  <c r="F192" i="10"/>
  <c r="C192" i="3"/>
  <c r="B193" i="2"/>
  <c r="D192" i="10"/>
  <c r="J238" i="7"/>
  <c r="N170" i="3"/>
  <c r="U170" i="3"/>
  <c r="R238" i="7"/>
  <c r="S238" i="7" s="1"/>
  <c r="C238" i="8" s="1"/>
  <c r="AC170" i="3"/>
  <c r="M170" i="10" s="1"/>
  <c r="O239" i="7"/>
  <c r="AP121" i="8" l="1"/>
  <c r="F122" i="8" s="1"/>
  <c r="AG121" i="8"/>
  <c r="AH121" i="8" s="1"/>
  <c r="AN121" i="8" s="1"/>
  <c r="AR121" i="8" s="1"/>
  <c r="H122" i="8" s="1"/>
  <c r="C193" i="2"/>
  <c r="D193" i="2"/>
  <c r="K193" i="2"/>
  <c r="C193" i="10"/>
  <c r="K238" i="7"/>
  <c r="T238" i="7" s="1"/>
  <c r="D238" i="8" s="1"/>
  <c r="O170" i="3"/>
  <c r="P170" i="3"/>
  <c r="V170" i="3"/>
  <c r="Y170" i="3" s="1"/>
  <c r="X170" i="3"/>
  <c r="P239" i="7"/>
  <c r="Q239" i="7" s="1"/>
  <c r="I122" i="8" l="1"/>
  <c r="AO121" i="8"/>
  <c r="O122" i="8"/>
  <c r="L238" i="7"/>
  <c r="E193" i="2"/>
  <c r="L193" i="2"/>
  <c r="F193" i="2"/>
  <c r="U238" i="7"/>
  <c r="D239" i="7" s="1"/>
  <c r="W170" i="3"/>
  <c r="Z170" i="3" s="1"/>
  <c r="R170" i="3"/>
  <c r="S170" i="3" s="1"/>
  <c r="I170" i="10"/>
  <c r="F171" i="3"/>
  <c r="H170" i="10"/>
  <c r="E171" i="3"/>
  <c r="AS121" i="8"/>
  <c r="J122" i="8"/>
  <c r="N122" i="8" s="1"/>
  <c r="Y239" i="7"/>
  <c r="E239" i="8"/>
  <c r="V238" i="7" l="1"/>
  <c r="E239" i="7" s="1"/>
  <c r="B193" i="3"/>
  <c r="E193" i="10"/>
  <c r="G193" i="2"/>
  <c r="H193" i="2" s="1"/>
  <c r="H239" i="7"/>
  <c r="I239" i="7"/>
  <c r="T170" i="3"/>
  <c r="J170" i="10"/>
  <c r="G171" i="3"/>
  <c r="AA170" i="3"/>
  <c r="K170" i="10" s="1"/>
  <c r="R122" i="8"/>
  <c r="K122" i="8"/>
  <c r="M122" i="8" s="1"/>
  <c r="Z238" i="7" l="1"/>
  <c r="AA238" i="7" s="1"/>
  <c r="B238" i="7" s="1"/>
  <c r="B238" i="8" s="1"/>
  <c r="M239" i="7"/>
  <c r="X238" i="7"/>
  <c r="H171" i="3"/>
  <c r="G193" i="10"/>
  <c r="D193" i="3"/>
  <c r="I193" i="2"/>
  <c r="AB170" i="3"/>
  <c r="L170" i="10" s="1"/>
  <c r="J239" i="7"/>
  <c r="K239" i="7" s="1"/>
  <c r="T239" i="7" s="1"/>
  <c r="D239" i="8" s="1"/>
  <c r="AI122" i="8"/>
  <c r="P122" i="8"/>
  <c r="Q122" i="8" s="1"/>
  <c r="X122" i="8"/>
  <c r="L122" i="8"/>
  <c r="AU122" i="8" s="1"/>
  <c r="U238" i="8" l="1"/>
  <c r="W238" i="8" s="1"/>
  <c r="N239" i="7"/>
  <c r="W239" i="7" s="1"/>
  <c r="F240" i="7" s="1"/>
  <c r="AB238" i="7"/>
  <c r="C239" i="7"/>
  <c r="R239" i="7" s="1"/>
  <c r="S239" i="7" s="1"/>
  <c r="C239" i="8" s="1"/>
  <c r="I171" i="3"/>
  <c r="L171" i="3" s="1"/>
  <c r="M171" i="3"/>
  <c r="M193" i="2"/>
  <c r="J193" i="2"/>
  <c r="L239" i="7"/>
  <c r="AJ122" i="8"/>
  <c r="S122" i="8"/>
  <c r="Z122" i="8"/>
  <c r="AB122" i="8" s="1"/>
  <c r="Y122" i="8"/>
  <c r="AA122" i="8" s="1"/>
  <c r="O240" i="7" l="1"/>
  <c r="Q171" i="3"/>
  <c r="J171" i="3"/>
  <c r="K171" i="3" s="1"/>
  <c r="F193" i="10"/>
  <c r="C193" i="3"/>
  <c r="D193" i="10"/>
  <c r="B194" i="2"/>
  <c r="V239" i="7"/>
  <c r="Z239" i="7" s="1"/>
  <c r="AA239" i="7" s="1"/>
  <c r="B239" i="7" s="1"/>
  <c r="U239" i="7"/>
  <c r="U171" i="3"/>
  <c r="AC122" i="8"/>
  <c r="AK122" i="8"/>
  <c r="T122" i="8"/>
  <c r="V122" i="8" s="1"/>
  <c r="P240" i="7" l="1"/>
  <c r="Q240" i="7" s="1"/>
  <c r="AC171" i="3"/>
  <c r="M171" i="10" s="1"/>
  <c r="N171" i="3"/>
  <c r="O171" i="3" s="1"/>
  <c r="V171" i="3"/>
  <c r="Y171" i="3" s="1"/>
  <c r="E240" i="7"/>
  <c r="B239" i="8"/>
  <c r="E240" i="8"/>
  <c r="K194" i="2"/>
  <c r="C194" i="10"/>
  <c r="D194" i="2"/>
  <c r="L194" i="2" s="1"/>
  <c r="C194" i="2"/>
  <c r="E194" i="2" s="1"/>
  <c r="X239" i="7"/>
  <c r="D240" i="7"/>
  <c r="X171" i="3"/>
  <c r="AT122" i="8"/>
  <c r="AD122" i="8"/>
  <c r="P171" i="3" l="1"/>
  <c r="Y240" i="7"/>
  <c r="I171" i="10"/>
  <c r="F172" i="3"/>
  <c r="R171" i="3"/>
  <c r="S171" i="3" s="1"/>
  <c r="W171" i="3"/>
  <c r="Z171" i="3" s="1"/>
  <c r="M240" i="7"/>
  <c r="U239" i="8"/>
  <c r="W239" i="8" s="1"/>
  <c r="B194" i="3"/>
  <c r="E194" i="10"/>
  <c r="C240" i="7"/>
  <c r="R240" i="7" s="1"/>
  <c r="AB239" i="7"/>
  <c r="H240" i="7"/>
  <c r="I240" i="7"/>
  <c r="F194" i="2"/>
  <c r="E172" i="3"/>
  <c r="H171" i="10"/>
  <c r="AE122" i="8"/>
  <c r="AL122" i="8"/>
  <c r="G172" i="3" l="1"/>
  <c r="J171" i="10"/>
  <c r="AA171" i="3"/>
  <c r="K171" i="10" s="1"/>
  <c r="T171" i="3"/>
  <c r="N240" i="7"/>
  <c r="W240" i="7" s="1"/>
  <c r="F241" i="7" s="1"/>
  <c r="O241" i="7" s="1"/>
  <c r="S240" i="7"/>
  <c r="C240" i="8" s="1"/>
  <c r="J240" i="7"/>
  <c r="G194" i="2"/>
  <c r="AF122" i="8"/>
  <c r="AM122" i="8" s="1"/>
  <c r="AQ122" i="8" s="1"/>
  <c r="G123" i="8" s="1"/>
  <c r="AP122" i="8"/>
  <c r="F123" i="8" s="1"/>
  <c r="H172" i="3" l="1"/>
  <c r="AB171" i="3"/>
  <c r="L171" i="10" s="1"/>
  <c r="P241" i="7"/>
  <c r="Q241" i="7" s="1"/>
  <c r="K240" i="7"/>
  <c r="L240" i="7"/>
  <c r="V240" i="7" s="1"/>
  <c r="H194" i="2"/>
  <c r="I194" i="2"/>
  <c r="AG122" i="8"/>
  <c r="AH122" i="8" s="1"/>
  <c r="AN122" i="8" s="1"/>
  <c r="AR122" i="8" s="1"/>
  <c r="H123" i="8" s="1"/>
  <c r="E241" i="8" l="1"/>
  <c r="T240" i="7"/>
  <c r="D240" i="8" s="1"/>
  <c r="M172" i="3"/>
  <c r="I172" i="3"/>
  <c r="L172" i="3" s="1"/>
  <c r="Y241" i="7"/>
  <c r="Z240" i="7"/>
  <c r="AA240" i="7" s="1"/>
  <c r="B240" i="7" s="1"/>
  <c r="E241" i="7"/>
  <c r="U240" i="7"/>
  <c r="G194" i="10"/>
  <c r="D194" i="3"/>
  <c r="J194" i="2"/>
  <c r="M194" i="2"/>
  <c r="AO122" i="8"/>
  <c r="I123" i="8"/>
  <c r="J172" i="3" l="1"/>
  <c r="K172" i="3" s="1"/>
  <c r="Q172" i="3"/>
  <c r="M241" i="7"/>
  <c r="D241" i="7"/>
  <c r="X240" i="7"/>
  <c r="B240" i="8"/>
  <c r="B195" i="2"/>
  <c r="D194" i="10"/>
  <c r="F194" i="10"/>
  <c r="C194" i="3"/>
  <c r="AS122" i="8"/>
  <c r="J123" i="8"/>
  <c r="N123" i="8" s="1"/>
  <c r="O123" i="8"/>
  <c r="N241" i="7" l="1"/>
  <c r="W241" i="7" s="1"/>
  <c r="F242" i="7" s="1"/>
  <c r="H241" i="7"/>
  <c r="AB240" i="7"/>
  <c r="C241" i="7"/>
  <c r="U240" i="8"/>
  <c r="W240" i="8" s="1"/>
  <c r="I241" i="7"/>
  <c r="U172" i="3"/>
  <c r="N172" i="3"/>
  <c r="AC172" i="3"/>
  <c r="M172" i="10" s="1"/>
  <c r="C195" i="10"/>
  <c r="K195" i="2"/>
  <c r="D195" i="2"/>
  <c r="C195" i="2"/>
  <c r="X172" i="3"/>
  <c r="O242" i="7"/>
  <c r="R123" i="8"/>
  <c r="K123" i="8"/>
  <c r="M123" i="8" s="1"/>
  <c r="R241" i="7"/>
  <c r="S241" i="7" l="1"/>
  <c r="C241" i="8" s="1"/>
  <c r="V172" i="3"/>
  <c r="Y172" i="3" s="1"/>
  <c r="O172" i="3"/>
  <c r="P172" i="3"/>
  <c r="J241" i="7"/>
  <c r="L195" i="2"/>
  <c r="E195" i="2"/>
  <c r="P242" i="7"/>
  <c r="Q242" i="7" s="1"/>
  <c r="E173" i="3"/>
  <c r="H172" i="10"/>
  <c r="X123" i="8"/>
  <c r="P123" i="8"/>
  <c r="Q123" i="8" s="1"/>
  <c r="AI123" i="8"/>
  <c r="L123" i="8"/>
  <c r="K241" i="7"/>
  <c r="W172" i="3" l="1"/>
  <c r="Z172" i="3" s="1"/>
  <c r="I172" i="10"/>
  <c r="F173" i="3"/>
  <c r="R172" i="3"/>
  <c r="S172" i="3" s="1"/>
  <c r="E195" i="10"/>
  <c r="B195" i="3"/>
  <c r="F195" i="2"/>
  <c r="AU123" i="8"/>
  <c r="E242" i="8"/>
  <c r="Y242" i="7"/>
  <c r="G173" i="3"/>
  <c r="T241" i="7"/>
  <c r="D241" i="8" s="1"/>
  <c r="Z123" i="8"/>
  <c r="AB123" i="8" s="1"/>
  <c r="Y123" i="8"/>
  <c r="AA123" i="8" s="1"/>
  <c r="S123" i="8"/>
  <c r="AJ123" i="8"/>
  <c r="L241" i="7"/>
  <c r="V241" i="7" s="1"/>
  <c r="J172" i="10" l="1"/>
  <c r="AA172" i="3"/>
  <c r="K172" i="10" s="1"/>
  <c r="T172" i="3"/>
  <c r="AB172" i="3" s="1"/>
  <c r="L172" i="10" s="1"/>
  <c r="G195" i="2"/>
  <c r="H195" i="2" s="1"/>
  <c r="H173" i="3"/>
  <c r="Z241" i="7"/>
  <c r="AA241" i="7" s="1"/>
  <c r="B241" i="7" s="1"/>
  <c r="E242" i="7"/>
  <c r="U241" i="7"/>
  <c r="AC123" i="8"/>
  <c r="AK123" i="8"/>
  <c r="T123" i="8"/>
  <c r="V123" i="8" s="1"/>
  <c r="D195" i="3" l="1"/>
  <c r="G195" i="10"/>
  <c r="I195" i="2"/>
  <c r="M173" i="3"/>
  <c r="I173" i="3"/>
  <c r="L173" i="3" s="1"/>
  <c r="B241" i="8"/>
  <c r="M242" i="7"/>
  <c r="X241" i="7"/>
  <c r="D242" i="7"/>
  <c r="AT123" i="8"/>
  <c r="AD123" i="8"/>
  <c r="H242" i="7"/>
  <c r="C242" i="7" l="1"/>
  <c r="AB241" i="7"/>
  <c r="M195" i="2"/>
  <c r="J195" i="2"/>
  <c r="N242" i="7"/>
  <c r="W242" i="7" s="1"/>
  <c r="F243" i="7" s="1"/>
  <c r="O243" i="7" s="1"/>
  <c r="Q173" i="3"/>
  <c r="U241" i="8"/>
  <c r="W241" i="8" s="1"/>
  <c r="J173" i="3"/>
  <c r="K173" i="3" s="1"/>
  <c r="I242" i="7"/>
  <c r="J242" i="7" s="1"/>
  <c r="AE123" i="8"/>
  <c r="AL123" i="8"/>
  <c r="R242" i="7"/>
  <c r="U173" i="3" l="1"/>
  <c r="N173" i="3"/>
  <c r="AC173" i="3"/>
  <c r="M173" i="10" s="1"/>
  <c r="F195" i="10"/>
  <c r="C195" i="3"/>
  <c r="D195" i="10"/>
  <c r="B196" i="2"/>
  <c r="P243" i="7"/>
  <c r="Q243" i="7" s="1"/>
  <c r="S242" i="7"/>
  <c r="C242" i="8" s="1"/>
  <c r="K242" i="7"/>
  <c r="T242" i="7" s="1"/>
  <c r="D242" i="8" s="1"/>
  <c r="AF123" i="8"/>
  <c r="AM123" i="8" s="1"/>
  <c r="AQ123" i="8" s="1"/>
  <c r="G124" i="8" s="1"/>
  <c r="AP123" i="8"/>
  <c r="F124" i="8" s="1"/>
  <c r="X173" i="3" l="1"/>
  <c r="V173" i="3"/>
  <c r="Y173" i="3" s="1"/>
  <c r="O173" i="3"/>
  <c r="C196" i="10"/>
  <c r="K196" i="2"/>
  <c r="D196" i="2"/>
  <c r="C196" i="2"/>
  <c r="E196" i="2" s="1"/>
  <c r="E243" i="8"/>
  <c r="Y243" i="7"/>
  <c r="L242" i="7"/>
  <c r="V242" i="7" s="1"/>
  <c r="AG123" i="8"/>
  <c r="AH123" i="8" s="1"/>
  <c r="AN123" i="8" s="1"/>
  <c r="AR123" i="8" s="1"/>
  <c r="H124" i="8" s="1"/>
  <c r="E174" i="3" l="1"/>
  <c r="H173" i="10"/>
  <c r="F196" i="2"/>
  <c r="I173" i="10"/>
  <c r="F174" i="3"/>
  <c r="P173" i="3"/>
  <c r="R173" i="3"/>
  <c r="S173" i="3" s="1"/>
  <c r="W173" i="3"/>
  <c r="Z173" i="3" s="1"/>
  <c r="L196" i="2"/>
  <c r="U242" i="7"/>
  <c r="Z242" i="7"/>
  <c r="AA242" i="7" s="1"/>
  <c r="B242" i="7" s="1"/>
  <c r="E243" i="7"/>
  <c r="I124" i="8"/>
  <c r="AO123" i="8"/>
  <c r="G174" i="3" l="1"/>
  <c r="J173" i="10"/>
  <c r="G196" i="2"/>
  <c r="D243" i="7"/>
  <c r="X242" i="7"/>
  <c r="AA173" i="3"/>
  <c r="K173" i="10" s="1"/>
  <c r="T173" i="3"/>
  <c r="E196" i="10"/>
  <c r="B196" i="3"/>
  <c r="AS123" i="8"/>
  <c r="M243" i="7"/>
  <c r="B242" i="8"/>
  <c r="O124" i="8"/>
  <c r="J124" i="8"/>
  <c r="N124" i="8" s="1"/>
  <c r="H174" i="3" l="1"/>
  <c r="AB173" i="3"/>
  <c r="L173" i="10" s="1"/>
  <c r="I196" i="2"/>
  <c r="I243" i="7"/>
  <c r="AB242" i="7"/>
  <c r="H196" i="2"/>
  <c r="H243" i="7"/>
  <c r="C243" i="7"/>
  <c r="R243" i="7" s="1"/>
  <c r="N243" i="7"/>
  <c r="W243" i="7" s="1"/>
  <c r="F244" i="7" s="1"/>
  <c r="O244" i="7" s="1"/>
  <c r="U242" i="8"/>
  <c r="W242" i="8" s="1"/>
  <c r="R124" i="8"/>
  <c r="K124" i="8"/>
  <c r="M124" i="8" s="1"/>
  <c r="M174" i="3" l="1"/>
  <c r="I174" i="3"/>
  <c r="L174" i="3" s="1"/>
  <c r="M196" i="2"/>
  <c r="J196" i="2"/>
  <c r="G196" i="10"/>
  <c r="D196" i="3"/>
  <c r="J243" i="7"/>
  <c r="K243" i="7" s="1"/>
  <c r="S243" i="7"/>
  <c r="C243" i="8" s="1"/>
  <c r="L243" i="7"/>
  <c r="V243" i="7" s="1"/>
  <c r="T243" i="7"/>
  <c r="D243" i="8" s="1"/>
  <c r="P244" i="7"/>
  <c r="Q244" i="7" s="1"/>
  <c r="L124" i="8"/>
  <c r="X124" i="8"/>
  <c r="P124" i="8"/>
  <c r="Q124" i="8" s="1"/>
  <c r="AI124" i="8"/>
  <c r="C196" i="3" l="1"/>
  <c r="F196" i="10"/>
  <c r="D196" i="10"/>
  <c r="B197" i="2"/>
  <c r="Q174" i="3"/>
  <c r="J174" i="3"/>
  <c r="K174" i="3" s="1"/>
  <c r="Z243" i="7"/>
  <c r="AA243" i="7" s="1"/>
  <c r="B243" i="7" s="1"/>
  <c r="E244" i="7"/>
  <c r="U243" i="7"/>
  <c r="C197" i="2"/>
  <c r="Y244" i="7"/>
  <c r="E244" i="8"/>
  <c r="AU124" i="8"/>
  <c r="Z124" i="8"/>
  <c r="AB124" i="8" s="1"/>
  <c r="Y124" i="8"/>
  <c r="AA124" i="8" s="1"/>
  <c r="S124" i="8"/>
  <c r="AJ124" i="8"/>
  <c r="AC174" i="3"/>
  <c r="M174" i="10" s="1"/>
  <c r="U174" i="3"/>
  <c r="N174" i="3"/>
  <c r="X174" i="3"/>
  <c r="D197" i="2" l="1"/>
  <c r="E197" i="2" s="1"/>
  <c r="F197" i="2" s="1"/>
  <c r="C197" i="10"/>
  <c r="K197" i="2"/>
  <c r="B243" i="8"/>
  <c r="M244" i="7"/>
  <c r="D244" i="7"/>
  <c r="X243" i="7"/>
  <c r="G197" i="2"/>
  <c r="L197" i="2"/>
  <c r="AK124" i="8"/>
  <c r="T124" i="8"/>
  <c r="V124" i="8" s="1"/>
  <c r="AC124" i="8"/>
  <c r="V174" i="3"/>
  <c r="Y174" i="3" s="1"/>
  <c r="O174" i="3"/>
  <c r="E175" i="3"/>
  <c r="H174" i="10"/>
  <c r="N244" i="7" l="1"/>
  <c r="W244" i="7" s="1"/>
  <c r="F245" i="7" s="1"/>
  <c r="U243" i="8"/>
  <c r="W243" i="8" s="1"/>
  <c r="H244" i="7"/>
  <c r="I244" i="7"/>
  <c r="AB243" i="7"/>
  <c r="C244" i="7"/>
  <c r="I197" i="2"/>
  <c r="H197" i="2"/>
  <c r="E197" i="10"/>
  <c r="B197" i="3"/>
  <c r="AT124" i="8"/>
  <c r="P174" i="3"/>
  <c r="W174" i="3"/>
  <c r="Z174" i="3" s="1"/>
  <c r="AD124" i="8"/>
  <c r="I174" i="10"/>
  <c r="F175" i="3"/>
  <c r="R174" i="3"/>
  <c r="S174" i="3" s="1"/>
  <c r="O245" i="7" l="1"/>
  <c r="R244" i="7"/>
  <c r="S244" i="7" s="1"/>
  <c r="C244" i="8" s="1"/>
  <c r="M197" i="2"/>
  <c r="J197" i="2"/>
  <c r="J244" i="7"/>
  <c r="D197" i="3"/>
  <c r="G197" i="10"/>
  <c r="G175" i="3"/>
  <c r="J174" i="10"/>
  <c r="AE124" i="8"/>
  <c r="AL124" i="8"/>
  <c r="AA174" i="3"/>
  <c r="K174" i="10" s="1"/>
  <c r="T174" i="3"/>
  <c r="P245" i="7" l="1"/>
  <c r="K244" i="7"/>
  <c r="C197" i="3"/>
  <c r="F197" i="10"/>
  <c r="D197" i="10"/>
  <c r="B198" i="2"/>
  <c r="H175" i="3"/>
  <c r="Q245" i="7"/>
  <c r="AF124" i="8"/>
  <c r="AM124" i="8" s="1"/>
  <c r="AQ124" i="8" s="1"/>
  <c r="G125" i="8" s="1"/>
  <c r="AP124" i="8"/>
  <c r="F125" i="8" s="1"/>
  <c r="AB174" i="3"/>
  <c r="L174" i="10" s="1"/>
  <c r="C198" i="2" l="1"/>
  <c r="D198" i="2"/>
  <c r="K198" i="2"/>
  <c r="C198" i="10"/>
  <c r="L244" i="7"/>
  <c r="V244" i="7" s="1"/>
  <c r="T244" i="7"/>
  <c r="D244" i="8" s="1"/>
  <c r="I175" i="3"/>
  <c r="L175" i="3" s="1"/>
  <c r="E245" i="8"/>
  <c r="Y245" i="7"/>
  <c r="M175" i="3"/>
  <c r="AG124" i="8"/>
  <c r="AH124" i="8" s="1"/>
  <c r="AN124" i="8" s="1"/>
  <c r="E245" i="7" l="1"/>
  <c r="Z244" i="7"/>
  <c r="AA244" i="7" s="1"/>
  <c r="B244" i="7" s="1"/>
  <c r="E198" i="2"/>
  <c r="L198" i="2"/>
  <c r="U244" i="7"/>
  <c r="Q175" i="3"/>
  <c r="J175" i="3"/>
  <c r="K175" i="3" s="1"/>
  <c r="AO124" i="8"/>
  <c r="AR124" i="8"/>
  <c r="H125" i="8" s="1"/>
  <c r="M245" i="7" l="1"/>
  <c r="B244" i="8"/>
  <c r="F198" i="2"/>
  <c r="E198" i="10"/>
  <c r="B198" i="3"/>
  <c r="D245" i="7"/>
  <c r="X244" i="7"/>
  <c r="U175" i="3"/>
  <c r="N175" i="3"/>
  <c r="AC175" i="3"/>
  <c r="M175" i="10" s="1"/>
  <c r="I125" i="8"/>
  <c r="AS124" i="8"/>
  <c r="N245" i="7" l="1"/>
  <c r="W245" i="7" s="1"/>
  <c r="F246" i="7" s="1"/>
  <c r="U244" i="8"/>
  <c r="W244" i="8" s="1"/>
  <c r="H245" i="7"/>
  <c r="I245" i="7"/>
  <c r="AB244" i="7"/>
  <c r="C245" i="7"/>
  <c r="G198" i="2"/>
  <c r="X175" i="3"/>
  <c r="H175" i="10" s="1"/>
  <c r="V175" i="3"/>
  <c r="Y175" i="3" s="1"/>
  <c r="O175" i="3"/>
  <c r="O125" i="8"/>
  <c r="J125" i="8"/>
  <c r="N125" i="8" s="1"/>
  <c r="I198" i="2"/>
  <c r="H198" i="2"/>
  <c r="O246" i="7" l="1"/>
  <c r="J245" i="7"/>
  <c r="R245" i="7"/>
  <c r="S245" i="7" s="1"/>
  <c r="C245" i="8" s="1"/>
  <c r="E176" i="3"/>
  <c r="P175" i="3"/>
  <c r="I175" i="10"/>
  <c r="F176" i="3"/>
  <c r="W175" i="3"/>
  <c r="Z175" i="3" s="1"/>
  <c r="R175" i="3"/>
  <c r="S175" i="3" s="1"/>
  <c r="R125" i="8"/>
  <c r="K125" i="8"/>
  <c r="M125" i="8" s="1"/>
  <c r="M198" i="2"/>
  <c r="J198" i="2"/>
  <c r="D198" i="3"/>
  <c r="G198" i="10"/>
  <c r="P246" i="7" l="1"/>
  <c r="Q246" i="7" s="1"/>
  <c r="K245" i="7"/>
  <c r="T175" i="3"/>
  <c r="AA175" i="3"/>
  <c r="K175" i="10" s="1"/>
  <c r="G176" i="3"/>
  <c r="J175" i="10"/>
  <c r="Y246" i="7"/>
  <c r="E246" i="8"/>
  <c r="X125" i="8"/>
  <c r="AI125" i="8"/>
  <c r="P125" i="8"/>
  <c r="Q125" i="8" s="1"/>
  <c r="T245" i="7"/>
  <c r="D245" i="8" s="1"/>
  <c r="L245" i="7"/>
  <c r="V245" i="7" s="1"/>
  <c r="L125" i="8"/>
  <c r="F198" i="10"/>
  <c r="C198" i="3"/>
  <c r="D198" i="10"/>
  <c r="B199" i="2"/>
  <c r="AB175" i="3" l="1"/>
  <c r="L175" i="10" s="1"/>
  <c r="H176" i="3"/>
  <c r="M176" i="3"/>
  <c r="E246" i="7"/>
  <c r="Z245" i="7"/>
  <c r="AA245" i="7" s="1"/>
  <c r="B245" i="7" s="1"/>
  <c r="Z125" i="8"/>
  <c r="AB125" i="8" s="1"/>
  <c r="Y125" i="8"/>
  <c r="AA125" i="8" s="1"/>
  <c r="AJ125" i="8"/>
  <c r="S125" i="8"/>
  <c r="U245" i="7"/>
  <c r="AU125" i="8"/>
  <c r="C199" i="2"/>
  <c r="D199" i="2"/>
  <c r="K199" i="2"/>
  <c r="C199" i="10"/>
  <c r="I176" i="3" l="1"/>
  <c r="L176" i="3" s="1"/>
  <c r="M246" i="7"/>
  <c r="B245" i="8"/>
  <c r="AC125" i="8"/>
  <c r="X245" i="7"/>
  <c r="D246" i="7"/>
  <c r="AK125" i="8"/>
  <c r="T125" i="8"/>
  <c r="V125" i="8" s="1"/>
  <c r="E199" i="2"/>
  <c r="L199" i="2"/>
  <c r="J176" i="3" l="1"/>
  <c r="K176" i="3" s="1"/>
  <c r="Q176" i="3"/>
  <c r="N246" i="7"/>
  <c r="W246" i="7" s="1"/>
  <c r="F247" i="7" s="1"/>
  <c r="B199" i="3"/>
  <c r="E199" i="10"/>
  <c r="U245" i="8"/>
  <c r="W245" i="8" s="1"/>
  <c r="C246" i="7"/>
  <c r="R246" i="7" s="1"/>
  <c r="AB245" i="7"/>
  <c r="I246" i="7"/>
  <c r="H246" i="7"/>
  <c r="J246" i="7" s="1"/>
  <c r="F199" i="2"/>
  <c r="AD125" i="8"/>
  <c r="AT125" i="8"/>
  <c r="O247" i="7" l="1"/>
  <c r="N176" i="3"/>
  <c r="AC176" i="3"/>
  <c r="M176" i="10" s="1"/>
  <c r="U176" i="3"/>
  <c r="AL125" i="8"/>
  <c r="AE125" i="8"/>
  <c r="G199" i="2"/>
  <c r="H199" i="2" s="1"/>
  <c r="K246" i="7"/>
  <c r="T246" i="7" s="1"/>
  <c r="D246" i="8" s="1"/>
  <c r="S246" i="7"/>
  <c r="C246" i="8" s="1"/>
  <c r="P247" i="7" l="1"/>
  <c r="Q247" i="7" s="1"/>
  <c r="X176" i="3"/>
  <c r="V176" i="3"/>
  <c r="Y176" i="3" s="1"/>
  <c r="O176" i="3"/>
  <c r="E177" i="3"/>
  <c r="H176" i="10"/>
  <c r="I199" i="2"/>
  <c r="M199" i="2" s="1"/>
  <c r="AP125" i="8"/>
  <c r="F126" i="8" s="1"/>
  <c r="AF125" i="8"/>
  <c r="AM125" i="8" s="1"/>
  <c r="AQ125" i="8" s="1"/>
  <c r="G126" i="8" s="1"/>
  <c r="D199" i="3"/>
  <c r="G199" i="10"/>
  <c r="L246" i="7"/>
  <c r="P176" i="3" l="1"/>
  <c r="E247" i="8"/>
  <c r="Y247" i="7"/>
  <c r="I176" i="10"/>
  <c r="F177" i="3"/>
  <c r="R176" i="3"/>
  <c r="S176" i="3" s="1"/>
  <c r="W176" i="3"/>
  <c r="Z176" i="3" s="1"/>
  <c r="J199" i="2"/>
  <c r="F199" i="10"/>
  <c r="C199" i="3"/>
  <c r="U246" i="7"/>
  <c r="V246" i="7"/>
  <c r="AG125" i="8"/>
  <c r="AH125" i="8" s="1"/>
  <c r="AN125" i="8" s="1"/>
  <c r="AR125" i="8" s="1"/>
  <c r="H126" i="8" s="1"/>
  <c r="D199" i="10" l="1"/>
  <c r="B200" i="2"/>
  <c r="G177" i="3"/>
  <c r="J176" i="10"/>
  <c r="AA176" i="3"/>
  <c r="K176" i="10" s="1"/>
  <c r="T176" i="3"/>
  <c r="D247" i="7"/>
  <c r="X246" i="7"/>
  <c r="E247" i="7"/>
  <c r="Z246" i="7"/>
  <c r="AA246" i="7" s="1"/>
  <c r="B246" i="7" s="1"/>
  <c r="B246" i="8" s="1"/>
  <c r="U246" i="8" s="1"/>
  <c r="W246" i="8" s="1"/>
  <c r="I126" i="8"/>
  <c r="AO125" i="8"/>
  <c r="D200" i="2" l="1"/>
  <c r="K200" i="2"/>
  <c r="C200" i="10"/>
  <c r="C200" i="2"/>
  <c r="O126" i="8"/>
  <c r="H177" i="3"/>
  <c r="AB176" i="3"/>
  <c r="L176" i="10" s="1"/>
  <c r="L200" i="2"/>
  <c r="AS125" i="8"/>
  <c r="E200" i="2"/>
  <c r="I247" i="7"/>
  <c r="H247" i="7"/>
  <c r="C247" i="7"/>
  <c r="R247" i="7" s="1"/>
  <c r="AB246" i="7"/>
  <c r="M247" i="7"/>
  <c r="J126" i="8"/>
  <c r="N126" i="8" s="1"/>
  <c r="J247" i="7" l="1"/>
  <c r="K126" i="8"/>
  <c r="M126" i="8" s="1"/>
  <c r="M177" i="3"/>
  <c r="E200" i="10"/>
  <c r="B200" i="3"/>
  <c r="I177" i="3"/>
  <c r="L177" i="3" s="1"/>
  <c r="S247" i="7"/>
  <c r="C247" i="8" s="1"/>
  <c r="F200" i="2"/>
  <c r="N247" i="7"/>
  <c r="W247" i="7" s="1"/>
  <c r="F248" i="7" s="1"/>
  <c r="R126" i="8"/>
  <c r="K247" i="7" l="1"/>
  <c r="T247" i="7" s="1"/>
  <c r="D247" i="8" s="1"/>
  <c r="L126" i="8"/>
  <c r="P126" i="8"/>
  <c r="Q126" i="8" s="1"/>
  <c r="AI126" i="8"/>
  <c r="X126" i="8"/>
  <c r="Q177" i="3"/>
  <c r="J177" i="3"/>
  <c r="K177" i="3" s="1"/>
  <c r="O248" i="7"/>
  <c r="G200" i="2"/>
  <c r="L247" i="7" l="1"/>
  <c r="V247" i="7" s="1"/>
  <c r="S126" i="8"/>
  <c r="AJ126" i="8"/>
  <c r="AU126" i="8"/>
  <c r="Z126" i="8"/>
  <c r="AB126" i="8" s="1"/>
  <c r="Y126" i="8"/>
  <c r="AA126" i="8" s="1"/>
  <c r="U177" i="3"/>
  <c r="N177" i="3"/>
  <c r="AC177" i="3"/>
  <c r="M177" i="10" s="1"/>
  <c r="P248" i="7"/>
  <c r="Q248" i="7" s="1"/>
  <c r="I200" i="2"/>
  <c r="H200" i="2"/>
  <c r="AK126" i="8"/>
  <c r="AC126" i="8" l="1"/>
  <c r="Z247" i="7"/>
  <c r="AA247" i="7" s="1"/>
  <c r="B247" i="7" s="1"/>
  <c r="B247" i="8" s="1"/>
  <c r="U247" i="8" s="1"/>
  <c r="W247" i="8" s="1"/>
  <c r="E248" i="7"/>
  <c r="U247" i="7"/>
  <c r="T126" i="8"/>
  <c r="V126" i="8" s="1"/>
  <c r="V177" i="3"/>
  <c r="Y177" i="3" s="1"/>
  <c r="O177" i="3"/>
  <c r="X177" i="3"/>
  <c r="Y248" i="7"/>
  <c r="E248" i="8"/>
  <c r="M200" i="2"/>
  <c r="J200" i="2"/>
  <c r="D200" i="3"/>
  <c r="G200" i="10"/>
  <c r="M248" i="7" l="1"/>
  <c r="D248" i="7"/>
  <c r="X247" i="7"/>
  <c r="AT126" i="8"/>
  <c r="AD126" i="8"/>
  <c r="H177" i="10"/>
  <c r="E178" i="3"/>
  <c r="P177" i="3"/>
  <c r="F178" i="3"/>
  <c r="I177" i="10"/>
  <c r="R177" i="3"/>
  <c r="S177" i="3" s="1"/>
  <c r="W177" i="3"/>
  <c r="Z177" i="3" s="1"/>
  <c r="F200" i="10"/>
  <c r="C200" i="3"/>
  <c r="D200" i="10"/>
  <c r="B201" i="2"/>
  <c r="G178" i="3"/>
  <c r="I248" i="7" l="1"/>
  <c r="H248" i="7"/>
  <c r="AB247" i="7"/>
  <c r="C248" i="7"/>
  <c r="AL126" i="8"/>
  <c r="AE126" i="8"/>
  <c r="N248" i="7"/>
  <c r="W248" i="7" s="1"/>
  <c r="F249" i="7" s="1"/>
  <c r="J177" i="10"/>
  <c r="T177" i="3"/>
  <c r="AA177" i="3"/>
  <c r="K177" i="10" s="1"/>
  <c r="C201" i="2"/>
  <c r="D201" i="2"/>
  <c r="K201" i="2"/>
  <c r="C201" i="10"/>
  <c r="R248" i="7"/>
  <c r="AP126" i="8"/>
  <c r="F127" i="8" s="1"/>
  <c r="AF126" i="8"/>
  <c r="AM126" i="8" s="1"/>
  <c r="AQ126" i="8" s="1"/>
  <c r="G127" i="8" s="1"/>
  <c r="O249" i="7"/>
  <c r="H178" i="3"/>
  <c r="J248" i="7" l="1"/>
  <c r="S248" i="7"/>
  <c r="C248" i="8" s="1"/>
  <c r="AB177" i="3"/>
  <c r="L177" i="10" s="1"/>
  <c r="E201" i="2"/>
  <c r="P249" i="7"/>
  <c r="Q249" i="7" s="1"/>
  <c r="M178" i="3"/>
  <c r="L201" i="2"/>
  <c r="AG126" i="8"/>
  <c r="AH126" i="8" s="1"/>
  <c r="AN126" i="8" s="1"/>
  <c r="AR126" i="8" s="1"/>
  <c r="H127" i="8" s="1"/>
  <c r="I178" i="3"/>
  <c r="L178" i="3" s="1"/>
  <c r="K248" i="7" l="1"/>
  <c r="T248" i="7" s="1"/>
  <c r="D248" i="8" s="1"/>
  <c r="Y249" i="7"/>
  <c r="E249" i="8"/>
  <c r="F201" i="2"/>
  <c r="E201" i="10"/>
  <c r="B201" i="3"/>
  <c r="I127" i="8"/>
  <c r="AO126" i="8"/>
  <c r="Q178" i="3"/>
  <c r="J178" i="3"/>
  <c r="K178" i="3" s="1"/>
  <c r="L248" i="7" l="1"/>
  <c r="V248" i="7" s="1"/>
  <c r="E249" i="7" s="1"/>
  <c r="G201" i="2"/>
  <c r="O127" i="8"/>
  <c r="AS126" i="8"/>
  <c r="J127" i="8"/>
  <c r="N127" i="8" s="1"/>
  <c r="U178" i="3"/>
  <c r="N178" i="3"/>
  <c r="AC178" i="3"/>
  <c r="M178" i="10" s="1"/>
  <c r="M249" i="7" l="1"/>
  <c r="U248" i="7"/>
  <c r="Z248" i="7"/>
  <c r="AA248" i="7" s="1"/>
  <c r="B248" i="7" s="1"/>
  <c r="B248" i="8" s="1"/>
  <c r="U248" i="8" s="1"/>
  <c r="W248" i="8" s="1"/>
  <c r="I201" i="2"/>
  <c r="H201" i="2"/>
  <c r="X178" i="3"/>
  <c r="R127" i="8"/>
  <c r="K127" i="8"/>
  <c r="M127" i="8" s="1"/>
  <c r="V178" i="3"/>
  <c r="Y178" i="3" s="1"/>
  <c r="O178" i="3"/>
  <c r="P178" i="3" l="1"/>
  <c r="D249" i="7"/>
  <c r="N249" i="7"/>
  <c r="W249" i="7" s="1"/>
  <c r="F250" i="7" s="1"/>
  <c r="X248" i="7"/>
  <c r="AB248" i="7"/>
  <c r="C249" i="7"/>
  <c r="H249" i="7"/>
  <c r="I249" i="7"/>
  <c r="E179" i="3"/>
  <c r="M201" i="2"/>
  <c r="J201" i="2"/>
  <c r="H178" i="10"/>
  <c r="D201" i="3"/>
  <c r="G201" i="10"/>
  <c r="L127" i="8"/>
  <c r="X127" i="8"/>
  <c r="P127" i="8"/>
  <c r="Q127" i="8" s="1"/>
  <c r="AI127" i="8"/>
  <c r="I178" i="10"/>
  <c r="F179" i="3"/>
  <c r="R178" i="3"/>
  <c r="S178" i="3" s="1"/>
  <c r="W178" i="3"/>
  <c r="Z178" i="3" s="1"/>
  <c r="O250" i="7" l="1"/>
  <c r="R249" i="7"/>
  <c r="S249" i="7" s="1"/>
  <c r="C249" i="8" s="1"/>
  <c r="J249" i="7"/>
  <c r="P250" i="7"/>
  <c r="Q250" i="7" s="1"/>
  <c r="K249" i="7"/>
  <c r="E250" i="8"/>
  <c r="F201" i="10"/>
  <c r="D201" i="10"/>
  <c r="C201" i="3"/>
  <c r="B202" i="2"/>
  <c r="AU127" i="8"/>
  <c r="Z127" i="8"/>
  <c r="AB127" i="8" s="1"/>
  <c r="Y127" i="8"/>
  <c r="AA127" i="8" s="1"/>
  <c r="S127" i="8"/>
  <c r="AJ127" i="8"/>
  <c r="G179" i="3"/>
  <c r="J178" i="10"/>
  <c r="T178" i="3"/>
  <c r="AA178" i="3"/>
  <c r="K178" i="10" s="1"/>
  <c r="Y250" i="7" l="1"/>
  <c r="AB178" i="3"/>
  <c r="L178" i="10" s="1"/>
  <c r="L249" i="7"/>
  <c r="V249" i="7" s="1"/>
  <c r="T249" i="7"/>
  <c r="D249" i="8" s="1"/>
  <c r="C202" i="2"/>
  <c r="D202" i="2"/>
  <c r="K202" i="2"/>
  <c r="C202" i="10"/>
  <c r="AC127" i="8"/>
  <c r="T127" i="8"/>
  <c r="V127" i="8" s="1"/>
  <c r="AT127" i="8" s="1"/>
  <c r="AK127" i="8"/>
  <c r="H179" i="3"/>
  <c r="U249" i="7" l="1"/>
  <c r="Z249" i="7"/>
  <c r="AA249" i="7" s="1"/>
  <c r="B249" i="7" s="1"/>
  <c r="B249" i="8" s="1"/>
  <c r="U249" i="8" s="1"/>
  <c r="W249" i="8" s="1"/>
  <c r="E250" i="7"/>
  <c r="E202" i="2"/>
  <c r="L202" i="2"/>
  <c r="M179" i="3"/>
  <c r="AD127" i="8"/>
  <c r="I179" i="3"/>
  <c r="L179" i="3" s="1"/>
  <c r="M250" i="7" l="1"/>
  <c r="X249" i="7"/>
  <c r="D250" i="7"/>
  <c r="F202" i="2"/>
  <c r="E202" i="10"/>
  <c r="B202" i="3"/>
  <c r="AE127" i="8"/>
  <c r="AL127" i="8"/>
  <c r="Q179" i="3"/>
  <c r="J179" i="3"/>
  <c r="N250" i="7" l="1"/>
  <c r="W250" i="7" s="1"/>
  <c r="F251" i="7" s="1"/>
  <c r="AB249" i="7"/>
  <c r="C250" i="7"/>
  <c r="I250" i="7"/>
  <c r="H250" i="7"/>
  <c r="G202" i="2"/>
  <c r="AF127" i="8"/>
  <c r="AM127" i="8" s="1"/>
  <c r="AQ127" i="8" s="1"/>
  <c r="G128" i="8" s="1"/>
  <c r="AP127" i="8"/>
  <c r="F128" i="8" s="1"/>
  <c r="AC179" i="3"/>
  <c r="M179" i="10" s="1"/>
  <c r="K179" i="3"/>
  <c r="R250" i="7" l="1"/>
  <c r="S250" i="7" s="1"/>
  <c r="C250" i="8" s="1"/>
  <c r="O251" i="7"/>
  <c r="J250" i="7"/>
  <c r="I202" i="2"/>
  <c r="H202" i="2"/>
  <c r="AG127" i="8"/>
  <c r="AH127" i="8" s="1"/>
  <c r="AN127" i="8" s="1"/>
  <c r="U179" i="3"/>
  <c r="N179" i="3"/>
  <c r="P251" i="7" l="1"/>
  <c r="Q251" i="7" s="1"/>
  <c r="K250" i="7"/>
  <c r="T250" i="7" s="1"/>
  <c r="D250" i="8" s="1"/>
  <c r="L250" i="7"/>
  <c r="V250" i="7" s="1"/>
  <c r="M202" i="2"/>
  <c r="J202" i="2"/>
  <c r="D202" i="3"/>
  <c r="G202" i="10"/>
  <c r="AO127" i="8"/>
  <c r="AS127" i="8" s="1"/>
  <c r="AR127" i="8"/>
  <c r="H128" i="8" s="1"/>
  <c r="X179" i="3"/>
  <c r="V179" i="3"/>
  <c r="Y179" i="3" s="1"/>
  <c r="O179" i="3"/>
  <c r="E251" i="8" l="1"/>
  <c r="Y251" i="7"/>
  <c r="Z250" i="7"/>
  <c r="AA250" i="7" s="1"/>
  <c r="B250" i="7" s="1"/>
  <c r="B250" i="8" s="1"/>
  <c r="U250" i="8" s="1"/>
  <c r="W250" i="8" s="1"/>
  <c r="F202" i="10"/>
  <c r="C202" i="3"/>
  <c r="D202" i="10"/>
  <c r="B203" i="2"/>
  <c r="U250" i="7"/>
  <c r="E251" i="7"/>
  <c r="M251" i="7"/>
  <c r="I128" i="8"/>
  <c r="P179" i="3"/>
  <c r="E180" i="3"/>
  <c r="H179" i="10"/>
  <c r="W179" i="3"/>
  <c r="Z179" i="3" s="1"/>
  <c r="I179" i="10"/>
  <c r="F180" i="3"/>
  <c r="R179" i="3"/>
  <c r="S179" i="3" s="1"/>
  <c r="C203" i="2" l="1"/>
  <c r="K203" i="2"/>
  <c r="D203" i="2"/>
  <c r="C203" i="10"/>
  <c r="D251" i="7"/>
  <c r="X250" i="7"/>
  <c r="N251" i="7"/>
  <c r="W251" i="7" s="1"/>
  <c r="F252" i="7" s="1"/>
  <c r="O128" i="8"/>
  <c r="J179" i="10"/>
  <c r="G180" i="3"/>
  <c r="AA179" i="3"/>
  <c r="K179" i="10" s="1"/>
  <c r="J128" i="8"/>
  <c r="N128" i="8" s="1"/>
  <c r="T179" i="3"/>
  <c r="E203" i="2" l="1"/>
  <c r="L203" i="2"/>
  <c r="H251" i="7"/>
  <c r="I251" i="7"/>
  <c r="AB250" i="7"/>
  <c r="C251" i="7"/>
  <c r="R251" i="7" s="1"/>
  <c r="O252" i="7"/>
  <c r="H180" i="3"/>
  <c r="R128" i="8"/>
  <c r="K128" i="8"/>
  <c r="M128" i="8" s="1"/>
  <c r="AB179" i="3"/>
  <c r="L179" i="10" s="1"/>
  <c r="E203" i="10" l="1"/>
  <c r="F203" i="2"/>
  <c r="B203" i="3"/>
  <c r="J251" i="7"/>
  <c r="S251" i="7"/>
  <c r="C251" i="8" s="1"/>
  <c r="P252" i="7"/>
  <c r="Q252" i="7" s="1"/>
  <c r="M180" i="3"/>
  <c r="I180" i="3"/>
  <c r="L180" i="3" s="1"/>
  <c r="X128" i="8"/>
  <c r="P128" i="8"/>
  <c r="Q128" i="8" s="1"/>
  <c r="AI128" i="8"/>
  <c r="L128" i="8"/>
  <c r="G203" i="2" l="1"/>
  <c r="H203" i="2" s="1"/>
  <c r="K251" i="7"/>
  <c r="Y252" i="7"/>
  <c r="E252" i="8"/>
  <c r="J180" i="3"/>
  <c r="K180" i="3" s="1"/>
  <c r="Q180" i="3"/>
  <c r="Z128" i="8"/>
  <c r="AB128" i="8" s="1"/>
  <c r="Y128" i="8"/>
  <c r="AA128" i="8" s="1"/>
  <c r="S128" i="8"/>
  <c r="AJ128" i="8"/>
  <c r="AU128" i="8"/>
  <c r="I203" i="2" l="1"/>
  <c r="J203" i="2" s="1"/>
  <c r="D203" i="3"/>
  <c r="G203" i="10"/>
  <c r="L251" i="7"/>
  <c r="T251" i="7"/>
  <c r="D251" i="8" s="1"/>
  <c r="U180" i="3"/>
  <c r="AC180" i="3"/>
  <c r="M180" i="10" s="1"/>
  <c r="N180" i="3"/>
  <c r="AC128" i="8"/>
  <c r="T128" i="8"/>
  <c r="V128" i="8" s="1"/>
  <c r="AK128" i="8"/>
  <c r="M203" i="2" l="1"/>
  <c r="B204" i="2"/>
  <c r="D203" i="10"/>
  <c r="U251" i="7"/>
  <c r="V251" i="7"/>
  <c r="X180" i="3"/>
  <c r="V180" i="3"/>
  <c r="Y180" i="3" s="1"/>
  <c r="O180" i="3"/>
  <c r="AT128" i="8"/>
  <c r="AD128" i="8"/>
  <c r="F203" i="10" l="1"/>
  <c r="C204" i="2"/>
  <c r="C203" i="3"/>
  <c r="D204" i="2"/>
  <c r="K204" i="2"/>
  <c r="C204" i="10"/>
  <c r="X251" i="7"/>
  <c r="D252" i="7"/>
  <c r="Z251" i="7"/>
  <c r="AA251" i="7" s="1"/>
  <c r="B251" i="7" s="1"/>
  <c r="B251" i="8" s="1"/>
  <c r="U251" i="8" s="1"/>
  <c r="W251" i="8" s="1"/>
  <c r="E252" i="7"/>
  <c r="R180" i="3"/>
  <c r="S180" i="3" s="1"/>
  <c r="H180" i="10"/>
  <c r="F181" i="3"/>
  <c r="E181" i="3"/>
  <c r="I180" i="10"/>
  <c r="P180" i="3"/>
  <c r="W180" i="3"/>
  <c r="Z180" i="3" s="1"/>
  <c r="AL128" i="8"/>
  <c r="AE128" i="8"/>
  <c r="T180" i="3" l="1"/>
  <c r="L204" i="2"/>
  <c r="E204" i="2"/>
  <c r="AB251" i="7"/>
  <c r="C252" i="7"/>
  <c r="R252" i="7" s="1"/>
  <c r="I252" i="7"/>
  <c r="H252" i="7"/>
  <c r="J252" i="7" s="1"/>
  <c r="K252" i="7" s="1"/>
  <c r="T252" i="7" s="1"/>
  <c r="D252" i="8" s="1"/>
  <c r="M252" i="7"/>
  <c r="G181" i="3"/>
  <c r="J180" i="10"/>
  <c r="AA180" i="3"/>
  <c r="K180" i="10" s="1"/>
  <c r="AP128" i="8"/>
  <c r="F129" i="8" s="1"/>
  <c r="AF128" i="8"/>
  <c r="AM128" i="8" s="1"/>
  <c r="AQ128" i="8" s="1"/>
  <c r="G129" i="8" s="1"/>
  <c r="F204" i="2" l="1"/>
  <c r="E204" i="10"/>
  <c r="B204" i="3"/>
  <c r="AB180" i="3"/>
  <c r="L180" i="10" s="1"/>
  <c r="S252" i="7"/>
  <c r="C252" i="8" s="1"/>
  <c r="L252" i="7"/>
  <c r="N252" i="7"/>
  <c r="W252" i="7" s="1"/>
  <c r="F253" i="7" s="1"/>
  <c r="H181" i="3"/>
  <c r="AG128" i="8"/>
  <c r="AH128" i="8" s="1"/>
  <c r="AN128" i="8" s="1"/>
  <c r="AR128" i="8" s="1"/>
  <c r="H129" i="8" s="1"/>
  <c r="G204" i="2" l="1"/>
  <c r="H204" i="2" s="1"/>
  <c r="U252" i="7"/>
  <c r="V252" i="7"/>
  <c r="O253" i="7"/>
  <c r="I181" i="3"/>
  <c r="L181" i="3" s="1"/>
  <c r="M181" i="3"/>
  <c r="I129" i="8"/>
  <c r="AO128" i="8"/>
  <c r="I204" i="2" l="1"/>
  <c r="Q181" i="3"/>
  <c r="D204" i="3"/>
  <c r="G204" i="10"/>
  <c r="J181" i="3"/>
  <c r="K181" i="3" s="1"/>
  <c r="X252" i="7"/>
  <c r="D253" i="7"/>
  <c r="Z252" i="7"/>
  <c r="AA252" i="7" s="1"/>
  <c r="B252" i="7" s="1"/>
  <c r="B252" i="8" s="1"/>
  <c r="U252" i="8" s="1"/>
  <c r="W252" i="8" s="1"/>
  <c r="E253" i="7"/>
  <c r="P253" i="7"/>
  <c r="Q253" i="7" s="1"/>
  <c r="J129" i="8"/>
  <c r="N129" i="8" s="1"/>
  <c r="O129" i="8"/>
  <c r="AS128" i="8"/>
  <c r="M204" i="2" l="1"/>
  <c r="J204" i="2"/>
  <c r="AC181" i="3"/>
  <c r="M181" i="10" s="1"/>
  <c r="U181" i="3"/>
  <c r="N181" i="3"/>
  <c r="C253" i="7"/>
  <c r="R253" i="7" s="1"/>
  <c r="AB252" i="7"/>
  <c r="I253" i="7"/>
  <c r="H253" i="7"/>
  <c r="J253" i="7" s="1"/>
  <c r="M253" i="7"/>
  <c r="Y253" i="7"/>
  <c r="E253" i="8"/>
  <c r="K129" i="8"/>
  <c r="M129" i="8" s="1"/>
  <c r="R129" i="8"/>
  <c r="F204" i="10" l="1"/>
  <c r="D204" i="10"/>
  <c r="B205" i="2"/>
  <c r="C204" i="3"/>
  <c r="X181" i="3"/>
  <c r="V181" i="3"/>
  <c r="Y181" i="3" s="1"/>
  <c r="O181" i="3"/>
  <c r="K253" i="7"/>
  <c r="T253" i="7" s="1"/>
  <c r="D253" i="8" s="1"/>
  <c r="S253" i="7"/>
  <c r="C253" i="8" s="1"/>
  <c r="N253" i="7"/>
  <c r="W253" i="7" s="1"/>
  <c r="F254" i="7" s="1"/>
  <c r="X129" i="8"/>
  <c r="P129" i="8"/>
  <c r="Q129" i="8" s="1"/>
  <c r="AI129" i="8"/>
  <c r="L129" i="8"/>
  <c r="D205" i="2" l="1"/>
  <c r="C205" i="10"/>
  <c r="C205" i="2"/>
  <c r="K205" i="2"/>
  <c r="H181" i="10"/>
  <c r="E182" i="3"/>
  <c r="I181" i="10"/>
  <c r="F182" i="3"/>
  <c r="R181" i="3"/>
  <c r="S181" i="3" s="1"/>
  <c r="P181" i="3"/>
  <c r="W181" i="3"/>
  <c r="Z181" i="3" s="1"/>
  <c r="O254" i="7"/>
  <c r="P254" i="7"/>
  <c r="Q254" i="7" s="1"/>
  <c r="L253" i="7"/>
  <c r="V253" i="7" s="1"/>
  <c r="AU129" i="8"/>
  <c r="AJ129" i="8"/>
  <c r="Z129" i="8"/>
  <c r="AB129" i="8" s="1"/>
  <c r="Y129" i="8"/>
  <c r="AA129" i="8" s="1"/>
  <c r="S129" i="8"/>
  <c r="L205" i="2" l="1"/>
  <c r="E205" i="2"/>
  <c r="J181" i="10"/>
  <c r="G182" i="3"/>
  <c r="T181" i="3"/>
  <c r="AA181" i="3"/>
  <c r="K181" i="10" s="1"/>
  <c r="Y254" i="7"/>
  <c r="E254" i="8"/>
  <c r="E254" i="7"/>
  <c r="Z253" i="7"/>
  <c r="AA253" i="7" s="1"/>
  <c r="B253" i="7" s="1"/>
  <c r="B253" i="8" s="1"/>
  <c r="U253" i="8" s="1"/>
  <c r="W253" i="8" s="1"/>
  <c r="U253" i="7"/>
  <c r="AK129" i="8"/>
  <c r="AC129" i="8"/>
  <c r="T129" i="8"/>
  <c r="V129" i="8" s="1"/>
  <c r="H182" i="3" l="1"/>
  <c r="F205" i="2"/>
  <c r="E205" i="10"/>
  <c r="AB181" i="3"/>
  <c r="L181" i="10" s="1"/>
  <c r="B205" i="3"/>
  <c r="M254" i="7"/>
  <c r="X253" i="7"/>
  <c r="D254" i="7"/>
  <c r="AT129" i="8"/>
  <c r="AD129" i="8"/>
  <c r="G205" i="2" l="1"/>
  <c r="H205" i="2" s="1"/>
  <c r="D205" i="3" s="1"/>
  <c r="I205" i="2"/>
  <c r="I182" i="3"/>
  <c r="L182" i="3" s="1"/>
  <c r="M182" i="3"/>
  <c r="G205" i="10"/>
  <c r="AL129" i="8"/>
  <c r="AE129" i="8"/>
  <c r="C254" i="7"/>
  <c r="R254" i="7" s="1"/>
  <c r="AB253" i="7"/>
  <c r="H254" i="7"/>
  <c r="I254" i="7"/>
  <c r="N254" i="7"/>
  <c r="W254" i="7" s="1"/>
  <c r="F255" i="7" s="1"/>
  <c r="M205" i="2" l="1"/>
  <c r="J205" i="2"/>
  <c r="Q182" i="3"/>
  <c r="J182" i="3"/>
  <c r="S254" i="7"/>
  <c r="C254" i="8" s="1"/>
  <c r="AF129" i="8"/>
  <c r="AM129" i="8" s="1"/>
  <c r="AQ129" i="8" s="1"/>
  <c r="G130" i="8" s="1"/>
  <c r="AP129" i="8"/>
  <c r="F130" i="8" s="1"/>
  <c r="O255" i="7"/>
  <c r="J254" i="7"/>
  <c r="F205" i="10" l="1"/>
  <c r="C205" i="3"/>
  <c r="D205" i="10"/>
  <c r="B206" i="2"/>
  <c r="AC182" i="3"/>
  <c r="M182" i="10" s="1"/>
  <c r="K182" i="3"/>
  <c r="AG129" i="8"/>
  <c r="AH129" i="8" s="1"/>
  <c r="AN129" i="8" s="1"/>
  <c r="AR129" i="8" s="1"/>
  <c r="H130" i="8" s="1"/>
  <c r="K254" i="7"/>
  <c r="T254" i="7" s="1"/>
  <c r="D254" i="8" s="1"/>
  <c r="P255" i="7"/>
  <c r="Q255" i="7" s="1"/>
  <c r="C206" i="2"/>
  <c r="D206" i="2" l="1"/>
  <c r="K206" i="2"/>
  <c r="C206" i="10"/>
  <c r="U182" i="3"/>
  <c r="N182" i="3"/>
  <c r="I130" i="8"/>
  <c r="AO129" i="8"/>
  <c r="Y255" i="7"/>
  <c r="E255" i="8"/>
  <c r="L254" i="7"/>
  <c r="V254" i="7" s="1"/>
  <c r="E206" i="2"/>
  <c r="L206" i="2"/>
  <c r="O182" i="3"/>
  <c r="V182" i="3" l="1"/>
  <c r="Y182" i="3" s="1"/>
  <c r="X182" i="3"/>
  <c r="O130" i="8"/>
  <c r="J130" i="8"/>
  <c r="N130" i="8" s="1"/>
  <c r="AS129" i="8"/>
  <c r="Z254" i="7"/>
  <c r="AA254" i="7" s="1"/>
  <c r="B254" i="7" s="1"/>
  <c r="B254" i="8" s="1"/>
  <c r="U254" i="8" s="1"/>
  <c r="W254" i="8" s="1"/>
  <c r="E255" i="7"/>
  <c r="U254" i="7"/>
  <c r="F206" i="2"/>
  <c r="E206" i="10"/>
  <c r="B206" i="3"/>
  <c r="P182" i="3"/>
  <c r="R182" i="3"/>
  <c r="S182" i="3" s="1"/>
  <c r="R130" i="8" l="1"/>
  <c r="K130" i="8"/>
  <c r="M130" i="8" s="1"/>
  <c r="I182" i="10"/>
  <c r="F183" i="3"/>
  <c r="H182" i="10"/>
  <c r="E183" i="3"/>
  <c r="W182" i="3"/>
  <c r="Z182" i="3" s="1"/>
  <c r="M255" i="7"/>
  <c r="X254" i="7"/>
  <c r="D255" i="7"/>
  <c r="G206" i="2"/>
  <c r="T182" i="3"/>
  <c r="X130" i="8" l="1"/>
  <c r="P130" i="8"/>
  <c r="Q130" i="8" s="1"/>
  <c r="AI130" i="8"/>
  <c r="L130" i="8"/>
  <c r="J182" i="10"/>
  <c r="G183" i="3"/>
  <c r="AA182" i="3"/>
  <c r="K182" i="10" s="1"/>
  <c r="Z130" i="8"/>
  <c r="AB130" i="8" s="1"/>
  <c r="Y130" i="8"/>
  <c r="AA130" i="8" s="1"/>
  <c r="S130" i="8"/>
  <c r="AJ130" i="8"/>
  <c r="AU130" i="8"/>
  <c r="AB254" i="7"/>
  <c r="C255" i="7"/>
  <c r="R255" i="7" s="1"/>
  <c r="H255" i="7"/>
  <c r="I255" i="7"/>
  <c r="N255" i="7"/>
  <c r="I206" i="2"/>
  <c r="H206" i="2"/>
  <c r="AB182" i="3"/>
  <c r="L182" i="10" s="1"/>
  <c r="H183" i="3" l="1"/>
  <c r="AC130" i="8"/>
  <c r="T130" i="8"/>
  <c r="V130" i="8" s="1"/>
  <c r="AK130" i="8"/>
  <c r="W255" i="7"/>
  <c r="F256" i="7" s="1"/>
  <c r="S255" i="7"/>
  <c r="C255" i="8" s="1"/>
  <c r="J255" i="7"/>
  <c r="J206" i="2"/>
  <c r="M206" i="2"/>
  <c r="D206" i="3"/>
  <c r="G206" i="10"/>
  <c r="AD130" i="8" l="1"/>
  <c r="M183" i="3"/>
  <c r="I183" i="3"/>
  <c r="L183" i="3" s="1"/>
  <c r="AT130" i="8"/>
  <c r="O256" i="7"/>
  <c r="K255" i="7"/>
  <c r="B207" i="2"/>
  <c r="D206" i="10"/>
  <c r="C206" i="3"/>
  <c r="F206" i="10"/>
  <c r="AL130" i="8" l="1"/>
  <c r="J183" i="3"/>
  <c r="K183" i="3" s="1"/>
  <c r="AE130" i="8"/>
  <c r="Q183" i="3"/>
  <c r="C207" i="2"/>
  <c r="D207" i="2"/>
  <c r="L255" i="7"/>
  <c r="V255" i="7" s="1"/>
  <c r="T255" i="7"/>
  <c r="D255" i="8" s="1"/>
  <c r="P256" i="7"/>
  <c r="Q256" i="7" s="1"/>
  <c r="K207" i="2"/>
  <c r="C207" i="10"/>
  <c r="AP130" i="8"/>
  <c r="F131" i="8" s="1"/>
  <c r="AF130" i="8"/>
  <c r="AM130" i="8" s="1"/>
  <c r="AQ130" i="8" s="1"/>
  <c r="G131" i="8" s="1"/>
  <c r="U183" i="3" l="1"/>
  <c r="N183" i="3"/>
  <c r="AC183" i="3"/>
  <c r="M183" i="10" s="1"/>
  <c r="U255" i="7"/>
  <c r="E256" i="7"/>
  <c r="Z255" i="7"/>
  <c r="AA255" i="7" s="1"/>
  <c r="B255" i="7" s="1"/>
  <c r="B255" i="8" s="1"/>
  <c r="U255" i="8" s="1"/>
  <c r="W255" i="8" s="1"/>
  <c r="E207" i="2"/>
  <c r="L207" i="2"/>
  <c r="E256" i="8"/>
  <c r="Y256" i="7"/>
  <c r="F207" i="2"/>
  <c r="AG130" i="8"/>
  <c r="AH130" i="8" s="1"/>
  <c r="AN130" i="8" s="1"/>
  <c r="AR130" i="8" s="1"/>
  <c r="H131" i="8" s="1"/>
  <c r="D256" i="7" l="1"/>
  <c r="X255" i="7"/>
  <c r="C256" i="7" s="1"/>
  <c r="R256" i="7" s="1"/>
  <c r="M256" i="7"/>
  <c r="X183" i="3"/>
  <c r="O183" i="3"/>
  <c r="V183" i="3"/>
  <c r="Y183" i="3" s="1"/>
  <c r="H256" i="7"/>
  <c r="E207" i="10"/>
  <c r="B207" i="3"/>
  <c r="I256" i="7"/>
  <c r="AB255" i="7"/>
  <c r="P183" i="3"/>
  <c r="N256" i="7"/>
  <c r="W256" i="7" s="1"/>
  <c r="F257" i="7" s="1"/>
  <c r="G207" i="2"/>
  <c r="H207" i="2" s="1"/>
  <c r="AO130" i="8"/>
  <c r="I131" i="8"/>
  <c r="E184" i="3" l="1"/>
  <c r="H183" i="10"/>
  <c r="I183" i="10"/>
  <c r="F184" i="3"/>
  <c r="R183" i="3"/>
  <c r="S183" i="3" s="1"/>
  <c r="W183" i="3"/>
  <c r="Z183" i="3" s="1"/>
  <c r="J256" i="7"/>
  <c r="K256" i="7" s="1"/>
  <c r="S256" i="7"/>
  <c r="C256" i="8" s="1"/>
  <c r="O257" i="7"/>
  <c r="AS130" i="8"/>
  <c r="I207" i="2"/>
  <c r="D207" i="3"/>
  <c r="G207" i="10"/>
  <c r="J131" i="8"/>
  <c r="N131" i="8" s="1"/>
  <c r="O131" i="8"/>
  <c r="G184" i="3"/>
  <c r="J183" i="10"/>
  <c r="AA183" i="3"/>
  <c r="K183" i="10" s="1"/>
  <c r="T183" i="3" l="1"/>
  <c r="P257" i="7"/>
  <c r="Q257" i="7" s="1"/>
  <c r="T256" i="7"/>
  <c r="D256" i="8" s="1"/>
  <c r="L256" i="7"/>
  <c r="V256" i="7" s="1"/>
  <c r="Z256" i="7"/>
  <c r="AA256" i="7" s="1"/>
  <c r="B256" i="7" s="1"/>
  <c r="B256" i="8" s="1"/>
  <c r="U256" i="8" s="1"/>
  <c r="M207" i="2"/>
  <c r="J207" i="2"/>
  <c r="R131" i="8"/>
  <c r="K131" i="8"/>
  <c r="M131" i="8" s="1"/>
  <c r="H184" i="3"/>
  <c r="AB183" i="3" l="1"/>
  <c r="L183" i="10" s="1"/>
  <c r="E257" i="7"/>
  <c r="U256" i="7"/>
  <c r="B208" i="2"/>
  <c r="Y257" i="7"/>
  <c r="E257" i="8"/>
  <c r="W256" i="8"/>
  <c r="M257" i="7"/>
  <c r="D257" i="7"/>
  <c r="X256" i="7"/>
  <c r="F207" i="10"/>
  <c r="D207" i="10"/>
  <c r="C207" i="3"/>
  <c r="M184" i="3"/>
  <c r="X131" i="8"/>
  <c r="AI131" i="8"/>
  <c r="AJ131" i="8" s="1"/>
  <c r="P131" i="8"/>
  <c r="Q131" i="8" s="1"/>
  <c r="S131" i="8" s="1"/>
  <c r="L131" i="8"/>
  <c r="I184" i="3"/>
  <c r="L184" i="3" s="1"/>
  <c r="K208" i="2" l="1"/>
  <c r="C208" i="10"/>
  <c r="D208" i="2"/>
  <c r="C208" i="2"/>
  <c r="H257" i="7"/>
  <c r="I257" i="7"/>
  <c r="AB256" i="7"/>
  <c r="C257" i="7"/>
  <c r="R257" i="7" s="1"/>
  <c r="N257" i="7"/>
  <c r="W257" i="7" s="1"/>
  <c r="F258" i="7" s="1"/>
  <c r="AU131" i="8"/>
  <c r="T131" i="8"/>
  <c r="V131" i="8" s="1"/>
  <c r="Y131" i="8"/>
  <c r="AA131" i="8" s="1"/>
  <c r="Z131" i="8"/>
  <c r="AB131" i="8" s="1"/>
  <c r="AK131" i="8"/>
  <c r="Q184" i="3"/>
  <c r="J184" i="3"/>
  <c r="K184" i="3" s="1"/>
  <c r="L208" i="2" l="1"/>
  <c r="E208" i="2"/>
  <c r="S257" i="7"/>
  <c r="C257" i="8" s="1"/>
  <c r="O258" i="7"/>
  <c r="J257" i="7"/>
  <c r="AT131" i="8"/>
  <c r="AC131" i="8"/>
  <c r="AC184" i="3"/>
  <c r="M184" i="10" s="1"/>
  <c r="U184" i="3"/>
  <c r="N184" i="3"/>
  <c r="F208" i="2" l="1"/>
  <c r="E208" i="10"/>
  <c r="B208" i="3"/>
  <c r="K257" i="7"/>
  <c r="T257" i="7" s="1"/>
  <c r="D257" i="8" s="1"/>
  <c r="P258" i="7"/>
  <c r="Q258" i="7" s="1"/>
  <c r="G208" i="2"/>
  <c r="H208" i="2" s="1"/>
  <c r="I208" i="2"/>
  <c r="AD131" i="8"/>
  <c r="V184" i="3"/>
  <c r="Y184" i="3" s="1"/>
  <c r="O184" i="3"/>
  <c r="X184" i="3"/>
  <c r="L257" i="7" l="1"/>
  <c r="V257" i="7" s="1"/>
  <c r="E258" i="8"/>
  <c r="Y258" i="7"/>
  <c r="G208" i="10"/>
  <c r="D208" i="3"/>
  <c r="J208" i="2"/>
  <c r="M208" i="2"/>
  <c r="AL131" i="8"/>
  <c r="AP131" i="8" s="1"/>
  <c r="F132" i="8" s="1"/>
  <c r="AE131" i="8"/>
  <c r="P184" i="3"/>
  <c r="I184" i="10"/>
  <c r="F185" i="3"/>
  <c r="R184" i="3"/>
  <c r="S184" i="3" s="1"/>
  <c r="H184" i="10"/>
  <c r="E185" i="3"/>
  <c r="W184" i="3"/>
  <c r="Z184" i="3" s="1"/>
  <c r="E258" i="7" l="1"/>
  <c r="U257" i="7"/>
  <c r="Z257" i="7"/>
  <c r="AA257" i="7" s="1"/>
  <c r="B257" i="7" s="1"/>
  <c r="B257" i="8" s="1"/>
  <c r="U257" i="8" s="1"/>
  <c r="W257" i="8" s="1"/>
  <c r="D208" i="10"/>
  <c r="B209" i="2"/>
  <c r="C208" i="3"/>
  <c r="F208" i="10"/>
  <c r="AF131" i="8"/>
  <c r="AM131" i="8" s="1"/>
  <c r="G185" i="3"/>
  <c r="J184" i="10"/>
  <c r="T184" i="3"/>
  <c r="AA184" i="3"/>
  <c r="K184" i="10" s="1"/>
  <c r="D258" i="7" l="1"/>
  <c r="M258" i="7"/>
  <c r="X257" i="7"/>
  <c r="D209" i="2"/>
  <c r="C209" i="10"/>
  <c r="K209" i="2"/>
  <c r="C209" i="2"/>
  <c r="AQ131" i="8"/>
  <c r="G132" i="8" s="1"/>
  <c r="AG131" i="8"/>
  <c r="AH131" i="8" s="1"/>
  <c r="AN131" i="8" s="1"/>
  <c r="H185" i="3"/>
  <c r="AB184" i="3"/>
  <c r="L184" i="10" s="1"/>
  <c r="H258" i="7" l="1"/>
  <c r="I258" i="7"/>
  <c r="M185" i="3"/>
  <c r="AB257" i="7"/>
  <c r="C258" i="7"/>
  <c r="R258" i="7" s="1"/>
  <c r="N258" i="7"/>
  <c r="W258" i="7" s="1"/>
  <c r="F259" i="7" s="1"/>
  <c r="L209" i="2"/>
  <c r="E209" i="2"/>
  <c r="AR131" i="8"/>
  <c r="H132" i="8" s="1"/>
  <c r="AO131" i="8"/>
  <c r="I185" i="3"/>
  <c r="L185" i="3" s="1"/>
  <c r="O259" i="7" l="1"/>
  <c r="P259" i="7"/>
  <c r="Q259" i="7" s="1"/>
  <c r="J258" i="7"/>
  <c r="S258" i="7"/>
  <c r="C258" i="8" s="1"/>
  <c r="F209" i="2"/>
  <c r="E209" i="10"/>
  <c r="B209" i="3"/>
  <c r="I132" i="8"/>
  <c r="AS131" i="8"/>
  <c r="Q185" i="3"/>
  <c r="J185" i="3"/>
  <c r="K185" i="3" s="1"/>
  <c r="G209" i="2" l="1"/>
  <c r="Y259" i="7"/>
  <c r="E259" i="8"/>
  <c r="K258" i="7"/>
  <c r="T258" i="7" s="1"/>
  <c r="D258" i="8" s="1"/>
  <c r="I209" i="2"/>
  <c r="J132" i="8"/>
  <c r="N132" i="8" s="1"/>
  <c r="R132" i="8" s="1"/>
  <c r="O132" i="8"/>
  <c r="U185" i="3"/>
  <c r="N185" i="3"/>
  <c r="AC185" i="3"/>
  <c r="M185" i="10" s="1"/>
  <c r="H209" i="2" l="1"/>
  <c r="L258" i="7"/>
  <c r="V258" i="7" s="1"/>
  <c r="U258" i="7"/>
  <c r="D209" i="3"/>
  <c r="G209" i="10"/>
  <c r="M209" i="2"/>
  <c r="J209" i="2"/>
  <c r="D209" i="10" s="1"/>
  <c r="X258" i="7"/>
  <c r="K132" i="8"/>
  <c r="M132" i="8" s="1"/>
  <c r="X185" i="3"/>
  <c r="V185" i="3"/>
  <c r="Y185" i="3" s="1"/>
  <c r="O185" i="3"/>
  <c r="Z258" i="7" l="1"/>
  <c r="AA258" i="7" s="1"/>
  <c r="B258" i="7" s="1"/>
  <c r="B258" i="8" s="1"/>
  <c r="U258" i="8" s="1"/>
  <c r="W258" i="8" s="1"/>
  <c r="E259" i="7"/>
  <c r="M259" i="7" s="1"/>
  <c r="AI132" i="8"/>
  <c r="D259" i="7"/>
  <c r="C209" i="3"/>
  <c r="B210" i="2"/>
  <c r="F209" i="10"/>
  <c r="C210" i="10"/>
  <c r="N259" i="7"/>
  <c r="W259" i="7" s="1"/>
  <c r="F260" i="7" s="1"/>
  <c r="H259" i="7"/>
  <c r="I259" i="7"/>
  <c r="AB258" i="7"/>
  <c r="C259" i="7"/>
  <c r="R259" i="7" s="1"/>
  <c r="X132" i="8"/>
  <c r="L132" i="8"/>
  <c r="D210" i="2"/>
  <c r="P132" i="8"/>
  <c r="Q132" i="8" s="1"/>
  <c r="AJ132" i="8"/>
  <c r="P185" i="3"/>
  <c r="E186" i="3"/>
  <c r="H185" i="10"/>
  <c r="I185" i="10"/>
  <c r="F186" i="3"/>
  <c r="R185" i="3"/>
  <c r="S185" i="3" s="1"/>
  <c r="W185" i="3"/>
  <c r="Z185" i="3" s="1"/>
  <c r="K210" i="2" l="1"/>
  <c r="C210" i="2"/>
  <c r="AU132" i="8"/>
  <c r="O260" i="7"/>
  <c r="Y132" i="8"/>
  <c r="AA132" i="8" s="1"/>
  <c r="Z132" i="8"/>
  <c r="AB132" i="8" s="1"/>
  <c r="P260" i="7"/>
  <c r="Q260" i="7" s="1"/>
  <c r="S259" i="7"/>
  <c r="C259" i="8" s="1"/>
  <c r="L210" i="2"/>
  <c r="J259" i="7"/>
  <c r="S132" i="8"/>
  <c r="AK132" i="8"/>
  <c r="G186" i="3"/>
  <c r="J185" i="10"/>
  <c r="T185" i="3"/>
  <c r="AA185" i="3"/>
  <c r="K185" i="10" s="1"/>
  <c r="E210" i="2" l="1"/>
  <c r="E210" i="10"/>
  <c r="B210" i="3"/>
  <c r="AC132" i="8"/>
  <c r="E260" i="8"/>
  <c r="Y260" i="7"/>
  <c r="K259" i="7"/>
  <c r="F210" i="2"/>
  <c r="T132" i="8"/>
  <c r="V132" i="8" s="1"/>
  <c r="AT132" i="8" s="1"/>
  <c r="H186" i="3"/>
  <c r="AB185" i="3"/>
  <c r="L185" i="10" s="1"/>
  <c r="AD132" i="8" l="1"/>
  <c r="AL132" i="8" s="1"/>
  <c r="T259" i="7"/>
  <c r="D259" i="8" s="1"/>
  <c r="L259" i="7"/>
  <c r="V259" i="7" s="1"/>
  <c r="U259" i="7"/>
  <c r="G210" i="2"/>
  <c r="H210" i="2" s="1"/>
  <c r="M186" i="3"/>
  <c r="I186" i="3"/>
  <c r="L186" i="3" s="1"/>
  <c r="E260" i="7" l="1"/>
  <c r="Z259" i="7"/>
  <c r="AA259" i="7" s="1"/>
  <c r="B259" i="7" s="1"/>
  <c r="B259" i="8" s="1"/>
  <c r="U259" i="8" s="1"/>
  <c r="D260" i="7"/>
  <c r="X259" i="7"/>
  <c r="AE132" i="8"/>
  <c r="AP132" i="8"/>
  <c r="F133" i="8" s="1"/>
  <c r="G210" i="10"/>
  <c r="I210" i="2"/>
  <c r="D210" i="3"/>
  <c r="M210" i="2"/>
  <c r="J210" i="2"/>
  <c r="J186" i="3"/>
  <c r="K186" i="3" s="1"/>
  <c r="Q186" i="3"/>
  <c r="H260" i="7" l="1"/>
  <c r="C260" i="7"/>
  <c r="R260" i="7" s="1"/>
  <c r="M260" i="7"/>
  <c r="I260" i="7"/>
  <c r="AB259" i="7"/>
  <c r="W259" i="8"/>
  <c r="AF132" i="8"/>
  <c r="AM132" i="8" s="1"/>
  <c r="AQ132" i="8" s="1"/>
  <c r="G133" i="8" s="1"/>
  <c r="U186" i="3"/>
  <c r="N186" i="3"/>
  <c r="C210" i="3"/>
  <c r="F210" i="10"/>
  <c r="B211" i="2"/>
  <c r="D210" i="10"/>
  <c r="AC186" i="3"/>
  <c r="M186" i="10" s="1"/>
  <c r="AG132" i="8" l="1"/>
  <c r="AH132" i="8" s="1"/>
  <c r="AN132" i="8" s="1"/>
  <c r="AR132" i="8" s="1"/>
  <c r="H133" i="8" s="1"/>
  <c r="I133" i="8" s="1"/>
  <c r="S260" i="7"/>
  <c r="C260" i="8" s="1"/>
  <c r="J260" i="7"/>
  <c r="N260" i="7"/>
  <c r="W260" i="7" s="1"/>
  <c r="F261" i="7" s="1"/>
  <c r="V186" i="3"/>
  <c r="Y186" i="3" s="1"/>
  <c r="X186" i="3"/>
  <c r="O186" i="3"/>
  <c r="C211" i="10"/>
  <c r="K211" i="2"/>
  <c r="D211" i="2"/>
  <c r="L211" i="2" s="1"/>
  <c r="C211" i="2"/>
  <c r="E211" i="2" s="1"/>
  <c r="AO132" i="8" l="1"/>
  <c r="J133" i="8"/>
  <c r="N133" i="8" s="1"/>
  <c r="O133" i="8"/>
  <c r="K260" i="7"/>
  <c r="O261" i="7"/>
  <c r="P261" i="7"/>
  <c r="Q261" i="7" s="1"/>
  <c r="K133" i="8"/>
  <c r="M133" i="8" s="1"/>
  <c r="AS132" i="8"/>
  <c r="L260" i="7"/>
  <c r="V260" i="7" s="1"/>
  <c r="R133" i="8"/>
  <c r="T260" i="7"/>
  <c r="D260" i="8" s="1"/>
  <c r="Y261" i="7"/>
  <c r="F187" i="3"/>
  <c r="H186" i="10"/>
  <c r="E187" i="3"/>
  <c r="W186" i="3"/>
  <c r="Z186" i="3" s="1"/>
  <c r="I186" i="10"/>
  <c r="P186" i="3"/>
  <c r="R186" i="3"/>
  <c r="S186" i="3" s="1"/>
  <c r="B211" i="3"/>
  <c r="E211" i="10"/>
  <c r="F211" i="2"/>
  <c r="E261" i="8" l="1"/>
  <c r="L133" i="8"/>
  <c r="X133" i="8"/>
  <c r="P133" i="8"/>
  <c r="Q133" i="8" s="1"/>
  <c r="AI133" i="8"/>
  <c r="Z260" i="7"/>
  <c r="AA260" i="7" s="1"/>
  <c r="B260" i="7" s="1"/>
  <c r="B260" i="8" s="1"/>
  <c r="U260" i="8" s="1"/>
  <c r="W260" i="8" s="1"/>
  <c r="E261" i="7"/>
  <c r="U260" i="7"/>
  <c r="M261" i="7"/>
  <c r="X260" i="7"/>
  <c r="D261" i="7"/>
  <c r="AJ133" i="8"/>
  <c r="G187" i="3"/>
  <c r="J186" i="10"/>
  <c r="AA186" i="3"/>
  <c r="K186" i="10" s="1"/>
  <c r="S133" i="8"/>
  <c r="T186" i="3"/>
  <c r="G211" i="2"/>
  <c r="H211" i="2" s="1"/>
  <c r="Z133" i="8" l="1"/>
  <c r="AB133" i="8" s="1"/>
  <c r="Y133" i="8"/>
  <c r="AA133" i="8" s="1"/>
  <c r="AU133" i="8"/>
  <c r="AB260" i="7"/>
  <c r="C261" i="7"/>
  <c r="R261" i="7" s="1"/>
  <c r="H261" i="7"/>
  <c r="I261" i="7"/>
  <c r="I211" i="2"/>
  <c r="N261" i="7"/>
  <c r="W261" i="7" s="1"/>
  <c r="F262" i="7" s="1"/>
  <c r="AK133" i="8"/>
  <c r="H187" i="3"/>
  <c r="AC133" i="8"/>
  <c r="T133" i="8"/>
  <c r="V133" i="8" s="1"/>
  <c r="AT133" i="8" s="1"/>
  <c r="AB186" i="3"/>
  <c r="L186" i="10" s="1"/>
  <c r="D211" i="3"/>
  <c r="G211" i="10"/>
  <c r="J261" i="7" l="1"/>
  <c r="O262" i="7"/>
  <c r="P262" i="7"/>
  <c r="Q262" i="7" s="1"/>
  <c r="K261" i="7"/>
  <c r="M211" i="2"/>
  <c r="J211" i="2"/>
  <c r="S261" i="7"/>
  <c r="C261" i="8" s="1"/>
  <c r="AD133" i="8"/>
  <c r="M187" i="3"/>
  <c r="I187" i="3"/>
  <c r="L187" i="3" s="1"/>
  <c r="F211" i="10" l="1"/>
  <c r="C211" i="3"/>
  <c r="D211" i="10"/>
  <c r="B212" i="2"/>
  <c r="Y262" i="7"/>
  <c r="E262" i="8"/>
  <c r="L261" i="7"/>
  <c r="T261" i="7"/>
  <c r="D261" i="8" s="1"/>
  <c r="AL133" i="8"/>
  <c r="AE133" i="8"/>
  <c r="Q187" i="3"/>
  <c r="J187" i="3"/>
  <c r="K187" i="3" s="1"/>
  <c r="K212" i="2" l="1"/>
  <c r="C212" i="2"/>
  <c r="C212" i="10"/>
  <c r="D212" i="2"/>
  <c r="AP133" i="8"/>
  <c r="F134" i="8" s="1"/>
  <c r="U261" i="7"/>
  <c r="V261" i="7"/>
  <c r="AF133" i="8"/>
  <c r="AM133" i="8" s="1"/>
  <c r="AQ133" i="8" s="1"/>
  <c r="G134" i="8" s="1"/>
  <c r="N187" i="3"/>
  <c r="U187" i="3"/>
  <c r="AC187" i="3"/>
  <c r="M187" i="10" s="1"/>
  <c r="L212" i="2" l="1"/>
  <c r="E212" i="2"/>
  <c r="F212" i="2" s="1"/>
  <c r="X261" i="7"/>
  <c r="D262" i="7"/>
  <c r="E262" i="7"/>
  <c r="Z261" i="7"/>
  <c r="AA261" i="7" s="1"/>
  <c r="B261" i="7" s="1"/>
  <c r="B261" i="8" s="1"/>
  <c r="U261" i="8" s="1"/>
  <c r="W261" i="8" s="1"/>
  <c r="AG133" i="8"/>
  <c r="AH133" i="8" s="1"/>
  <c r="AN133" i="8" s="1"/>
  <c r="AR133" i="8" s="1"/>
  <c r="H134" i="8" s="1"/>
  <c r="V187" i="3"/>
  <c r="Y187" i="3" s="1"/>
  <c r="O187" i="3"/>
  <c r="X187" i="3"/>
  <c r="P187" i="3"/>
  <c r="I187" i="10"/>
  <c r="B212" i="3" l="1"/>
  <c r="E212" i="10"/>
  <c r="AO133" i="8"/>
  <c r="G212" i="2"/>
  <c r="I134" i="8"/>
  <c r="AB261" i="7"/>
  <c r="C262" i="7"/>
  <c r="R262" i="7" s="1"/>
  <c r="H262" i="7"/>
  <c r="I262" i="7"/>
  <c r="M262" i="7"/>
  <c r="F188" i="3"/>
  <c r="R187" i="3"/>
  <c r="S187" i="3" s="1"/>
  <c r="H187" i="10"/>
  <c r="E188" i="3"/>
  <c r="W187" i="3"/>
  <c r="Z187" i="3" s="1"/>
  <c r="AS133" i="8" l="1"/>
  <c r="J187" i="10"/>
  <c r="I212" i="2"/>
  <c r="H212" i="2"/>
  <c r="J134" i="8"/>
  <c r="N134" i="8" s="1"/>
  <c r="O134" i="8"/>
  <c r="S262" i="7"/>
  <c r="C262" i="8" s="1"/>
  <c r="G188" i="3"/>
  <c r="AA187" i="3"/>
  <c r="K187" i="10" s="1"/>
  <c r="J262" i="7"/>
  <c r="N262" i="7"/>
  <c r="W262" i="7" s="1"/>
  <c r="F263" i="7" s="1"/>
  <c r="T187" i="3"/>
  <c r="AB187" i="3"/>
  <c r="L187" i="10" s="1"/>
  <c r="K134" i="8" l="1"/>
  <c r="M134" i="8" s="1"/>
  <c r="G212" i="10"/>
  <c r="M212" i="2"/>
  <c r="J212" i="2"/>
  <c r="D212" i="3"/>
  <c r="R134" i="8"/>
  <c r="H188" i="3"/>
  <c r="K262" i="7"/>
  <c r="L262" i="7"/>
  <c r="V262" i="7" s="1"/>
  <c r="O263" i="7"/>
  <c r="P263" i="7"/>
  <c r="Q263" i="7" s="1"/>
  <c r="U262" i="7" l="1"/>
  <c r="F212" i="10"/>
  <c r="C212" i="3"/>
  <c r="D212" i="10"/>
  <c r="B213" i="2"/>
  <c r="M188" i="3"/>
  <c r="AI134" i="8"/>
  <c r="P134" i="8"/>
  <c r="Q134" i="8" s="1"/>
  <c r="X134" i="8"/>
  <c r="L134" i="8"/>
  <c r="I188" i="3"/>
  <c r="L188" i="3" s="1"/>
  <c r="T262" i="7"/>
  <c r="D262" i="8" s="1"/>
  <c r="Z262" i="7"/>
  <c r="AA262" i="7" s="1"/>
  <c r="B262" i="7" s="1"/>
  <c r="B262" i="8" s="1"/>
  <c r="U262" i="8" s="1"/>
  <c r="E263" i="7"/>
  <c r="E263" i="8"/>
  <c r="Y263" i="7"/>
  <c r="X262" i="7" l="1"/>
  <c r="C263" i="7" s="1"/>
  <c r="R263" i="7" s="1"/>
  <c r="K213" i="2"/>
  <c r="D213" i="2"/>
  <c r="C213" i="10"/>
  <c r="C213" i="2"/>
  <c r="AU134" i="8"/>
  <c r="D263" i="7"/>
  <c r="S134" i="8"/>
  <c r="Z134" i="8"/>
  <c r="AB134" i="8" s="1"/>
  <c r="Y134" i="8"/>
  <c r="AA134" i="8" s="1"/>
  <c r="AJ134" i="8"/>
  <c r="W262" i="8"/>
  <c r="Q188" i="3"/>
  <c r="J188" i="3"/>
  <c r="K188" i="3" s="1"/>
  <c r="M263" i="7"/>
  <c r="I263" i="7"/>
  <c r="S263" i="7" s="1"/>
  <c r="C263" i="8" s="1"/>
  <c r="AB262" i="7"/>
  <c r="L213" i="2"/>
  <c r="E213" i="2" l="1"/>
  <c r="AK134" i="8"/>
  <c r="AC134" i="8"/>
  <c r="T134" i="8"/>
  <c r="V134" i="8" s="1"/>
  <c r="H263" i="7"/>
  <c r="AC188" i="3"/>
  <c r="M188" i="10" s="1"/>
  <c r="U188" i="3"/>
  <c r="N188" i="3"/>
  <c r="N263" i="7"/>
  <c r="W263" i="7" s="1"/>
  <c r="F264" i="7" s="1"/>
  <c r="E213" i="10"/>
  <c r="B213" i="3"/>
  <c r="AT134" i="8" l="1"/>
  <c r="F213" i="2"/>
  <c r="AD134" i="8"/>
  <c r="J263" i="7"/>
  <c r="O188" i="3"/>
  <c r="X188" i="3"/>
  <c r="V188" i="3"/>
  <c r="Y188" i="3" s="1"/>
  <c r="O264" i="7"/>
  <c r="K263" i="7" l="1"/>
  <c r="P188" i="3"/>
  <c r="G213" i="2"/>
  <c r="H213" i="2" s="1"/>
  <c r="AE134" i="8"/>
  <c r="E189" i="3"/>
  <c r="AL134" i="8"/>
  <c r="H188" i="10"/>
  <c r="R188" i="3"/>
  <c r="S188" i="3" s="1"/>
  <c r="D213" i="3"/>
  <c r="I188" i="10"/>
  <c r="F189" i="3"/>
  <c r="W188" i="3"/>
  <c r="P264" i="7"/>
  <c r="Q264" i="7" s="1"/>
  <c r="AP134" i="8"/>
  <c r="F135" i="8" s="1"/>
  <c r="L263" i="7" l="1"/>
  <c r="V263" i="7" s="1"/>
  <c r="T263" i="7"/>
  <c r="D263" i="8" s="1"/>
  <c r="U263" i="7"/>
  <c r="G213" i="10"/>
  <c r="I213" i="2"/>
  <c r="AF134" i="8"/>
  <c r="AM134" i="8" s="1"/>
  <c r="AQ134" i="8" s="1"/>
  <c r="G135" i="8" s="1"/>
  <c r="T188" i="3"/>
  <c r="AA188" i="3"/>
  <c r="K188" i="10" s="1"/>
  <c r="Z188" i="3"/>
  <c r="M213" i="2"/>
  <c r="J213" i="2"/>
  <c r="Y264" i="7"/>
  <c r="E264" i="8"/>
  <c r="D264" i="7"/>
  <c r="X263" i="7"/>
  <c r="AG134" i="8"/>
  <c r="AH134" i="8" s="1"/>
  <c r="AN134" i="8" s="1"/>
  <c r="E264" i="7" l="1"/>
  <c r="M264" i="7" s="1"/>
  <c r="Z263" i="7"/>
  <c r="AA263" i="7" s="1"/>
  <c r="B263" i="7" s="1"/>
  <c r="B263" i="8" s="1"/>
  <c r="U263" i="8" s="1"/>
  <c r="W263" i="8" s="1"/>
  <c r="G189" i="3"/>
  <c r="J188" i="10"/>
  <c r="AB188" i="3"/>
  <c r="L188" i="10" s="1"/>
  <c r="F213" i="10"/>
  <c r="C213" i="3"/>
  <c r="D213" i="10"/>
  <c r="B214" i="2"/>
  <c r="H264" i="7"/>
  <c r="I264" i="7"/>
  <c r="AB263" i="7"/>
  <c r="C264" i="7"/>
  <c r="R264" i="7" s="1"/>
  <c r="S264" i="7" s="1"/>
  <c r="C264" i="8" s="1"/>
  <c r="N264" i="7"/>
  <c r="W264" i="7" s="1"/>
  <c r="F265" i="7" s="1"/>
  <c r="AO134" i="8"/>
  <c r="AR134" i="8"/>
  <c r="H135" i="8" s="1"/>
  <c r="H189" i="3" l="1"/>
  <c r="J264" i="7"/>
  <c r="K264" i="7" s="1"/>
  <c r="T264" i="7" s="1"/>
  <c r="D264" i="8" s="1"/>
  <c r="C214" i="2"/>
  <c r="D214" i="2"/>
  <c r="K214" i="2"/>
  <c r="C214" i="10"/>
  <c r="M189" i="3"/>
  <c r="O265" i="7"/>
  <c r="I135" i="8"/>
  <c r="AS134" i="8"/>
  <c r="I189" i="3" l="1"/>
  <c r="L189" i="3" s="1"/>
  <c r="L264" i="7"/>
  <c r="V264" i="7" s="1"/>
  <c r="P265" i="7"/>
  <c r="Q265" i="7" s="1"/>
  <c r="E214" i="2"/>
  <c r="F214" i="2" s="1"/>
  <c r="L214" i="2"/>
  <c r="O135" i="8"/>
  <c r="J135" i="8"/>
  <c r="N135" i="8" s="1"/>
  <c r="Q189" i="3"/>
  <c r="J189" i="3"/>
  <c r="K189" i="3" s="1"/>
  <c r="E265" i="7" l="1"/>
  <c r="M265" i="7" s="1"/>
  <c r="Z264" i="7"/>
  <c r="AA264" i="7" s="1"/>
  <c r="B264" i="7" s="1"/>
  <c r="B264" i="8" s="1"/>
  <c r="U264" i="8" s="1"/>
  <c r="W264" i="8" s="1"/>
  <c r="U264" i="7"/>
  <c r="E214" i="10"/>
  <c r="Y265" i="7"/>
  <c r="E265" i="8"/>
  <c r="D265" i="7"/>
  <c r="G214" i="2"/>
  <c r="H214" i="2" s="1"/>
  <c r="B214" i="3"/>
  <c r="R135" i="8"/>
  <c r="K135" i="8"/>
  <c r="U189" i="3"/>
  <c r="N189" i="3"/>
  <c r="AC189" i="3"/>
  <c r="M189" i="10" s="1"/>
  <c r="X264" i="7" l="1"/>
  <c r="N265" i="7"/>
  <c r="G214" i="10"/>
  <c r="D214" i="3"/>
  <c r="AB264" i="7"/>
  <c r="I265" i="7"/>
  <c r="I214" i="2"/>
  <c r="C265" i="7"/>
  <c r="R265" i="7" s="1"/>
  <c r="H265" i="7"/>
  <c r="W265" i="7"/>
  <c r="F266" i="7" s="1"/>
  <c r="J265" i="7"/>
  <c r="M135" i="8"/>
  <c r="L135" i="8"/>
  <c r="V189" i="3"/>
  <c r="Y189" i="3" s="1"/>
  <c r="O189" i="3"/>
  <c r="X189" i="3"/>
  <c r="S265" i="7" l="1"/>
  <c r="C265" i="8" s="1"/>
  <c r="J214" i="2"/>
  <c r="M214" i="2"/>
  <c r="O266" i="7"/>
  <c r="K265" i="7"/>
  <c r="P189" i="3"/>
  <c r="AU135" i="8"/>
  <c r="AI135" i="8"/>
  <c r="P135" i="8"/>
  <c r="Q135" i="8" s="1"/>
  <c r="X135" i="8"/>
  <c r="W189" i="3"/>
  <c r="Z189" i="3" s="1"/>
  <c r="I189" i="10"/>
  <c r="F190" i="3"/>
  <c r="R189" i="3"/>
  <c r="S189" i="3" s="1"/>
  <c r="H189" i="10"/>
  <c r="E190" i="3"/>
  <c r="D214" i="10" l="1"/>
  <c r="B215" i="2"/>
  <c r="F214" i="10"/>
  <c r="C214" i="3"/>
  <c r="P266" i="7"/>
  <c r="Q266" i="7" s="1"/>
  <c r="T265" i="7"/>
  <c r="D265" i="8" s="1"/>
  <c r="L265" i="7"/>
  <c r="V265" i="7" s="1"/>
  <c r="J189" i="10"/>
  <c r="G190" i="3"/>
  <c r="AJ135" i="8"/>
  <c r="S135" i="8"/>
  <c r="Y135" i="8"/>
  <c r="AA135" i="8" s="1"/>
  <c r="Z135" i="8"/>
  <c r="AB135" i="8" s="1"/>
  <c r="AA189" i="3"/>
  <c r="K189" i="10" s="1"/>
  <c r="T189" i="3"/>
  <c r="C215" i="2" l="1"/>
  <c r="E215" i="2" s="1"/>
  <c r="C215" i="10"/>
  <c r="K215" i="2"/>
  <c r="D215" i="2"/>
  <c r="L215" i="2" s="1"/>
  <c r="Z265" i="7"/>
  <c r="AA265" i="7" s="1"/>
  <c r="B265" i="7" s="1"/>
  <c r="B265" i="8" s="1"/>
  <c r="U265" i="8" s="1"/>
  <c r="E266" i="7"/>
  <c r="M266" i="7" s="1"/>
  <c r="U265" i="7"/>
  <c r="Y266" i="7"/>
  <c r="E266" i="8"/>
  <c r="H190" i="3"/>
  <c r="AK135" i="8"/>
  <c r="AC135" i="8"/>
  <c r="T135" i="8"/>
  <c r="V135" i="8" s="1"/>
  <c r="AT135" i="8" s="1"/>
  <c r="AB189" i="3"/>
  <c r="L189" i="10" s="1"/>
  <c r="E215" i="10" l="1"/>
  <c r="F215" i="2"/>
  <c r="B215" i="3"/>
  <c r="N266" i="7"/>
  <c r="W266" i="7" s="1"/>
  <c r="F267" i="7" s="1"/>
  <c r="D266" i="7"/>
  <c r="X265" i="7"/>
  <c r="W265" i="8"/>
  <c r="I190" i="3"/>
  <c r="L190" i="3" s="1"/>
  <c r="M190" i="3"/>
  <c r="AD135" i="8"/>
  <c r="G215" i="2" l="1"/>
  <c r="H215" i="2" s="1"/>
  <c r="O267" i="7"/>
  <c r="H266" i="7"/>
  <c r="I266" i="7"/>
  <c r="AB265" i="7"/>
  <c r="C266" i="7"/>
  <c r="R266" i="7" s="1"/>
  <c r="Q190" i="3"/>
  <c r="J190" i="3"/>
  <c r="K190" i="3" s="1"/>
  <c r="AE135" i="8"/>
  <c r="AL135" i="8"/>
  <c r="U190" i="3"/>
  <c r="G215" i="10" l="1"/>
  <c r="I215" i="2"/>
  <c r="J215" i="2" s="1"/>
  <c r="D215" i="3"/>
  <c r="M215" i="2"/>
  <c r="B216" i="2"/>
  <c r="D215" i="10"/>
  <c r="P267" i="7"/>
  <c r="Q267" i="7" s="1"/>
  <c r="J266" i="7"/>
  <c r="S266" i="7"/>
  <c r="C266" i="8" s="1"/>
  <c r="N190" i="3"/>
  <c r="AC190" i="3"/>
  <c r="M190" i="10" s="1"/>
  <c r="AF135" i="8"/>
  <c r="AM135" i="8" s="1"/>
  <c r="AQ135" i="8" s="1"/>
  <c r="G136" i="8" s="1"/>
  <c r="AP135" i="8"/>
  <c r="F136" i="8" s="1"/>
  <c r="X190" i="3"/>
  <c r="V190" i="3"/>
  <c r="Y190" i="3" s="1"/>
  <c r="F215" i="10" l="1"/>
  <c r="C215" i="3"/>
  <c r="C216" i="10"/>
  <c r="D216" i="2"/>
  <c r="K216" i="2"/>
  <c r="C216" i="2"/>
  <c r="E216" i="2" s="1"/>
  <c r="E267" i="8"/>
  <c r="Y267" i="7"/>
  <c r="K266" i="7"/>
  <c r="O190" i="3"/>
  <c r="E191" i="3"/>
  <c r="H190" i="10"/>
  <c r="AG135" i="8"/>
  <c r="AH135" i="8" s="1"/>
  <c r="AN135" i="8" s="1"/>
  <c r="AR135" i="8" s="1"/>
  <c r="H136" i="8" s="1"/>
  <c r="I190" i="10"/>
  <c r="F191" i="3"/>
  <c r="W190" i="3"/>
  <c r="Z190" i="3" s="1"/>
  <c r="F216" i="2" l="1"/>
  <c r="L216" i="2"/>
  <c r="T266" i="7"/>
  <c r="D266" i="8" s="1"/>
  <c r="L266" i="7"/>
  <c r="V266" i="7" s="1"/>
  <c r="R190" i="3"/>
  <c r="S190" i="3" s="1"/>
  <c r="P190" i="3"/>
  <c r="I136" i="8"/>
  <c r="AO135" i="8"/>
  <c r="G191" i="3"/>
  <c r="J190" i="10"/>
  <c r="AA190" i="3"/>
  <c r="K190" i="10" s="1"/>
  <c r="G216" i="2" l="1"/>
  <c r="B216" i="3"/>
  <c r="E216" i="10"/>
  <c r="E267" i="7"/>
  <c r="Z266" i="7"/>
  <c r="AA266" i="7" s="1"/>
  <c r="B266" i="7" s="1"/>
  <c r="B266" i="8" s="1"/>
  <c r="U266" i="8" s="1"/>
  <c r="W266" i="8" s="1"/>
  <c r="U266" i="7"/>
  <c r="T190" i="3"/>
  <c r="O136" i="8"/>
  <c r="AS135" i="8"/>
  <c r="J136" i="8"/>
  <c r="N136" i="8" s="1"/>
  <c r="H191" i="3"/>
  <c r="I216" i="2" l="1"/>
  <c r="H216" i="2"/>
  <c r="M267" i="7"/>
  <c r="X266" i="7"/>
  <c r="D267" i="7"/>
  <c r="AB190" i="3"/>
  <c r="L190" i="10" s="1"/>
  <c r="M191" i="3"/>
  <c r="R136" i="8"/>
  <c r="K136" i="8"/>
  <c r="M136" i="8" s="1"/>
  <c r="I191" i="3"/>
  <c r="L191" i="3" s="1"/>
  <c r="M216" i="2" l="1"/>
  <c r="D216" i="3"/>
  <c r="G216" i="10"/>
  <c r="J216" i="2"/>
  <c r="C267" i="7"/>
  <c r="R267" i="7" s="1"/>
  <c r="AB266" i="7"/>
  <c r="I267" i="7"/>
  <c r="H267" i="7"/>
  <c r="J267" i="7" s="1"/>
  <c r="N267" i="7"/>
  <c r="W267" i="7" s="1"/>
  <c r="F268" i="7" s="1"/>
  <c r="X136" i="8"/>
  <c r="P136" i="8"/>
  <c r="Q136" i="8" s="1"/>
  <c r="AI136" i="8"/>
  <c r="L136" i="8"/>
  <c r="Q191" i="3"/>
  <c r="J191" i="3"/>
  <c r="K191" i="3" s="1"/>
  <c r="F216" i="10" l="1"/>
  <c r="C216" i="3"/>
  <c r="D216" i="10"/>
  <c r="B217" i="2"/>
  <c r="K267" i="7"/>
  <c r="O268" i="7"/>
  <c r="S267" i="7"/>
  <c r="C267" i="8" s="1"/>
  <c r="Z136" i="8"/>
  <c r="AB136" i="8" s="1"/>
  <c r="Y136" i="8"/>
  <c r="AA136" i="8" s="1"/>
  <c r="S136" i="8"/>
  <c r="AJ136" i="8"/>
  <c r="AU136" i="8"/>
  <c r="U191" i="3"/>
  <c r="N191" i="3"/>
  <c r="AC191" i="3"/>
  <c r="M191" i="10" s="1"/>
  <c r="D217" i="2" l="1"/>
  <c r="C217" i="2"/>
  <c r="C217" i="10"/>
  <c r="K217" i="2"/>
  <c r="L267" i="7"/>
  <c r="V267" i="7" s="1"/>
  <c r="T267" i="7"/>
  <c r="D267" i="8" s="1"/>
  <c r="Z267" i="7"/>
  <c r="AA267" i="7" s="1"/>
  <c r="B267" i="7" s="1"/>
  <c r="B267" i="8" s="1"/>
  <c r="U267" i="8" s="1"/>
  <c r="W267" i="8" s="1"/>
  <c r="P268" i="7"/>
  <c r="Q268" i="7" s="1"/>
  <c r="X191" i="3"/>
  <c r="AC136" i="8"/>
  <c r="T136" i="8"/>
  <c r="V136" i="8" s="1"/>
  <c r="AK136" i="8"/>
  <c r="V191" i="3"/>
  <c r="Y191" i="3" s="1"/>
  <c r="O191" i="3"/>
  <c r="E268" i="7" l="1"/>
  <c r="M268" i="7" s="1"/>
  <c r="U267" i="7"/>
  <c r="E217" i="2"/>
  <c r="L217" i="2"/>
  <c r="D268" i="7"/>
  <c r="X267" i="7"/>
  <c r="C268" i="7" s="1"/>
  <c r="N268" i="7"/>
  <c r="W268" i="7" s="1"/>
  <c r="F269" i="7" s="1"/>
  <c r="E268" i="8"/>
  <c r="Y268" i="7"/>
  <c r="E192" i="3"/>
  <c r="I268" i="7"/>
  <c r="H191" i="10"/>
  <c r="P191" i="3"/>
  <c r="AT136" i="8"/>
  <c r="AD136" i="8"/>
  <c r="I191" i="10"/>
  <c r="F192" i="3"/>
  <c r="R191" i="3"/>
  <c r="S191" i="3" s="1"/>
  <c r="F217" i="2"/>
  <c r="W191" i="3"/>
  <c r="Z191" i="3" s="1"/>
  <c r="H268" i="7" l="1"/>
  <c r="E217" i="10"/>
  <c r="B217" i="3"/>
  <c r="AB267" i="7"/>
  <c r="R268" i="7"/>
  <c r="O269" i="7"/>
  <c r="AE136" i="8"/>
  <c r="AL136" i="8"/>
  <c r="T191" i="3"/>
  <c r="G192" i="3"/>
  <c r="J191" i="10"/>
  <c r="G217" i="2"/>
  <c r="AA191" i="3"/>
  <c r="K191" i="10" s="1"/>
  <c r="J268" i="7" l="1"/>
  <c r="K268" i="7" s="1"/>
  <c r="T268" i="7" s="1"/>
  <c r="D268" i="8" s="1"/>
  <c r="P269" i="7"/>
  <c r="Q269" i="7" s="1"/>
  <c r="S268" i="7"/>
  <c r="C268" i="8" s="1"/>
  <c r="L268" i="7"/>
  <c r="V268" i="7" s="1"/>
  <c r="E269" i="7" s="1"/>
  <c r="AF136" i="8"/>
  <c r="AM136" i="8" s="1"/>
  <c r="AQ136" i="8" s="1"/>
  <c r="G137" i="8" s="1"/>
  <c r="AP136" i="8"/>
  <c r="F137" i="8" s="1"/>
  <c r="AB191" i="3"/>
  <c r="L191" i="10" s="1"/>
  <c r="H192" i="3"/>
  <c r="I217" i="2"/>
  <c r="H217" i="2"/>
  <c r="Y269" i="7" l="1"/>
  <c r="E269" i="8"/>
  <c r="Z268" i="7"/>
  <c r="AA268" i="7" s="1"/>
  <c r="B268" i="7" s="1"/>
  <c r="B268" i="8" s="1"/>
  <c r="U268" i="8" s="1"/>
  <c r="W268" i="8" s="1"/>
  <c r="U268" i="7"/>
  <c r="M269" i="7"/>
  <c r="AG136" i="8"/>
  <c r="AH136" i="8" s="1"/>
  <c r="AN136" i="8" s="1"/>
  <c r="AR136" i="8" s="1"/>
  <c r="H137" i="8" s="1"/>
  <c r="I192" i="3"/>
  <c r="L192" i="3" s="1"/>
  <c r="M217" i="2"/>
  <c r="J217" i="2"/>
  <c r="D217" i="3"/>
  <c r="G217" i="10"/>
  <c r="M192" i="3"/>
  <c r="N269" i="7" l="1"/>
  <c r="W269" i="7" s="1"/>
  <c r="F270" i="7" s="1"/>
  <c r="X268" i="7"/>
  <c r="D269" i="7"/>
  <c r="I137" i="8"/>
  <c r="AO136" i="8"/>
  <c r="Q192" i="3"/>
  <c r="F217" i="10"/>
  <c r="C217" i="3"/>
  <c r="D217" i="10"/>
  <c r="B218" i="2"/>
  <c r="J192" i="3"/>
  <c r="K192" i="3" s="1"/>
  <c r="AB268" i="7" l="1"/>
  <c r="C269" i="7"/>
  <c r="I269" i="7"/>
  <c r="H269" i="7"/>
  <c r="J269" i="7" s="1"/>
  <c r="O270" i="7"/>
  <c r="O137" i="8"/>
  <c r="J137" i="8"/>
  <c r="N137" i="8" s="1"/>
  <c r="AS136" i="8"/>
  <c r="C218" i="2"/>
  <c r="D218" i="2"/>
  <c r="K218" i="2"/>
  <c r="C218" i="10"/>
  <c r="U192" i="3"/>
  <c r="N192" i="3"/>
  <c r="AC192" i="3"/>
  <c r="M192" i="10" s="1"/>
  <c r="R269" i="7" l="1"/>
  <c r="S269" i="7" s="1"/>
  <c r="C269" i="8" s="1"/>
  <c r="K269" i="7"/>
  <c r="T269" i="7" s="1"/>
  <c r="D269" i="8" s="1"/>
  <c r="P270" i="7"/>
  <c r="Q270" i="7" s="1"/>
  <c r="E218" i="2"/>
  <c r="R137" i="8"/>
  <c r="E270" i="8"/>
  <c r="K137" i="8"/>
  <c r="M137" i="8" s="1"/>
  <c r="X192" i="3"/>
  <c r="V192" i="3"/>
  <c r="Y192" i="3" s="1"/>
  <c r="O192" i="3"/>
  <c r="L218" i="2"/>
  <c r="Y270" i="7" l="1"/>
  <c r="L269" i="7"/>
  <c r="V269" i="7" s="1"/>
  <c r="E193" i="3"/>
  <c r="F218" i="2"/>
  <c r="P192" i="3"/>
  <c r="L137" i="8"/>
  <c r="H192" i="10"/>
  <c r="X137" i="8"/>
  <c r="P137" i="8"/>
  <c r="Q137" i="8" s="1"/>
  <c r="AI137" i="8"/>
  <c r="I192" i="10"/>
  <c r="F193" i="3"/>
  <c r="R192" i="3"/>
  <c r="S192" i="3" s="1"/>
  <c r="E218" i="10"/>
  <c r="B218" i="3"/>
  <c r="W192" i="3"/>
  <c r="Z192" i="3" s="1"/>
  <c r="E270" i="7" l="1"/>
  <c r="U269" i="7"/>
  <c r="Z269" i="7"/>
  <c r="AA269" i="7" s="1"/>
  <c r="B269" i="7" s="1"/>
  <c r="B269" i="8" s="1"/>
  <c r="U269" i="8" s="1"/>
  <c r="W269" i="8" s="1"/>
  <c r="G218" i="2"/>
  <c r="H218" i="2" s="1"/>
  <c r="G218" i="10" s="1"/>
  <c r="AU137" i="8"/>
  <c r="Z137" i="8"/>
  <c r="AB137" i="8" s="1"/>
  <c r="Y137" i="8"/>
  <c r="AA137" i="8" s="1"/>
  <c r="S137" i="8"/>
  <c r="AJ137" i="8"/>
  <c r="J192" i="10"/>
  <c r="G193" i="3"/>
  <c r="AA192" i="3"/>
  <c r="K192" i="10" s="1"/>
  <c r="T192" i="3"/>
  <c r="M270" i="7" l="1"/>
  <c r="N270" i="7" s="1"/>
  <c r="W270" i="7" s="1"/>
  <c r="F271" i="7" s="1"/>
  <c r="I218" i="2"/>
  <c r="X269" i="7"/>
  <c r="D270" i="7"/>
  <c r="D218" i="3"/>
  <c r="AC137" i="8"/>
  <c r="T137" i="8"/>
  <c r="V137" i="8" s="1"/>
  <c r="AK137" i="8"/>
  <c r="H193" i="3"/>
  <c r="AB192" i="3"/>
  <c r="L192" i="10" s="1"/>
  <c r="M218" i="2" l="1"/>
  <c r="O271" i="7"/>
  <c r="J218" i="2"/>
  <c r="C270" i="7"/>
  <c r="R270" i="7" s="1"/>
  <c r="AB269" i="7"/>
  <c r="H270" i="7"/>
  <c r="I270" i="7"/>
  <c r="M193" i="3"/>
  <c r="AD137" i="8"/>
  <c r="AT137" i="8"/>
  <c r="I193" i="3"/>
  <c r="L193" i="3" s="1"/>
  <c r="F218" i="10" l="1"/>
  <c r="C218" i="3"/>
  <c r="P271" i="7"/>
  <c r="Q271" i="7" s="1"/>
  <c r="D218" i="10"/>
  <c r="B219" i="2"/>
  <c r="S270" i="7"/>
  <c r="C270" i="8" s="1"/>
  <c r="J270" i="7"/>
  <c r="D219" i="2"/>
  <c r="C219" i="2"/>
  <c r="K219" i="2"/>
  <c r="C219" i="10"/>
  <c r="AE137" i="8"/>
  <c r="AL137" i="8"/>
  <c r="Q193" i="3"/>
  <c r="J193" i="3"/>
  <c r="K193" i="3" s="1"/>
  <c r="Y271" i="7" l="1"/>
  <c r="E271" i="8"/>
  <c r="K270" i="7"/>
  <c r="T270" i="7" s="1"/>
  <c r="D270" i="8" s="1"/>
  <c r="L270" i="7"/>
  <c r="V270" i="7" s="1"/>
  <c r="E219" i="2"/>
  <c r="L219" i="2"/>
  <c r="AF137" i="8"/>
  <c r="AM137" i="8" s="1"/>
  <c r="AQ137" i="8" s="1"/>
  <c r="G138" i="8" s="1"/>
  <c r="AP137" i="8"/>
  <c r="F138" i="8" s="1"/>
  <c r="U193" i="3"/>
  <c r="N193" i="3"/>
  <c r="AC193" i="3"/>
  <c r="M193" i="10" s="1"/>
  <c r="U270" i="7" l="1"/>
  <c r="E271" i="7"/>
  <c r="M271" i="7" s="1"/>
  <c r="Z270" i="7"/>
  <c r="AA270" i="7" s="1"/>
  <c r="B270" i="7" s="1"/>
  <c r="B270" i="8" s="1"/>
  <c r="U270" i="8" s="1"/>
  <c r="W270" i="8" s="1"/>
  <c r="X193" i="3"/>
  <c r="E219" i="10"/>
  <c r="F219" i="2"/>
  <c r="B219" i="3"/>
  <c r="AG137" i="8"/>
  <c r="AH137" i="8" s="1"/>
  <c r="AN137" i="8" s="1"/>
  <c r="V193" i="3"/>
  <c r="Y193" i="3" s="1"/>
  <c r="O193" i="3"/>
  <c r="X270" i="7" l="1"/>
  <c r="D271" i="7"/>
  <c r="N271" i="7"/>
  <c r="W271" i="7" s="1"/>
  <c r="F272" i="7" s="1"/>
  <c r="P193" i="3"/>
  <c r="E194" i="3"/>
  <c r="H193" i="10"/>
  <c r="G219" i="2"/>
  <c r="AO137" i="8"/>
  <c r="AR137" i="8"/>
  <c r="H138" i="8" s="1"/>
  <c r="I193" i="10"/>
  <c r="F194" i="3"/>
  <c r="R193" i="3"/>
  <c r="S193" i="3" s="1"/>
  <c r="W193" i="3"/>
  <c r="Z193" i="3" s="1"/>
  <c r="I271" i="7" l="1"/>
  <c r="H271" i="7"/>
  <c r="J271" i="7" s="1"/>
  <c r="AB270" i="7"/>
  <c r="C271" i="7"/>
  <c r="O272" i="7"/>
  <c r="H219" i="2"/>
  <c r="I219" i="2"/>
  <c r="T193" i="3"/>
  <c r="I138" i="8"/>
  <c r="AA193" i="3"/>
  <c r="K193" i="10" s="1"/>
  <c r="AS137" i="8"/>
  <c r="G194" i="3"/>
  <c r="J193" i="10"/>
  <c r="K271" i="7" l="1"/>
  <c r="T271" i="7" s="1"/>
  <c r="D271" i="8" s="1"/>
  <c r="R271" i="7"/>
  <c r="S271" i="7" s="1"/>
  <c r="C271" i="8" s="1"/>
  <c r="P272" i="7"/>
  <c r="Q272" i="7" s="1"/>
  <c r="L271" i="7"/>
  <c r="V271" i="7" s="1"/>
  <c r="D219" i="3"/>
  <c r="O138" i="8"/>
  <c r="M219" i="2"/>
  <c r="J219" i="2"/>
  <c r="G219" i="10"/>
  <c r="AB193" i="3"/>
  <c r="L193" i="10" s="1"/>
  <c r="J138" i="8"/>
  <c r="N138" i="8" s="1"/>
  <c r="H194" i="3"/>
  <c r="M194" i="3" l="1"/>
  <c r="Y272" i="7"/>
  <c r="E272" i="8"/>
  <c r="E272" i="7"/>
  <c r="Z271" i="7"/>
  <c r="AA271" i="7" s="1"/>
  <c r="B271" i="7" s="1"/>
  <c r="B271" i="8" s="1"/>
  <c r="U271" i="8" s="1"/>
  <c r="W271" i="8" s="1"/>
  <c r="U271" i="7"/>
  <c r="F219" i="10"/>
  <c r="C219" i="3"/>
  <c r="D219" i="10"/>
  <c r="B220" i="2"/>
  <c r="R138" i="8"/>
  <c r="K138" i="8"/>
  <c r="M138" i="8" s="1"/>
  <c r="I194" i="3"/>
  <c r="L194" i="3" s="1"/>
  <c r="M272" i="7" l="1"/>
  <c r="D272" i="7"/>
  <c r="X271" i="7"/>
  <c r="C220" i="2"/>
  <c r="D220" i="2"/>
  <c r="K220" i="2"/>
  <c r="C220" i="10"/>
  <c r="X138" i="8"/>
  <c r="P138" i="8"/>
  <c r="Q138" i="8" s="1"/>
  <c r="AI138" i="8"/>
  <c r="L138" i="8"/>
  <c r="Q194" i="3"/>
  <c r="J194" i="3"/>
  <c r="K194" i="3" s="1"/>
  <c r="AU138" i="8" l="1"/>
  <c r="I272" i="7"/>
  <c r="H272" i="7"/>
  <c r="N272" i="7"/>
  <c r="W272" i="7" s="1"/>
  <c r="F273" i="7" s="1"/>
  <c r="AB271" i="7"/>
  <c r="C272" i="7"/>
  <c r="E220" i="2"/>
  <c r="L220" i="2"/>
  <c r="Z138" i="8"/>
  <c r="AB138" i="8" s="1"/>
  <c r="Y138" i="8"/>
  <c r="AA138" i="8" s="1"/>
  <c r="S138" i="8"/>
  <c r="AJ138" i="8"/>
  <c r="U194" i="3"/>
  <c r="N194" i="3"/>
  <c r="AC194" i="3"/>
  <c r="M194" i="10" s="1"/>
  <c r="J272" i="7" l="1"/>
  <c r="R272" i="7"/>
  <c r="S272" i="7" s="1"/>
  <c r="C272" i="8" s="1"/>
  <c r="O273" i="7"/>
  <c r="F220" i="2"/>
  <c r="E220" i="10"/>
  <c r="B220" i="3"/>
  <c r="AC138" i="8"/>
  <c r="T138" i="8"/>
  <c r="V138" i="8" s="1"/>
  <c r="AK138" i="8"/>
  <c r="X194" i="3"/>
  <c r="V194" i="3"/>
  <c r="Y194" i="3" s="1"/>
  <c r="O194" i="3"/>
  <c r="K272" i="7" l="1"/>
  <c r="T272" i="7" s="1"/>
  <c r="D272" i="8" s="1"/>
  <c r="P273" i="7"/>
  <c r="Q273" i="7" s="1"/>
  <c r="H194" i="10"/>
  <c r="G220" i="2"/>
  <c r="AT138" i="8"/>
  <c r="E195" i="3"/>
  <c r="AD138" i="8"/>
  <c r="P194" i="3"/>
  <c r="W194" i="3"/>
  <c r="Z194" i="3" s="1"/>
  <c r="I194" i="10"/>
  <c r="F195" i="3"/>
  <c r="R194" i="3"/>
  <c r="S194" i="3" s="1"/>
  <c r="L272" i="7" l="1"/>
  <c r="V272" i="7" s="1"/>
  <c r="E273" i="8"/>
  <c r="Y273" i="7"/>
  <c r="U272" i="7"/>
  <c r="X272" i="7" s="1"/>
  <c r="Z272" i="7"/>
  <c r="AA272" i="7" s="1"/>
  <c r="B272" i="7" s="1"/>
  <c r="B272" i="8" s="1"/>
  <c r="U272" i="8" s="1"/>
  <c r="W272" i="8" s="1"/>
  <c r="E273" i="7"/>
  <c r="I220" i="2"/>
  <c r="H220" i="2"/>
  <c r="M273" i="7"/>
  <c r="AE138" i="8"/>
  <c r="AL138" i="8"/>
  <c r="AA194" i="3"/>
  <c r="K194" i="10" s="1"/>
  <c r="J194" i="10"/>
  <c r="G195" i="3"/>
  <c r="T194" i="3"/>
  <c r="D273" i="7" l="1"/>
  <c r="AB272" i="7"/>
  <c r="C273" i="7"/>
  <c r="H273" i="7"/>
  <c r="G220" i="10"/>
  <c r="M220" i="2"/>
  <c r="J220" i="2"/>
  <c r="D220" i="3"/>
  <c r="N273" i="7"/>
  <c r="W273" i="7" s="1"/>
  <c r="F274" i="7" s="1"/>
  <c r="I273" i="7"/>
  <c r="AF138" i="8"/>
  <c r="AM138" i="8" s="1"/>
  <c r="AQ138" i="8" s="1"/>
  <c r="G139" i="8" s="1"/>
  <c r="AP138" i="8"/>
  <c r="F139" i="8" s="1"/>
  <c r="H195" i="3"/>
  <c r="I195" i="3"/>
  <c r="L195" i="3" s="1"/>
  <c r="AB194" i="3"/>
  <c r="L194" i="10" s="1"/>
  <c r="R273" i="7" l="1"/>
  <c r="D220" i="10"/>
  <c r="S273" i="7"/>
  <c r="C273" i="8" s="1"/>
  <c r="O274" i="7"/>
  <c r="C220" i="3"/>
  <c r="B221" i="2"/>
  <c r="F220" i="10"/>
  <c r="J273" i="7"/>
  <c r="M195" i="3"/>
  <c r="AG138" i="8"/>
  <c r="AH138" i="8" s="1"/>
  <c r="AN138" i="8" s="1"/>
  <c r="AR138" i="8" s="1"/>
  <c r="H139" i="8" s="1"/>
  <c r="Q195" i="3"/>
  <c r="J195" i="3"/>
  <c r="K195" i="3" s="1"/>
  <c r="P274" i="7" l="1"/>
  <c r="Q274" i="7" s="1"/>
  <c r="K221" i="2"/>
  <c r="C221" i="2"/>
  <c r="D221" i="2"/>
  <c r="C221" i="10"/>
  <c r="K273" i="7"/>
  <c r="AO138" i="8"/>
  <c r="I139" i="8"/>
  <c r="U195" i="3"/>
  <c r="N195" i="3"/>
  <c r="AC195" i="3"/>
  <c r="M195" i="10" s="1"/>
  <c r="Y274" i="7" l="1"/>
  <c r="E274" i="8"/>
  <c r="T273" i="7"/>
  <c r="D273" i="8" s="1"/>
  <c r="AS138" i="8"/>
  <c r="E221" i="2"/>
  <c r="L221" i="2"/>
  <c r="L273" i="7"/>
  <c r="O139" i="8"/>
  <c r="X195" i="3"/>
  <c r="J139" i="8"/>
  <c r="N139" i="8" s="1"/>
  <c r="V195" i="3"/>
  <c r="Y195" i="3" s="1"/>
  <c r="O195" i="3"/>
  <c r="E221" i="10" l="1"/>
  <c r="B221" i="3"/>
  <c r="F221" i="2"/>
  <c r="U273" i="7"/>
  <c r="V273" i="7"/>
  <c r="G221" i="2"/>
  <c r="H221" i="2" s="1"/>
  <c r="P195" i="3"/>
  <c r="E196" i="3"/>
  <c r="H195" i="10"/>
  <c r="R139" i="8"/>
  <c r="K139" i="8"/>
  <c r="M139" i="8" s="1"/>
  <c r="I195" i="10"/>
  <c r="F196" i="3"/>
  <c r="R195" i="3"/>
  <c r="S195" i="3" s="1"/>
  <c r="W195" i="3"/>
  <c r="Z195" i="3" s="1"/>
  <c r="X273" i="7" l="1"/>
  <c r="D274" i="7"/>
  <c r="E274" i="7"/>
  <c r="Z273" i="7"/>
  <c r="AA273" i="7" s="1"/>
  <c r="B273" i="7" s="1"/>
  <c r="B273" i="8" s="1"/>
  <c r="U273" i="8" s="1"/>
  <c r="W273" i="8" s="1"/>
  <c r="G221" i="10"/>
  <c r="D221" i="3"/>
  <c r="I221" i="2"/>
  <c r="X139" i="8"/>
  <c r="P139" i="8"/>
  <c r="Q139" i="8" s="1"/>
  <c r="AI139" i="8"/>
  <c r="L139" i="8"/>
  <c r="AU139" i="8" s="1"/>
  <c r="G196" i="3"/>
  <c r="J195" i="10"/>
  <c r="AA195" i="3"/>
  <c r="K195" i="10" s="1"/>
  <c r="T195" i="3"/>
  <c r="M221" i="2" l="1"/>
  <c r="J221" i="2"/>
  <c r="F221" i="10"/>
  <c r="D221" i="10"/>
  <c r="B222" i="2"/>
  <c r="C274" i="7"/>
  <c r="R274" i="7" s="1"/>
  <c r="AB273" i="7"/>
  <c r="I274" i="7"/>
  <c r="H274" i="7"/>
  <c r="M274" i="7"/>
  <c r="Z139" i="8"/>
  <c r="AB139" i="8" s="1"/>
  <c r="Y139" i="8"/>
  <c r="AA139" i="8" s="1"/>
  <c r="S139" i="8"/>
  <c r="AJ139" i="8"/>
  <c r="H196" i="3"/>
  <c r="AB195" i="3"/>
  <c r="L195" i="10" s="1"/>
  <c r="C221" i="3" l="1"/>
  <c r="M196" i="3"/>
  <c r="N274" i="7"/>
  <c r="W274" i="7" s="1"/>
  <c r="F275" i="7" s="1"/>
  <c r="D222" i="2"/>
  <c r="C222" i="10"/>
  <c r="K222" i="2"/>
  <c r="C222" i="2"/>
  <c r="S274" i="7"/>
  <c r="C274" i="8" s="1"/>
  <c r="J274" i="7"/>
  <c r="AC139" i="8"/>
  <c r="T139" i="8"/>
  <c r="V139" i="8" s="1"/>
  <c r="AK139" i="8"/>
  <c r="I196" i="3"/>
  <c r="L196" i="3" s="1"/>
  <c r="O275" i="7" l="1"/>
  <c r="E222" i="2"/>
  <c r="L222" i="2"/>
  <c r="K274" i="7"/>
  <c r="T274" i="7" s="1"/>
  <c r="D274" i="8" s="1"/>
  <c r="AD139" i="8"/>
  <c r="AT139" i="8"/>
  <c r="Q196" i="3"/>
  <c r="J196" i="3"/>
  <c r="K196" i="3" s="1"/>
  <c r="P275" i="7" l="1"/>
  <c r="Q275" i="7" s="1"/>
  <c r="L274" i="7"/>
  <c r="V274" i="7" s="1"/>
  <c r="F222" i="2"/>
  <c r="E222" i="10"/>
  <c r="B222" i="3"/>
  <c r="AE139" i="8"/>
  <c r="AL139" i="8"/>
  <c r="U196" i="3"/>
  <c r="N196" i="3"/>
  <c r="AC196" i="3"/>
  <c r="M196" i="10" s="1"/>
  <c r="E275" i="8" l="1"/>
  <c r="Y275" i="7"/>
  <c r="U274" i="7"/>
  <c r="Z274" i="7"/>
  <c r="AA274" i="7" s="1"/>
  <c r="B274" i="7" s="1"/>
  <c r="B274" i="8" s="1"/>
  <c r="U274" i="8" s="1"/>
  <c r="W274" i="8" s="1"/>
  <c r="E275" i="7"/>
  <c r="G222" i="2"/>
  <c r="X196" i="3"/>
  <c r="AF139" i="8"/>
  <c r="AM139" i="8" s="1"/>
  <c r="AQ139" i="8" s="1"/>
  <c r="G140" i="8" s="1"/>
  <c r="AP139" i="8"/>
  <c r="F140" i="8" s="1"/>
  <c r="V196" i="3"/>
  <c r="Y196" i="3" s="1"/>
  <c r="O196" i="3"/>
  <c r="X274" i="7" l="1"/>
  <c r="D275" i="7"/>
  <c r="I222" i="2"/>
  <c r="M275" i="7"/>
  <c r="H222" i="2"/>
  <c r="P196" i="3"/>
  <c r="E197" i="3"/>
  <c r="H196" i="10"/>
  <c r="AG139" i="8"/>
  <c r="AH139" i="8" s="1"/>
  <c r="AN139" i="8" s="1"/>
  <c r="I196" i="10"/>
  <c r="F197" i="3"/>
  <c r="R196" i="3"/>
  <c r="S196" i="3" s="1"/>
  <c r="W196" i="3"/>
  <c r="H275" i="7" l="1"/>
  <c r="I275" i="7"/>
  <c r="AB274" i="7"/>
  <c r="C275" i="7"/>
  <c r="R275" i="7" s="1"/>
  <c r="S275" i="7" s="1"/>
  <c r="C275" i="8" s="1"/>
  <c r="J222" i="2"/>
  <c r="D222" i="3"/>
  <c r="G222" i="10"/>
  <c r="N275" i="7"/>
  <c r="W275" i="7" s="1"/>
  <c r="F276" i="7" s="1"/>
  <c r="O276" i="7" s="1"/>
  <c r="J275" i="7"/>
  <c r="M222" i="2"/>
  <c r="AO139" i="8"/>
  <c r="AR139" i="8"/>
  <c r="H140" i="8" s="1"/>
  <c r="AA196" i="3"/>
  <c r="K196" i="10" s="1"/>
  <c r="Z196" i="3"/>
  <c r="T196" i="3"/>
  <c r="AB196" i="3" s="1"/>
  <c r="L196" i="10" s="1"/>
  <c r="D222" i="10" l="1"/>
  <c r="B223" i="2"/>
  <c r="K275" i="7"/>
  <c r="P276" i="7"/>
  <c r="Q276" i="7" s="1"/>
  <c r="F222" i="10"/>
  <c r="C222" i="3"/>
  <c r="I140" i="8"/>
  <c r="AS139" i="8"/>
  <c r="C223" i="2"/>
  <c r="D223" i="2"/>
  <c r="K223" i="2"/>
  <c r="C223" i="10"/>
  <c r="G197" i="3"/>
  <c r="J196" i="10"/>
  <c r="T275" i="7" l="1"/>
  <c r="D275" i="8" s="1"/>
  <c r="L275" i="7"/>
  <c r="V275" i="7" s="1"/>
  <c r="E276" i="8"/>
  <c r="Y276" i="7"/>
  <c r="J140" i="8"/>
  <c r="N140" i="8" s="1"/>
  <c r="E223" i="2"/>
  <c r="L223" i="2"/>
  <c r="O140" i="8"/>
  <c r="H197" i="3"/>
  <c r="E276" i="7" l="1"/>
  <c r="Z275" i="7"/>
  <c r="AA275" i="7" s="1"/>
  <c r="B275" i="7" s="1"/>
  <c r="B275" i="8" s="1"/>
  <c r="U275" i="8" s="1"/>
  <c r="W275" i="8" s="1"/>
  <c r="U275" i="7"/>
  <c r="M197" i="3"/>
  <c r="M276" i="7"/>
  <c r="B223" i="3"/>
  <c r="E223" i="10"/>
  <c r="F223" i="2"/>
  <c r="R140" i="8"/>
  <c r="K140" i="8"/>
  <c r="M140" i="8" s="1"/>
  <c r="I197" i="3"/>
  <c r="L197" i="3" s="1"/>
  <c r="X275" i="7" l="1"/>
  <c r="D276" i="7"/>
  <c r="AB275" i="7"/>
  <c r="H276" i="7"/>
  <c r="I276" i="7"/>
  <c r="N276" i="7"/>
  <c r="W276" i="7" s="1"/>
  <c r="F277" i="7" s="1"/>
  <c r="L140" i="8"/>
  <c r="G223" i="2"/>
  <c r="P140" i="8"/>
  <c r="Q140" i="8" s="1"/>
  <c r="AI140" i="8"/>
  <c r="X140" i="8"/>
  <c r="Q197" i="3"/>
  <c r="J197" i="3"/>
  <c r="K197" i="3" s="1"/>
  <c r="C276" i="7" l="1"/>
  <c r="R276" i="7" s="1"/>
  <c r="O277" i="7"/>
  <c r="S276" i="7"/>
  <c r="C276" i="8" s="1"/>
  <c r="J276" i="7"/>
  <c r="AC197" i="3"/>
  <c r="M197" i="10" s="1"/>
  <c r="AU140" i="8"/>
  <c r="I223" i="2"/>
  <c r="H223" i="2"/>
  <c r="S140" i="8"/>
  <c r="AJ140" i="8"/>
  <c r="Z140" i="8"/>
  <c r="AB140" i="8" s="1"/>
  <c r="Y140" i="8"/>
  <c r="AA140" i="8" s="1"/>
  <c r="U197" i="3"/>
  <c r="N197" i="3"/>
  <c r="X197" i="3" l="1"/>
  <c r="P277" i="7"/>
  <c r="Q277" i="7" s="1"/>
  <c r="K276" i="7"/>
  <c r="T276" i="7" s="1"/>
  <c r="D276" i="8" s="1"/>
  <c r="M223" i="2"/>
  <c r="J223" i="2"/>
  <c r="D223" i="3"/>
  <c r="G223" i="10"/>
  <c r="AC140" i="8"/>
  <c r="T140" i="8"/>
  <c r="V140" i="8" s="1"/>
  <c r="AT140" i="8" s="1"/>
  <c r="AK140" i="8"/>
  <c r="V197" i="3"/>
  <c r="Y197" i="3" s="1"/>
  <c r="O197" i="3"/>
  <c r="E198" i="3" l="1"/>
  <c r="H197" i="10"/>
  <c r="Y277" i="7"/>
  <c r="E277" i="8"/>
  <c r="L276" i="7"/>
  <c r="V276" i="7" s="1"/>
  <c r="F223" i="10"/>
  <c r="C223" i="3"/>
  <c r="D223" i="10"/>
  <c r="B224" i="2"/>
  <c r="AD140" i="8"/>
  <c r="I197" i="10"/>
  <c r="F198" i="3"/>
  <c r="R197" i="3"/>
  <c r="S197" i="3" s="1"/>
  <c r="W197" i="3"/>
  <c r="Z197" i="3" s="1"/>
  <c r="P197" i="3"/>
  <c r="E277" i="7" l="1"/>
  <c r="Z276" i="7"/>
  <c r="AA276" i="7" s="1"/>
  <c r="B276" i="7" s="1"/>
  <c r="B276" i="8" s="1"/>
  <c r="U276" i="8" s="1"/>
  <c r="W276" i="8" s="1"/>
  <c r="U276" i="7"/>
  <c r="C224" i="2"/>
  <c r="D224" i="2"/>
  <c r="K224" i="2"/>
  <c r="C224" i="10"/>
  <c r="AE140" i="8"/>
  <c r="AL140" i="8"/>
  <c r="G198" i="3"/>
  <c r="J197" i="10"/>
  <c r="T197" i="3"/>
  <c r="AA197" i="3"/>
  <c r="K197" i="10" s="1"/>
  <c r="M277" i="7" l="1"/>
  <c r="X276" i="7"/>
  <c r="D277" i="7"/>
  <c r="E224" i="2"/>
  <c r="L224" i="2"/>
  <c r="AF140" i="8"/>
  <c r="AM140" i="8" s="1"/>
  <c r="AQ140" i="8" s="1"/>
  <c r="G141" i="8" s="1"/>
  <c r="AP140" i="8"/>
  <c r="F141" i="8" s="1"/>
  <c r="AB197" i="3"/>
  <c r="L197" i="10" s="1"/>
  <c r="H198" i="3"/>
  <c r="AB276" i="7" l="1"/>
  <c r="C277" i="7"/>
  <c r="H277" i="7"/>
  <c r="I277" i="7"/>
  <c r="N277" i="7"/>
  <c r="W277" i="7" s="1"/>
  <c r="F278" i="7" s="1"/>
  <c r="M198" i="3"/>
  <c r="R277" i="7"/>
  <c r="F224" i="2"/>
  <c r="E224" i="10"/>
  <c r="B224" i="3"/>
  <c r="AG140" i="8"/>
  <c r="AH140" i="8" s="1"/>
  <c r="AN140" i="8" s="1"/>
  <c r="I198" i="3"/>
  <c r="L198" i="3" s="1"/>
  <c r="S277" i="7" l="1"/>
  <c r="C277" i="8" s="1"/>
  <c r="O278" i="7"/>
  <c r="J277" i="7"/>
  <c r="K277" i="7"/>
  <c r="T277" i="7" s="1"/>
  <c r="D277" i="8" s="1"/>
  <c r="G224" i="2"/>
  <c r="H224" i="2" s="1"/>
  <c r="AO140" i="8"/>
  <c r="AR140" i="8"/>
  <c r="H141" i="8" s="1"/>
  <c r="Q198" i="3"/>
  <c r="J198" i="3"/>
  <c r="K198" i="3" s="1"/>
  <c r="D224" i="3" l="1"/>
  <c r="G224" i="10"/>
  <c r="P278" i="7"/>
  <c r="Q278" i="7" s="1"/>
  <c r="L277" i="7"/>
  <c r="V277" i="7" s="1"/>
  <c r="I224" i="2"/>
  <c r="I141" i="8"/>
  <c r="AS140" i="8"/>
  <c r="U198" i="3"/>
  <c r="N198" i="3"/>
  <c r="AC198" i="3"/>
  <c r="M198" i="10" s="1"/>
  <c r="E278" i="8" l="1"/>
  <c r="Y278" i="7"/>
  <c r="M224" i="2"/>
  <c r="J224" i="2"/>
  <c r="E278" i="7"/>
  <c r="Z277" i="7"/>
  <c r="AA277" i="7" s="1"/>
  <c r="B277" i="7" s="1"/>
  <c r="B277" i="8" s="1"/>
  <c r="U277" i="8" s="1"/>
  <c r="W277" i="8" s="1"/>
  <c r="U277" i="7"/>
  <c r="O141" i="8"/>
  <c r="J141" i="8"/>
  <c r="N141" i="8" s="1"/>
  <c r="V198" i="3"/>
  <c r="Y198" i="3" s="1"/>
  <c r="O198" i="3"/>
  <c r="X198" i="3"/>
  <c r="P198" i="3" l="1"/>
  <c r="F224" i="10"/>
  <c r="C224" i="3"/>
  <c r="D224" i="10"/>
  <c r="B225" i="2"/>
  <c r="M278" i="7"/>
  <c r="D278" i="7"/>
  <c r="X277" i="7"/>
  <c r="K141" i="8"/>
  <c r="M141" i="8" s="1"/>
  <c r="R141" i="8"/>
  <c r="I198" i="10"/>
  <c r="F199" i="3"/>
  <c r="R198" i="3"/>
  <c r="S198" i="3" s="1"/>
  <c r="H198" i="10"/>
  <c r="E199" i="3"/>
  <c r="W198" i="3"/>
  <c r="Z198" i="3" s="1"/>
  <c r="D225" i="2" l="1"/>
  <c r="C225" i="10"/>
  <c r="K225" i="2"/>
  <c r="C225" i="2"/>
  <c r="E225" i="2" s="1"/>
  <c r="H278" i="7"/>
  <c r="I278" i="7"/>
  <c r="AB277" i="7"/>
  <c r="C278" i="7"/>
  <c r="N278" i="7"/>
  <c r="W278" i="7" s="1"/>
  <c r="F279" i="7" s="1"/>
  <c r="X141" i="8"/>
  <c r="AI141" i="8"/>
  <c r="L141" i="8"/>
  <c r="F225" i="2"/>
  <c r="L225" i="2"/>
  <c r="P141" i="8"/>
  <c r="Q141" i="8" s="1"/>
  <c r="G199" i="3"/>
  <c r="J198" i="10"/>
  <c r="T198" i="3"/>
  <c r="AA198" i="3"/>
  <c r="K198" i="10" s="1"/>
  <c r="R278" i="7" l="1"/>
  <c r="S278" i="7"/>
  <c r="C278" i="8" s="1"/>
  <c r="G225" i="2"/>
  <c r="O279" i="7"/>
  <c r="J278" i="7"/>
  <c r="Z141" i="8"/>
  <c r="AB141" i="8" s="1"/>
  <c r="Y141" i="8"/>
  <c r="AA141" i="8" s="1"/>
  <c r="AJ141" i="8"/>
  <c r="AU141" i="8"/>
  <c r="B225" i="3"/>
  <c r="E225" i="10"/>
  <c r="AB198" i="3"/>
  <c r="L198" i="10" s="1"/>
  <c r="S141" i="8"/>
  <c r="H199" i="3"/>
  <c r="I225" i="2" l="1"/>
  <c r="H225" i="2"/>
  <c r="K278" i="7"/>
  <c r="P279" i="7"/>
  <c r="Q279" i="7" s="1"/>
  <c r="AC141" i="8"/>
  <c r="AK141" i="8"/>
  <c r="T141" i="8"/>
  <c r="V141" i="8" s="1"/>
  <c r="I199" i="3"/>
  <c r="L199" i="3" s="1"/>
  <c r="M199" i="3"/>
  <c r="D225" i="3" l="1"/>
  <c r="Y279" i="7"/>
  <c r="M225" i="2"/>
  <c r="J225" i="2"/>
  <c r="G225" i="10"/>
  <c r="T278" i="7"/>
  <c r="D278" i="8" s="1"/>
  <c r="L278" i="7"/>
  <c r="V278" i="7" s="1"/>
  <c r="E279" i="8"/>
  <c r="AD141" i="8"/>
  <c r="AT141" i="8"/>
  <c r="Q199" i="3"/>
  <c r="J199" i="3"/>
  <c r="K199" i="3" s="1"/>
  <c r="C225" i="3" l="1"/>
  <c r="B226" i="2"/>
  <c r="F225" i="10"/>
  <c r="D225" i="10"/>
  <c r="E279" i="7"/>
  <c r="Z278" i="7"/>
  <c r="AA278" i="7" s="1"/>
  <c r="B278" i="7" s="1"/>
  <c r="B278" i="8" s="1"/>
  <c r="U278" i="8" s="1"/>
  <c r="W278" i="8" s="1"/>
  <c r="U278" i="7"/>
  <c r="AL141" i="8"/>
  <c r="AE141" i="8"/>
  <c r="AF141" i="8"/>
  <c r="AM141" i="8" s="1"/>
  <c r="AQ141" i="8" s="1"/>
  <c r="G142" i="8" s="1"/>
  <c r="U199" i="3"/>
  <c r="N199" i="3"/>
  <c r="AC199" i="3"/>
  <c r="M199" i="10" s="1"/>
  <c r="K226" i="2" l="1"/>
  <c r="C226" i="10"/>
  <c r="D226" i="2"/>
  <c r="C226" i="2"/>
  <c r="AP141" i="8"/>
  <c r="F142" i="8" s="1"/>
  <c r="X199" i="3"/>
  <c r="X278" i="7"/>
  <c r="D279" i="7"/>
  <c r="M279" i="7"/>
  <c r="AG141" i="8"/>
  <c r="AH141" i="8" s="1"/>
  <c r="AN141" i="8" s="1"/>
  <c r="AR141" i="8" s="1"/>
  <c r="H142" i="8" s="1"/>
  <c r="V199" i="3"/>
  <c r="Y199" i="3" s="1"/>
  <c r="O199" i="3"/>
  <c r="E226" i="2" l="1"/>
  <c r="L226" i="2"/>
  <c r="E226" i="10" s="1"/>
  <c r="E200" i="3"/>
  <c r="H199" i="10"/>
  <c r="C279" i="7"/>
  <c r="R279" i="7" s="1"/>
  <c r="AB278" i="7"/>
  <c r="H279" i="7"/>
  <c r="I279" i="7"/>
  <c r="N279" i="7"/>
  <c r="W279" i="7" s="1"/>
  <c r="F280" i="7" s="1"/>
  <c r="P199" i="3"/>
  <c r="AO141" i="8"/>
  <c r="I142" i="8"/>
  <c r="I199" i="10"/>
  <c r="F200" i="3"/>
  <c r="R199" i="3"/>
  <c r="S199" i="3" s="1"/>
  <c r="W199" i="3"/>
  <c r="Z199" i="3" s="1"/>
  <c r="F226" i="2" l="1"/>
  <c r="B226" i="3"/>
  <c r="O280" i="7"/>
  <c r="O142" i="8"/>
  <c r="J279" i="7"/>
  <c r="K279" i="7"/>
  <c r="T279" i="7" s="1"/>
  <c r="D279" i="8" s="1"/>
  <c r="S279" i="7"/>
  <c r="C279" i="8" s="1"/>
  <c r="AS141" i="8"/>
  <c r="J142" i="8"/>
  <c r="N142" i="8" s="1"/>
  <c r="J199" i="10"/>
  <c r="G200" i="3"/>
  <c r="T199" i="3"/>
  <c r="AA199" i="3"/>
  <c r="K199" i="10" s="1"/>
  <c r="G226" i="2" l="1"/>
  <c r="P280" i="7"/>
  <c r="Q280" i="7" s="1"/>
  <c r="Y280" i="7"/>
  <c r="E280" i="8"/>
  <c r="L279" i="7"/>
  <c r="V279" i="7" s="1"/>
  <c r="R142" i="8"/>
  <c r="K142" i="8"/>
  <c r="AB199" i="3"/>
  <c r="L199" i="10" s="1"/>
  <c r="H200" i="3"/>
  <c r="I226" i="2" l="1"/>
  <c r="H226" i="2"/>
  <c r="Z279" i="7"/>
  <c r="AA279" i="7" s="1"/>
  <c r="B279" i="7" s="1"/>
  <c r="B279" i="8" s="1"/>
  <c r="U279" i="8" s="1"/>
  <c r="W279" i="8" s="1"/>
  <c r="E280" i="7"/>
  <c r="M280" i="7" s="1"/>
  <c r="U279" i="7"/>
  <c r="X279" i="7" s="1"/>
  <c r="D280" i="7"/>
  <c r="AB279" i="7"/>
  <c r="C280" i="7"/>
  <c r="L142" i="8"/>
  <c r="M142" i="8"/>
  <c r="I200" i="3"/>
  <c r="L200" i="3" s="1"/>
  <c r="M200" i="3"/>
  <c r="M226" i="2" l="1"/>
  <c r="J226" i="2"/>
  <c r="D226" i="3"/>
  <c r="G226" i="10"/>
  <c r="N280" i="7"/>
  <c r="W280" i="7" s="1"/>
  <c r="F281" i="7" s="1"/>
  <c r="H280" i="7"/>
  <c r="I280" i="7"/>
  <c r="AU142" i="8"/>
  <c r="R280" i="7"/>
  <c r="X142" i="8"/>
  <c r="P142" i="8"/>
  <c r="Q142" i="8" s="1"/>
  <c r="AI142" i="8"/>
  <c r="Q200" i="3"/>
  <c r="J200" i="3"/>
  <c r="K200" i="3" s="1"/>
  <c r="C226" i="3" l="1"/>
  <c r="F226" i="10"/>
  <c r="B227" i="2"/>
  <c r="D226" i="10"/>
  <c r="O281" i="7"/>
  <c r="J280" i="7"/>
  <c r="K280" i="7" s="1"/>
  <c r="T280" i="7" s="1"/>
  <c r="D280" i="8" s="1"/>
  <c r="S280" i="7"/>
  <c r="C280" i="8" s="1"/>
  <c r="Z142" i="8"/>
  <c r="AB142" i="8" s="1"/>
  <c r="Y142" i="8"/>
  <c r="AA142" i="8" s="1"/>
  <c r="S142" i="8"/>
  <c r="AJ142" i="8"/>
  <c r="U200" i="3"/>
  <c r="N200" i="3"/>
  <c r="AC200" i="3"/>
  <c r="M200" i="10" s="1"/>
  <c r="C227" i="10" l="1"/>
  <c r="K227" i="2"/>
  <c r="D227" i="2"/>
  <c r="L227" i="2" s="1"/>
  <c r="C227" i="2"/>
  <c r="E227" i="2" s="1"/>
  <c r="L280" i="7"/>
  <c r="V280" i="7" s="1"/>
  <c r="P281" i="7"/>
  <c r="Q281" i="7" s="1"/>
  <c r="X200" i="3"/>
  <c r="AC142" i="8"/>
  <c r="T142" i="8"/>
  <c r="V142" i="8" s="1"/>
  <c r="AT142" i="8" s="1"/>
  <c r="AK142" i="8"/>
  <c r="V200" i="3"/>
  <c r="Y200" i="3" s="1"/>
  <c r="O200" i="3"/>
  <c r="B227" i="3" l="1"/>
  <c r="F227" i="2"/>
  <c r="E227" i="10"/>
  <c r="Z280" i="7"/>
  <c r="AA280" i="7" s="1"/>
  <c r="B280" i="7" s="1"/>
  <c r="B280" i="8" s="1"/>
  <c r="U280" i="8" s="1"/>
  <c r="W280" i="8" s="1"/>
  <c r="U280" i="7"/>
  <c r="E281" i="7"/>
  <c r="M281" i="7" s="1"/>
  <c r="E281" i="8"/>
  <c r="Y281" i="7"/>
  <c r="H200" i="10"/>
  <c r="E201" i="3"/>
  <c r="P200" i="3"/>
  <c r="AD142" i="8"/>
  <c r="I200" i="10"/>
  <c r="F201" i="3"/>
  <c r="R200" i="3"/>
  <c r="S200" i="3" s="1"/>
  <c r="W200" i="3"/>
  <c r="Z200" i="3" s="1"/>
  <c r="X280" i="7" l="1"/>
  <c r="AB280" i="7" s="1"/>
  <c r="D281" i="7"/>
  <c r="N281" i="7"/>
  <c r="W281" i="7" s="1"/>
  <c r="F282" i="7" s="1"/>
  <c r="G227" i="2"/>
  <c r="AA200" i="3"/>
  <c r="K200" i="10" s="1"/>
  <c r="I227" i="2"/>
  <c r="H227" i="2"/>
  <c r="AE142" i="8"/>
  <c r="AL142" i="8"/>
  <c r="J200" i="10"/>
  <c r="G201" i="3"/>
  <c r="T200" i="3"/>
  <c r="C281" i="7" l="1"/>
  <c r="R281" i="7" s="1"/>
  <c r="I281" i="7"/>
  <c r="H281" i="7"/>
  <c r="J281" i="7" s="1"/>
  <c r="O282" i="7"/>
  <c r="S281" i="7"/>
  <c r="C281" i="8" s="1"/>
  <c r="K281" i="7"/>
  <c r="M227" i="2"/>
  <c r="J227" i="2"/>
  <c r="D227" i="3"/>
  <c r="G227" i="10"/>
  <c r="AF142" i="8"/>
  <c r="AM142" i="8" s="1"/>
  <c r="AQ142" i="8" s="1"/>
  <c r="G143" i="8" s="1"/>
  <c r="AP142" i="8"/>
  <c r="F143" i="8" s="1"/>
  <c r="H201" i="3"/>
  <c r="AB200" i="3"/>
  <c r="L200" i="10" s="1"/>
  <c r="P282" i="7" l="1"/>
  <c r="Q282" i="7" s="1"/>
  <c r="L281" i="7"/>
  <c r="V281" i="7" s="1"/>
  <c r="T281" i="7"/>
  <c r="D281" i="8" s="1"/>
  <c r="E282" i="8"/>
  <c r="C227" i="3"/>
  <c r="D227" i="10"/>
  <c r="B228" i="2"/>
  <c r="M201" i="3"/>
  <c r="F227" i="10"/>
  <c r="AG142" i="8"/>
  <c r="AH142" i="8" s="1"/>
  <c r="AN142" i="8" s="1"/>
  <c r="AR142" i="8" s="1"/>
  <c r="H143" i="8" s="1"/>
  <c r="I201" i="3"/>
  <c r="L201" i="3" s="1"/>
  <c r="Y282" i="7" l="1"/>
  <c r="E282" i="7"/>
  <c r="Z281" i="7"/>
  <c r="AA281" i="7" s="1"/>
  <c r="B281" i="7" s="1"/>
  <c r="B281" i="8" s="1"/>
  <c r="U281" i="8" s="1"/>
  <c r="W281" i="8" s="1"/>
  <c r="U281" i="7"/>
  <c r="C228" i="2"/>
  <c r="D228" i="2"/>
  <c r="K228" i="2"/>
  <c r="C228" i="10"/>
  <c r="I143" i="8"/>
  <c r="AO142" i="8"/>
  <c r="Q201" i="3"/>
  <c r="J201" i="3"/>
  <c r="K201" i="3" s="1"/>
  <c r="D282" i="7" l="1"/>
  <c r="X281" i="7"/>
  <c r="M282" i="7"/>
  <c r="AS142" i="8"/>
  <c r="E228" i="2"/>
  <c r="L228" i="2"/>
  <c r="O143" i="8"/>
  <c r="J143" i="8"/>
  <c r="N143" i="8" s="1"/>
  <c r="U201" i="3"/>
  <c r="N201" i="3"/>
  <c r="AC201" i="3"/>
  <c r="M201" i="10" s="1"/>
  <c r="H282" i="7" l="1"/>
  <c r="I282" i="7"/>
  <c r="AB281" i="7"/>
  <c r="C282" i="7"/>
  <c r="R282" i="7" s="1"/>
  <c r="N282" i="7"/>
  <c r="W282" i="7" s="1"/>
  <c r="F283" i="7" s="1"/>
  <c r="F228" i="2"/>
  <c r="E228" i="10"/>
  <c r="B228" i="3"/>
  <c r="X201" i="3"/>
  <c r="R143" i="8"/>
  <c r="K143" i="8"/>
  <c r="M143" i="8" s="1"/>
  <c r="V201" i="3"/>
  <c r="Y201" i="3" s="1"/>
  <c r="O201" i="3"/>
  <c r="J282" i="7" l="1"/>
  <c r="O283" i="7"/>
  <c r="S282" i="7"/>
  <c r="C282" i="8" s="1"/>
  <c r="K282" i="7"/>
  <c r="T282" i="7" s="1"/>
  <c r="D282" i="8" s="1"/>
  <c r="G228" i="2"/>
  <c r="H228" i="2" s="1"/>
  <c r="I228" i="2"/>
  <c r="P283" i="7"/>
  <c r="Q283" i="7" s="1"/>
  <c r="E202" i="3"/>
  <c r="H201" i="10"/>
  <c r="AI143" i="8"/>
  <c r="P143" i="8"/>
  <c r="Q143" i="8" s="1"/>
  <c r="X143" i="8"/>
  <c r="L143" i="8"/>
  <c r="I201" i="10"/>
  <c r="F202" i="3"/>
  <c r="R201" i="3"/>
  <c r="S201" i="3" s="1"/>
  <c r="P201" i="3"/>
  <c r="W201" i="3"/>
  <c r="Z201" i="3" s="1"/>
  <c r="L282" i="7" l="1"/>
  <c r="V282" i="7" s="1"/>
  <c r="D228" i="3"/>
  <c r="G228" i="10"/>
  <c r="M228" i="2"/>
  <c r="J228" i="2"/>
  <c r="E283" i="8"/>
  <c r="Y283" i="7"/>
  <c r="AJ143" i="8"/>
  <c r="S143" i="8"/>
  <c r="Z143" i="8"/>
  <c r="AB143" i="8" s="1"/>
  <c r="Y143" i="8"/>
  <c r="AA143" i="8" s="1"/>
  <c r="AU143" i="8"/>
  <c r="T201" i="3"/>
  <c r="G202" i="3"/>
  <c r="J201" i="10"/>
  <c r="AA201" i="3"/>
  <c r="K201" i="10" s="1"/>
  <c r="Z282" i="7" l="1"/>
  <c r="AA282" i="7" s="1"/>
  <c r="B282" i="7" s="1"/>
  <c r="B282" i="8" s="1"/>
  <c r="U282" i="8" s="1"/>
  <c r="W282" i="8" s="1"/>
  <c r="E283" i="7"/>
  <c r="U282" i="7"/>
  <c r="F228" i="10"/>
  <c r="C228" i="3"/>
  <c r="D228" i="10"/>
  <c r="B229" i="2"/>
  <c r="AC143" i="8"/>
  <c r="AB201" i="3"/>
  <c r="L201" i="10" s="1"/>
  <c r="AK143" i="8"/>
  <c r="T143" i="8"/>
  <c r="V143" i="8" s="1"/>
  <c r="H202" i="3"/>
  <c r="M283" i="7" l="1"/>
  <c r="X282" i="7"/>
  <c r="D283" i="7"/>
  <c r="C229" i="2"/>
  <c r="D229" i="2"/>
  <c r="K229" i="2"/>
  <c r="C229" i="10"/>
  <c r="M202" i="3"/>
  <c r="AT143" i="8"/>
  <c r="AD143" i="8"/>
  <c r="I202" i="3"/>
  <c r="L202" i="3" s="1"/>
  <c r="AB282" i="7" l="1"/>
  <c r="C283" i="7"/>
  <c r="R283" i="7" s="1"/>
  <c r="H283" i="7"/>
  <c r="I283" i="7"/>
  <c r="N283" i="7"/>
  <c r="W283" i="7" s="1"/>
  <c r="F284" i="7" s="1"/>
  <c r="L229" i="2"/>
  <c r="E229" i="2"/>
  <c r="AE143" i="8"/>
  <c r="AL143" i="8"/>
  <c r="J202" i="3"/>
  <c r="K202" i="3" s="1"/>
  <c r="Q202" i="3"/>
  <c r="J283" i="7" l="1"/>
  <c r="O284" i="7"/>
  <c r="S283" i="7"/>
  <c r="C283" i="8" s="1"/>
  <c r="F229" i="2"/>
  <c r="E229" i="10"/>
  <c r="B229" i="3"/>
  <c r="K283" i="7"/>
  <c r="P284" i="7"/>
  <c r="Q284" i="7" s="1"/>
  <c r="AC202" i="3"/>
  <c r="M202" i="10" s="1"/>
  <c r="N202" i="3"/>
  <c r="U202" i="3"/>
  <c r="AF143" i="8"/>
  <c r="AM143" i="8" s="1"/>
  <c r="AQ143" i="8" s="1"/>
  <c r="G144" i="8" s="1"/>
  <c r="AP143" i="8"/>
  <c r="F144" i="8" s="1"/>
  <c r="T283" i="7" l="1"/>
  <c r="D283" i="8" s="1"/>
  <c r="G229" i="2"/>
  <c r="L283" i="7"/>
  <c r="V283" i="7" s="1"/>
  <c r="X202" i="3"/>
  <c r="O202" i="3"/>
  <c r="Y284" i="7"/>
  <c r="E284" i="8"/>
  <c r="V202" i="3"/>
  <c r="Y202" i="3" s="1"/>
  <c r="AG143" i="8"/>
  <c r="AH143" i="8" s="1"/>
  <c r="AN143" i="8" s="1"/>
  <c r="I229" i="2" l="1"/>
  <c r="H229" i="2"/>
  <c r="Z283" i="7"/>
  <c r="AA283" i="7" s="1"/>
  <c r="B283" i="7" s="1"/>
  <c r="B283" i="8" s="1"/>
  <c r="U283" i="8" s="1"/>
  <c r="W283" i="8" s="1"/>
  <c r="U283" i="7"/>
  <c r="E284" i="7"/>
  <c r="P202" i="3"/>
  <c r="E203" i="3"/>
  <c r="H202" i="10"/>
  <c r="R202" i="3"/>
  <c r="S202" i="3" s="1"/>
  <c r="I202" i="10"/>
  <c r="F203" i="3"/>
  <c r="W202" i="3"/>
  <c r="AO143" i="8"/>
  <c r="AR143" i="8"/>
  <c r="H144" i="8" s="1"/>
  <c r="G229" i="10" l="1"/>
  <c r="M284" i="7"/>
  <c r="M229" i="2"/>
  <c r="J229" i="2"/>
  <c r="D229" i="3"/>
  <c r="AA202" i="3"/>
  <c r="K202" i="10" s="1"/>
  <c r="Z202" i="3"/>
  <c r="X283" i="7"/>
  <c r="D284" i="7"/>
  <c r="T202" i="3"/>
  <c r="AB202" i="3" s="1"/>
  <c r="L202" i="10" s="1"/>
  <c r="I144" i="8"/>
  <c r="AS143" i="8"/>
  <c r="AB283" i="7" l="1"/>
  <c r="C284" i="7"/>
  <c r="R284" i="7" s="1"/>
  <c r="F229" i="10"/>
  <c r="G203" i="3"/>
  <c r="I284" i="7"/>
  <c r="H284" i="7"/>
  <c r="N284" i="7"/>
  <c r="W284" i="7" s="1"/>
  <c r="F285" i="7" s="1"/>
  <c r="C229" i="3"/>
  <c r="B230" i="2"/>
  <c r="J202" i="10"/>
  <c r="D229" i="10"/>
  <c r="O144" i="8"/>
  <c r="J144" i="8"/>
  <c r="N144" i="8" s="1"/>
  <c r="S284" i="7" l="1"/>
  <c r="C284" i="8" s="1"/>
  <c r="C230" i="2"/>
  <c r="J284" i="7"/>
  <c r="H203" i="3"/>
  <c r="O285" i="7"/>
  <c r="D230" i="2"/>
  <c r="K230" i="2"/>
  <c r="C230" i="10"/>
  <c r="K284" i="7"/>
  <c r="T284" i="7" s="1"/>
  <c r="D284" i="8" s="1"/>
  <c r="R144" i="8"/>
  <c r="K144" i="8"/>
  <c r="M144" i="8" s="1"/>
  <c r="M203" i="3" l="1"/>
  <c r="I203" i="3"/>
  <c r="L203" i="3" s="1"/>
  <c r="P285" i="7"/>
  <c r="Q285" i="7" s="1"/>
  <c r="E230" i="2"/>
  <c r="L230" i="2"/>
  <c r="L284" i="7"/>
  <c r="V284" i="7" s="1"/>
  <c r="AI144" i="8"/>
  <c r="P144" i="8"/>
  <c r="Q144" i="8" s="1"/>
  <c r="X144" i="8"/>
  <c r="L144" i="8"/>
  <c r="F230" i="2" l="1"/>
  <c r="J203" i="3"/>
  <c r="K203" i="3" s="1"/>
  <c r="Q203" i="3"/>
  <c r="E230" i="10"/>
  <c r="B230" i="3"/>
  <c r="E285" i="8"/>
  <c r="Y285" i="7"/>
  <c r="Z284" i="7"/>
  <c r="AA284" i="7" s="1"/>
  <c r="B284" i="7" s="1"/>
  <c r="B284" i="8" s="1"/>
  <c r="U284" i="8" s="1"/>
  <c r="W284" i="8" s="1"/>
  <c r="U284" i="7"/>
  <c r="E285" i="7"/>
  <c r="AJ144" i="8"/>
  <c r="S144" i="8"/>
  <c r="Z144" i="8"/>
  <c r="AB144" i="8" s="1"/>
  <c r="Y144" i="8"/>
  <c r="AA144" i="8" s="1"/>
  <c r="AU144" i="8"/>
  <c r="G230" i="2" l="1"/>
  <c r="U203" i="3"/>
  <c r="N203" i="3"/>
  <c r="AC203" i="3"/>
  <c r="M203" i="10" s="1"/>
  <c r="X284" i="7"/>
  <c r="D285" i="7"/>
  <c r="V203" i="3"/>
  <c r="Y203" i="3" s="1"/>
  <c r="M285" i="7"/>
  <c r="AC144" i="8"/>
  <c r="T144" i="8"/>
  <c r="V144" i="8" s="1"/>
  <c r="AT144" i="8" s="1"/>
  <c r="AK144" i="8"/>
  <c r="O203" i="3" l="1"/>
  <c r="I230" i="2"/>
  <c r="C285" i="7"/>
  <c r="R285" i="7" s="1"/>
  <c r="X203" i="3"/>
  <c r="H230" i="2"/>
  <c r="AB284" i="7"/>
  <c r="I285" i="7"/>
  <c r="H285" i="7"/>
  <c r="J285" i="7" s="1"/>
  <c r="W203" i="3"/>
  <c r="Z203" i="3" s="1"/>
  <c r="I203" i="10"/>
  <c r="F204" i="3"/>
  <c r="N285" i="7"/>
  <c r="W285" i="7" s="1"/>
  <c r="F286" i="7" s="1"/>
  <c r="AD144" i="8"/>
  <c r="R203" i="3" l="1"/>
  <c r="S203" i="3" s="1"/>
  <c r="P203" i="3"/>
  <c r="J230" i="2"/>
  <c r="M230" i="2"/>
  <c r="D230" i="3"/>
  <c r="G230" i="10"/>
  <c r="H203" i="10"/>
  <c r="E204" i="3"/>
  <c r="S285" i="7"/>
  <c r="C285" i="8" s="1"/>
  <c r="K285" i="7"/>
  <c r="T285" i="7" s="1"/>
  <c r="D285" i="8" s="1"/>
  <c r="G204" i="3"/>
  <c r="J203" i="10"/>
  <c r="AA203" i="3"/>
  <c r="K203" i="10" s="1"/>
  <c r="O286" i="7"/>
  <c r="L285" i="7"/>
  <c r="V285" i="7" s="1"/>
  <c r="AL144" i="8"/>
  <c r="AE144" i="8"/>
  <c r="T203" i="3" l="1"/>
  <c r="B231" i="2"/>
  <c r="D230" i="10"/>
  <c r="C230" i="3"/>
  <c r="F230" i="10"/>
  <c r="H204" i="3"/>
  <c r="AB203" i="3"/>
  <c r="L203" i="10" s="1"/>
  <c r="P286" i="7"/>
  <c r="Q286" i="7" s="1"/>
  <c r="C231" i="10"/>
  <c r="K231" i="2"/>
  <c r="D231" i="2"/>
  <c r="C231" i="2"/>
  <c r="E286" i="7"/>
  <c r="Z285" i="7"/>
  <c r="AA285" i="7" s="1"/>
  <c r="B285" i="7" s="1"/>
  <c r="B285" i="8" s="1"/>
  <c r="U285" i="8" s="1"/>
  <c r="W285" i="8" s="1"/>
  <c r="U285" i="7"/>
  <c r="AP144" i="8"/>
  <c r="F145" i="8" s="1"/>
  <c r="AF144" i="8"/>
  <c r="AM144" i="8" s="1"/>
  <c r="AQ144" i="8" s="1"/>
  <c r="G145" i="8" s="1"/>
  <c r="L231" i="2" l="1"/>
  <c r="M204" i="3"/>
  <c r="I204" i="3"/>
  <c r="L204" i="3" s="1"/>
  <c r="Y286" i="7"/>
  <c r="E286" i="8"/>
  <c r="E231" i="2"/>
  <c r="F231" i="2" s="1"/>
  <c r="M286" i="7"/>
  <c r="D286" i="7"/>
  <c r="X285" i="7"/>
  <c r="AG144" i="8"/>
  <c r="AH144" i="8" s="1"/>
  <c r="AN144" i="8" s="1"/>
  <c r="AR144" i="8" s="1"/>
  <c r="H145" i="8" s="1"/>
  <c r="B231" i="3" l="1"/>
  <c r="E231" i="10"/>
  <c r="J204" i="3"/>
  <c r="Q204" i="3"/>
  <c r="G231" i="2"/>
  <c r="I286" i="7"/>
  <c r="H286" i="7"/>
  <c r="AB285" i="7"/>
  <c r="C286" i="7"/>
  <c r="R286" i="7" s="1"/>
  <c r="N286" i="7"/>
  <c r="W286" i="7" s="1"/>
  <c r="F287" i="7" s="1"/>
  <c r="I145" i="8"/>
  <c r="AO144" i="8"/>
  <c r="AC204" i="3" l="1"/>
  <c r="M204" i="10" s="1"/>
  <c r="K204" i="3"/>
  <c r="J286" i="7"/>
  <c r="S286" i="7"/>
  <c r="C286" i="8" s="1"/>
  <c r="H231" i="2"/>
  <c r="I231" i="2"/>
  <c r="O287" i="7"/>
  <c r="O145" i="8"/>
  <c r="J145" i="8"/>
  <c r="N145" i="8" s="1"/>
  <c r="AS144" i="8"/>
  <c r="N204" i="3" l="1"/>
  <c r="U204" i="3"/>
  <c r="P287" i="7"/>
  <c r="Q287" i="7" s="1"/>
  <c r="K286" i="7"/>
  <c r="M231" i="2"/>
  <c r="J231" i="2"/>
  <c r="D231" i="3"/>
  <c r="G231" i="10"/>
  <c r="R145" i="8"/>
  <c r="K145" i="8"/>
  <c r="M145" i="8" s="1"/>
  <c r="O204" i="3" l="1"/>
  <c r="X204" i="3"/>
  <c r="V204" i="3"/>
  <c r="Y204" i="3" s="1"/>
  <c r="Y287" i="7"/>
  <c r="E287" i="8"/>
  <c r="T286" i="7"/>
  <c r="D286" i="8" s="1"/>
  <c r="P204" i="3"/>
  <c r="F231" i="10"/>
  <c r="C231" i="3"/>
  <c r="D231" i="10"/>
  <c r="B232" i="2"/>
  <c r="L286" i="7"/>
  <c r="X145" i="8"/>
  <c r="P145" i="8"/>
  <c r="Q145" i="8" s="1"/>
  <c r="AI145" i="8"/>
  <c r="L145" i="8"/>
  <c r="R204" i="3" l="1"/>
  <c r="S204" i="3" s="1"/>
  <c r="F205" i="3"/>
  <c r="H204" i="10"/>
  <c r="E205" i="3"/>
  <c r="I204" i="10"/>
  <c r="W204" i="3"/>
  <c r="Z204" i="3" s="1"/>
  <c r="U286" i="7"/>
  <c r="V286" i="7"/>
  <c r="C232" i="2"/>
  <c r="D232" i="2"/>
  <c r="K232" i="2"/>
  <c r="C232" i="10"/>
  <c r="Z145" i="8"/>
  <c r="AB145" i="8" s="1"/>
  <c r="Y145" i="8"/>
  <c r="AA145" i="8" s="1"/>
  <c r="S145" i="8"/>
  <c r="AJ145" i="8"/>
  <c r="AU145" i="8"/>
  <c r="T204" i="3" l="1"/>
  <c r="G205" i="3"/>
  <c r="J204" i="10"/>
  <c r="AA204" i="3"/>
  <c r="K204" i="10" s="1"/>
  <c r="X286" i="7"/>
  <c r="D287" i="7"/>
  <c r="Z286" i="7"/>
  <c r="AA286" i="7" s="1"/>
  <c r="B286" i="7" s="1"/>
  <c r="B286" i="8" s="1"/>
  <c r="U286" i="8" s="1"/>
  <c r="W286" i="8" s="1"/>
  <c r="E287" i="7"/>
  <c r="E232" i="2"/>
  <c r="L232" i="2"/>
  <c r="AC145" i="8"/>
  <c r="T145" i="8"/>
  <c r="V145" i="8" s="1"/>
  <c r="AK145" i="8"/>
  <c r="AB204" i="3" l="1"/>
  <c r="L204" i="10" s="1"/>
  <c r="H205" i="3"/>
  <c r="F232" i="2"/>
  <c r="AB286" i="7"/>
  <c r="C287" i="7"/>
  <c r="R287" i="7" s="1"/>
  <c r="H287" i="7"/>
  <c r="I287" i="7"/>
  <c r="M287" i="7"/>
  <c r="E232" i="10"/>
  <c r="B232" i="3"/>
  <c r="AT145" i="8"/>
  <c r="AD145" i="8"/>
  <c r="M205" i="3" l="1"/>
  <c r="I205" i="3"/>
  <c r="L205" i="3" s="1"/>
  <c r="G232" i="2"/>
  <c r="S287" i="7"/>
  <c r="C287" i="8" s="1"/>
  <c r="J287" i="7"/>
  <c r="N287" i="7"/>
  <c r="W287" i="7" s="1"/>
  <c r="F288" i="7" s="1"/>
  <c r="AE145" i="8"/>
  <c r="AL145" i="8"/>
  <c r="Q205" i="3" l="1"/>
  <c r="J205" i="3"/>
  <c r="K205" i="3" s="1"/>
  <c r="H232" i="2"/>
  <c r="I232" i="2"/>
  <c r="K287" i="7"/>
  <c r="T287" i="7" s="1"/>
  <c r="D287" i="8" s="1"/>
  <c r="O288" i="7"/>
  <c r="AF145" i="8"/>
  <c r="AM145" i="8" s="1"/>
  <c r="AQ145" i="8" s="1"/>
  <c r="G146" i="8" s="1"/>
  <c r="AP145" i="8"/>
  <c r="F146" i="8" s="1"/>
  <c r="AC205" i="3" l="1"/>
  <c r="M205" i="10" s="1"/>
  <c r="U205" i="3"/>
  <c r="N205" i="3"/>
  <c r="G232" i="10"/>
  <c r="D232" i="3"/>
  <c r="M232" i="2"/>
  <c r="J232" i="2"/>
  <c r="L287" i="7"/>
  <c r="V287" i="7" s="1"/>
  <c r="P288" i="7"/>
  <c r="Q288" i="7" s="1"/>
  <c r="AG145" i="8"/>
  <c r="AH145" i="8" s="1"/>
  <c r="AN145" i="8" s="1"/>
  <c r="X205" i="3" l="1"/>
  <c r="V205" i="3"/>
  <c r="Y205" i="3" s="1"/>
  <c r="O205" i="3"/>
  <c r="F232" i="10"/>
  <c r="C232" i="3"/>
  <c r="D232" i="10"/>
  <c r="B233" i="2"/>
  <c r="E288" i="7"/>
  <c r="Z287" i="7"/>
  <c r="AA287" i="7" s="1"/>
  <c r="B287" i="7" s="1"/>
  <c r="B287" i="8" s="1"/>
  <c r="U287" i="8" s="1"/>
  <c r="W287" i="8" s="1"/>
  <c r="E288" i="8"/>
  <c r="Y288" i="7"/>
  <c r="U287" i="7"/>
  <c r="AO145" i="8"/>
  <c r="AR145" i="8"/>
  <c r="H146" i="8" s="1"/>
  <c r="P205" i="3" l="1"/>
  <c r="F206" i="3"/>
  <c r="E206" i="3"/>
  <c r="H205" i="10"/>
  <c r="I205" i="10"/>
  <c r="R205" i="3"/>
  <c r="S205" i="3" s="1"/>
  <c r="W205" i="3"/>
  <c r="Z205" i="3" s="1"/>
  <c r="C233" i="2"/>
  <c r="D233" i="2"/>
  <c r="C233" i="10"/>
  <c r="K233" i="2"/>
  <c r="AS145" i="8"/>
  <c r="M288" i="7"/>
  <c r="X287" i="7"/>
  <c r="D288" i="7"/>
  <c r="I146" i="8"/>
  <c r="T205" i="3" l="1"/>
  <c r="G206" i="3"/>
  <c r="J205" i="10"/>
  <c r="AA205" i="3"/>
  <c r="K205" i="10" s="1"/>
  <c r="E233" i="2"/>
  <c r="L233" i="2"/>
  <c r="AB287" i="7"/>
  <c r="C288" i="7"/>
  <c r="R288" i="7" s="1"/>
  <c r="I288" i="7"/>
  <c r="H288" i="7"/>
  <c r="N288" i="7"/>
  <c r="W288" i="7" s="1"/>
  <c r="F289" i="7" s="1"/>
  <c r="O146" i="8"/>
  <c r="J146" i="8"/>
  <c r="N146" i="8" s="1"/>
  <c r="J288" i="7" l="1"/>
  <c r="AB205" i="3"/>
  <c r="L205" i="10" s="1"/>
  <c r="H206" i="3"/>
  <c r="F233" i="2"/>
  <c r="E233" i="10"/>
  <c r="B233" i="3"/>
  <c r="S288" i="7"/>
  <c r="C288" i="8" s="1"/>
  <c r="O289" i="7"/>
  <c r="R146" i="8"/>
  <c r="K146" i="8"/>
  <c r="M146" i="8" s="1"/>
  <c r="I206" i="3" l="1"/>
  <c r="L206" i="3" s="1"/>
  <c r="K288" i="7"/>
  <c r="M206" i="3"/>
  <c r="G233" i="2"/>
  <c r="P289" i="7"/>
  <c r="Q289" i="7" s="1"/>
  <c r="T288" i="7"/>
  <c r="D288" i="8" s="1"/>
  <c r="L288" i="7"/>
  <c r="V288" i="7" s="1"/>
  <c r="X146" i="8"/>
  <c r="P146" i="8"/>
  <c r="Q146" i="8" s="1"/>
  <c r="AI146" i="8"/>
  <c r="L146" i="8"/>
  <c r="AU146" i="8" s="1"/>
  <c r="J206" i="3" l="1"/>
  <c r="K206" i="3" s="1"/>
  <c r="Q206" i="3"/>
  <c r="H233" i="2"/>
  <c r="I233" i="2"/>
  <c r="Y289" i="7"/>
  <c r="E289" i="8"/>
  <c r="U288" i="7"/>
  <c r="Z288" i="7"/>
  <c r="AA288" i="7" s="1"/>
  <c r="B288" i="7" s="1"/>
  <c r="B288" i="8" s="1"/>
  <c r="U288" i="8" s="1"/>
  <c r="W288" i="8" s="1"/>
  <c r="E289" i="7"/>
  <c r="Z146" i="8"/>
  <c r="AB146" i="8" s="1"/>
  <c r="Y146" i="8"/>
  <c r="AA146" i="8" s="1"/>
  <c r="S146" i="8"/>
  <c r="AJ146" i="8"/>
  <c r="G233" i="10" l="1"/>
  <c r="M233" i="2"/>
  <c r="AC206" i="3"/>
  <c r="M206" i="10" s="1"/>
  <c r="U206" i="3"/>
  <c r="X206" i="3"/>
  <c r="N206" i="3"/>
  <c r="D233" i="3"/>
  <c r="J233" i="2"/>
  <c r="X288" i="7"/>
  <c r="D289" i="7"/>
  <c r="I289" i="7"/>
  <c r="H289" i="7"/>
  <c r="J289" i="7" s="1"/>
  <c r="K289" i="7" s="1"/>
  <c r="T289" i="7" s="1"/>
  <c r="D289" i="8" s="1"/>
  <c r="M289" i="7"/>
  <c r="T146" i="8"/>
  <c r="V146" i="8" s="1"/>
  <c r="AK146" i="8"/>
  <c r="AC146" i="8"/>
  <c r="V206" i="3"/>
  <c r="Y206" i="3" s="1"/>
  <c r="O206" i="3"/>
  <c r="E207" i="3"/>
  <c r="H206" i="10"/>
  <c r="C233" i="3" l="1"/>
  <c r="F233" i="10"/>
  <c r="D233" i="10"/>
  <c r="B234" i="2"/>
  <c r="C234" i="2" s="1"/>
  <c r="P206" i="3"/>
  <c r="AB288" i="7"/>
  <c r="C289" i="7"/>
  <c r="R289" i="7" s="1"/>
  <c r="N289" i="7"/>
  <c r="W289" i="7" s="1"/>
  <c r="F290" i="7" s="1"/>
  <c r="L289" i="7"/>
  <c r="AT146" i="8"/>
  <c r="D234" i="2"/>
  <c r="K234" i="2"/>
  <c r="C234" i="10"/>
  <c r="AD146" i="8"/>
  <c r="I206" i="10"/>
  <c r="F207" i="3"/>
  <c r="R206" i="3"/>
  <c r="S206" i="3" s="1"/>
  <c r="W206" i="3"/>
  <c r="Z206" i="3" s="1"/>
  <c r="V289" i="7" l="1"/>
  <c r="S289" i="7"/>
  <c r="C289" i="8" s="1"/>
  <c r="O290" i="7"/>
  <c r="E234" i="2"/>
  <c r="E290" i="7"/>
  <c r="Z289" i="7"/>
  <c r="AA289" i="7" s="1"/>
  <c r="B289" i="7" s="1"/>
  <c r="B289" i="8" s="1"/>
  <c r="U289" i="8" s="1"/>
  <c r="W289" i="8" s="1"/>
  <c r="U289" i="7"/>
  <c r="T206" i="3"/>
  <c r="L234" i="2"/>
  <c r="AE146" i="8"/>
  <c r="AL146" i="8"/>
  <c r="J206" i="10"/>
  <c r="G207" i="3"/>
  <c r="AA206" i="3"/>
  <c r="K206" i="10" s="1"/>
  <c r="P290" i="7" l="1"/>
  <c r="Q290" i="7" s="1"/>
  <c r="M290" i="7"/>
  <c r="D290" i="7"/>
  <c r="X289" i="7"/>
  <c r="F234" i="2"/>
  <c r="E290" i="8"/>
  <c r="Y290" i="7"/>
  <c r="AB206" i="3"/>
  <c r="L206" i="10" s="1"/>
  <c r="E234" i="10"/>
  <c r="B234" i="3"/>
  <c r="AF146" i="8"/>
  <c r="AM146" i="8" s="1"/>
  <c r="AQ146" i="8" s="1"/>
  <c r="G147" i="8" s="1"/>
  <c r="AP146" i="8"/>
  <c r="F147" i="8" s="1"/>
  <c r="H207" i="3"/>
  <c r="I290" i="7" l="1"/>
  <c r="H290" i="7"/>
  <c r="J290" i="7" s="1"/>
  <c r="AB289" i="7"/>
  <c r="C290" i="7"/>
  <c r="R290" i="7" s="1"/>
  <c r="N290" i="7"/>
  <c r="W290" i="7" s="1"/>
  <c r="F291" i="7" s="1"/>
  <c r="G234" i="2"/>
  <c r="H234" i="2" s="1"/>
  <c r="M207" i="3"/>
  <c r="AG146" i="8"/>
  <c r="AH146" i="8" s="1"/>
  <c r="AN146" i="8" s="1"/>
  <c r="I207" i="3"/>
  <c r="L207" i="3" s="1"/>
  <c r="S290" i="7" l="1"/>
  <c r="C290" i="8" s="1"/>
  <c r="K290" i="7"/>
  <c r="O291" i="7"/>
  <c r="D234" i="3"/>
  <c r="G234" i="10"/>
  <c r="I234" i="2"/>
  <c r="L290" i="7"/>
  <c r="V290" i="7" s="1"/>
  <c r="T290" i="7"/>
  <c r="D290" i="8" s="1"/>
  <c r="AO146" i="8"/>
  <c r="AR146" i="8"/>
  <c r="H147" i="8" s="1"/>
  <c r="Q207" i="3"/>
  <c r="J207" i="3"/>
  <c r="K207" i="3" s="1"/>
  <c r="P291" i="7" l="1"/>
  <c r="Q291" i="7" s="1"/>
  <c r="Y291" i="7" s="1"/>
  <c r="M234" i="2"/>
  <c r="J234" i="2"/>
  <c r="Z290" i="7"/>
  <c r="AA290" i="7" s="1"/>
  <c r="B290" i="7" s="1"/>
  <c r="B290" i="8" s="1"/>
  <c r="U290" i="8" s="1"/>
  <c r="W290" i="8" s="1"/>
  <c r="E291" i="7"/>
  <c r="U290" i="7"/>
  <c r="AS146" i="8"/>
  <c r="I147" i="8"/>
  <c r="U207" i="3"/>
  <c r="N207" i="3"/>
  <c r="AC207" i="3"/>
  <c r="M207" i="10" s="1"/>
  <c r="E291" i="8" l="1"/>
  <c r="C234" i="3"/>
  <c r="F234" i="10"/>
  <c r="B235" i="2"/>
  <c r="D234" i="10"/>
  <c r="M291" i="7"/>
  <c r="X290" i="7"/>
  <c r="D291" i="7"/>
  <c r="J147" i="8"/>
  <c r="N147" i="8" s="1"/>
  <c r="O147" i="8"/>
  <c r="V207" i="3"/>
  <c r="Y207" i="3" s="1"/>
  <c r="O207" i="3"/>
  <c r="X207" i="3"/>
  <c r="P207" i="3" l="1"/>
  <c r="C235" i="10"/>
  <c r="K235" i="2"/>
  <c r="C235" i="2"/>
  <c r="D235" i="2"/>
  <c r="C291" i="7"/>
  <c r="R291" i="7" s="1"/>
  <c r="AB290" i="7"/>
  <c r="H291" i="7"/>
  <c r="I291" i="7"/>
  <c r="N291" i="7"/>
  <c r="W291" i="7" s="1"/>
  <c r="F292" i="7" s="1"/>
  <c r="K147" i="8"/>
  <c r="M147" i="8" s="1"/>
  <c r="R147" i="8"/>
  <c r="I207" i="10"/>
  <c r="F208" i="3"/>
  <c r="R207" i="3"/>
  <c r="S207" i="3" s="1"/>
  <c r="H207" i="10"/>
  <c r="E208" i="3"/>
  <c r="W207" i="3"/>
  <c r="Z207" i="3" s="1"/>
  <c r="E235" i="2" l="1"/>
  <c r="L235" i="2"/>
  <c r="S291" i="7"/>
  <c r="C291" i="8" s="1"/>
  <c r="O292" i="7"/>
  <c r="J291" i="7"/>
  <c r="X147" i="8"/>
  <c r="P147" i="8"/>
  <c r="Q147" i="8" s="1"/>
  <c r="AI147" i="8"/>
  <c r="L147" i="8"/>
  <c r="G208" i="3"/>
  <c r="J207" i="10"/>
  <c r="T207" i="3"/>
  <c r="AB207" i="3" s="1"/>
  <c r="L207" i="10" s="1"/>
  <c r="AA207" i="3"/>
  <c r="K207" i="10" s="1"/>
  <c r="F235" i="2" l="1"/>
  <c r="E235" i="10"/>
  <c r="B235" i="3"/>
  <c r="AJ147" i="8"/>
  <c r="AU147" i="8"/>
  <c r="S147" i="8"/>
  <c r="P292" i="7"/>
  <c r="Q292" i="7" s="1"/>
  <c r="K291" i="7"/>
  <c r="T291" i="7" s="1"/>
  <c r="D291" i="8" s="1"/>
  <c r="Z147" i="8"/>
  <c r="AB147" i="8" s="1"/>
  <c r="Y147" i="8"/>
  <c r="AA147" i="8" s="1"/>
  <c r="H208" i="3"/>
  <c r="G235" i="2" l="1"/>
  <c r="H235" i="2" s="1"/>
  <c r="I235" i="2"/>
  <c r="T147" i="8"/>
  <c r="V147" i="8" s="1"/>
  <c r="J235" i="2"/>
  <c r="L291" i="7"/>
  <c r="V291" i="7" s="1"/>
  <c r="Y292" i="7"/>
  <c r="E292" i="8"/>
  <c r="AK147" i="8"/>
  <c r="AC147" i="8"/>
  <c r="I208" i="3"/>
  <c r="L208" i="3" s="1"/>
  <c r="M208" i="3"/>
  <c r="M235" i="2" l="1"/>
  <c r="G235" i="10"/>
  <c r="D235" i="3"/>
  <c r="E292" i="7"/>
  <c r="M292" i="7" s="1"/>
  <c r="D235" i="10"/>
  <c r="B236" i="2"/>
  <c r="Z291" i="7"/>
  <c r="AA291" i="7" s="1"/>
  <c r="B291" i="7" s="1"/>
  <c r="B291" i="8" s="1"/>
  <c r="U291" i="8" s="1"/>
  <c r="W291" i="8" s="1"/>
  <c r="AT147" i="8"/>
  <c r="U291" i="7"/>
  <c r="AD147" i="8"/>
  <c r="Q208" i="3"/>
  <c r="J208" i="3"/>
  <c r="K208" i="3" s="1"/>
  <c r="C235" i="3" l="1"/>
  <c r="F235" i="10"/>
  <c r="N292" i="7"/>
  <c r="W292" i="7" s="1"/>
  <c r="F293" i="7" s="1"/>
  <c r="X291" i="7"/>
  <c r="C236" i="2"/>
  <c r="K236" i="2"/>
  <c r="D236" i="2"/>
  <c r="C236" i="10"/>
  <c r="D292" i="7"/>
  <c r="AE147" i="8"/>
  <c r="AL147" i="8"/>
  <c r="AC208" i="3"/>
  <c r="M208" i="10" s="1"/>
  <c r="U208" i="3"/>
  <c r="N208" i="3"/>
  <c r="AB291" i="7" l="1"/>
  <c r="C292" i="7"/>
  <c r="R292" i="7" s="1"/>
  <c r="O293" i="7"/>
  <c r="I292" i="7"/>
  <c r="P293" i="7"/>
  <c r="Q293" i="7" s="1"/>
  <c r="L236" i="2"/>
  <c r="E236" i="2"/>
  <c r="H292" i="7"/>
  <c r="AF147" i="8"/>
  <c r="AM147" i="8" s="1"/>
  <c r="AQ147" i="8" s="1"/>
  <c r="G148" i="8" s="1"/>
  <c r="AP147" i="8"/>
  <c r="F148" i="8" s="1"/>
  <c r="V208" i="3"/>
  <c r="Y208" i="3" s="1"/>
  <c r="O208" i="3"/>
  <c r="X208" i="3"/>
  <c r="S292" i="7" l="1"/>
  <c r="C292" i="8" s="1"/>
  <c r="E293" i="8"/>
  <c r="Y293" i="7"/>
  <c r="F236" i="2"/>
  <c r="E236" i="10"/>
  <c r="B236" i="3"/>
  <c r="J292" i="7"/>
  <c r="AG147" i="8"/>
  <c r="AH147" i="8" s="1"/>
  <c r="AN147" i="8" s="1"/>
  <c r="K292" i="7"/>
  <c r="I208" i="10"/>
  <c r="F209" i="3"/>
  <c r="R208" i="3"/>
  <c r="S208" i="3" s="1"/>
  <c r="H208" i="10"/>
  <c r="E209" i="3"/>
  <c r="P208" i="3"/>
  <c r="W208" i="3"/>
  <c r="Z208" i="3" s="1"/>
  <c r="G236" i="2" l="1"/>
  <c r="AO147" i="8"/>
  <c r="T208" i="3"/>
  <c r="AR147" i="8"/>
  <c r="H148" i="8" s="1"/>
  <c r="L292" i="7"/>
  <c r="V292" i="7" s="1"/>
  <c r="T292" i="7"/>
  <c r="D292" i="8" s="1"/>
  <c r="J208" i="10"/>
  <c r="G209" i="3"/>
  <c r="AA208" i="3"/>
  <c r="K208" i="10" s="1"/>
  <c r="I236" i="2" l="1"/>
  <c r="H236" i="2"/>
  <c r="Z292" i="7"/>
  <c r="AA292" i="7" s="1"/>
  <c r="B292" i="7" s="1"/>
  <c r="B292" i="8" s="1"/>
  <c r="U292" i="8" s="1"/>
  <c r="W292" i="8" s="1"/>
  <c r="AB208" i="3"/>
  <c r="L208" i="10" s="1"/>
  <c r="I148" i="8"/>
  <c r="AS147" i="8"/>
  <c r="E293" i="7"/>
  <c r="U292" i="7"/>
  <c r="H209" i="3"/>
  <c r="M236" i="2" l="1"/>
  <c r="J236" i="2"/>
  <c r="D236" i="3"/>
  <c r="G236" i="10"/>
  <c r="X292" i="7"/>
  <c r="J148" i="8"/>
  <c r="N148" i="8" s="1"/>
  <c r="O148" i="8"/>
  <c r="D293" i="7"/>
  <c r="M293" i="7"/>
  <c r="M209" i="3"/>
  <c r="I209" i="3"/>
  <c r="L209" i="3" s="1"/>
  <c r="C293" i="7" l="1"/>
  <c r="R293" i="7" s="1"/>
  <c r="I293" i="7"/>
  <c r="F236" i="10"/>
  <c r="C236" i="3"/>
  <c r="D236" i="10"/>
  <c r="H293" i="7"/>
  <c r="AB292" i="7"/>
  <c r="B237" i="2"/>
  <c r="R148" i="8"/>
  <c r="K148" i="8"/>
  <c r="M148" i="8" s="1"/>
  <c r="N293" i="7"/>
  <c r="W293" i="7" s="1"/>
  <c r="F294" i="7" s="1"/>
  <c r="Q209" i="3"/>
  <c r="J209" i="3"/>
  <c r="S293" i="7" l="1"/>
  <c r="C293" i="8" s="1"/>
  <c r="O294" i="7"/>
  <c r="C237" i="2"/>
  <c r="D237" i="2"/>
  <c r="K237" i="2"/>
  <c r="C237" i="10"/>
  <c r="J293" i="7"/>
  <c r="X148" i="8"/>
  <c r="P148" i="8"/>
  <c r="Q148" i="8" s="1"/>
  <c r="AI148" i="8"/>
  <c r="L148" i="8"/>
  <c r="AC209" i="3"/>
  <c r="M209" i="10" s="1"/>
  <c r="K209" i="3"/>
  <c r="K293" i="7" l="1"/>
  <c r="T293" i="7" s="1"/>
  <c r="D293" i="8" s="1"/>
  <c r="Z148" i="8"/>
  <c r="AB148" i="8" s="1"/>
  <c r="Y148" i="8"/>
  <c r="AA148" i="8" s="1"/>
  <c r="S148" i="8"/>
  <c r="P294" i="7"/>
  <c r="Q294" i="7" s="1"/>
  <c r="AJ148" i="8"/>
  <c r="L237" i="2"/>
  <c r="E237" i="10" s="1"/>
  <c r="E237" i="2"/>
  <c r="AU148" i="8"/>
  <c r="L293" i="7"/>
  <c r="V293" i="7" s="1"/>
  <c r="U209" i="3"/>
  <c r="N209" i="3"/>
  <c r="AC148" i="8" l="1"/>
  <c r="T148" i="8"/>
  <c r="V148" i="8" s="1"/>
  <c r="B237" i="3"/>
  <c r="Y294" i="7"/>
  <c r="E294" i="8"/>
  <c r="AK148" i="8"/>
  <c r="F237" i="2"/>
  <c r="Z293" i="7"/>
  <c r="AA293" i="7" s="1"/>
  <c r="B293" i="7" s="1"/>
  <c r="B293" i="8" s="1"/>
  <c r="U293" i="8" s="1"/>
  <c r="W293" i="8" s="1"/>
  <c r="E294" i="7"/>
  <c r="U293" i="7"/>
  <c r="X209" i="3"/>
  <c r="V209" i="3"/>
  <c r="Y209" i="3" s="1"/>
  <c r="O209" i="3"/>
  <c r="AD148" i="8" l="1"/>
  <c r="AT148" i="8"/>
  <c r="G237" i="2"/>
  <c r="M294" i="7"/>
  <c r="X293" i="7"/>
  <c r="D294" i="7"/>
  <c r="H209" i="10"/>
  <c r="E210" i="3"/>
  <c r="H294" i="7"/>
  <c r="AE148" i="8"/>
  <c r="AL148" i="8"/>
  <c r="I209" i="10"/>
  <c r="F210" i="3"/>
  <c r="R209" i="3"/>
  <c r="S209" i="3" s="1"/>
  <c r="W209" i="3"/>
  <c r="Z209" i="3" s="1"/>
  <c r="P209" i="3"/>
  <c r="N294" i="7" l="1"/>
  <c r="W294" i="7" s="1"/>
  <c r="F295" i="7" s="1"/>
  <c r="AB293" i="7"/>
  <c r="C294" i="7"/>
  <c r="R294" i="7" s="1"/>
  <c r="I237" i="2"/>
  <c r="H237" i="2"/>
  <c r="I294" i="7"/>
  <c r="O295" i="7"/>
  <c r="AA209" i="3"/>
  <c r="K209" i="10" s="1"/>
  <c r="AF148" i="8"/>
  <c r="AM148" i="8" s="1"/>
  <c r="AQ148" i="8" s="1"/>
  <c r="G149" i="8" s="1"/>
  <c r="AP148" i="8"/>
  <c r="F149" i="8" s="1"/>
  <c r="G210" i="3"/>
  <c r="J209" i="10"/>
  <c r="T209" i="3"/>
  <c r="J237" i="2" l="1"/>
  <c r="M237" i="2"/>
  <c r="D237" i="3"/>
  <c r="G237" i="10"/>
  <c r="J294" i="7"/>
  <c r="K294" i="7" s="1"/>
  <c r="S294" i="7"/>
  <c r="C294" i="8" s="1"/>
  <c r="P295" i="7"/>
  <c r="Q295" i="7" s="1"/>
  <c r="AG148" i="8"/>
  <c r="AH148" i="8" s="1"/>
  <c r="AN148" i="8" s="1"/>
  <c r="F237" i="10"/>
  <c r="C237" i="3"/>
  <c r="D237" i="10"/>
  <c r="B238" i="2"/>
  <c r="H210" i="3"/>
  <c r="AB209" i="3"/>
  <c r="L209" i="10" s="1"/>
  <c r="L294" i="7" l="1"/>
  <c r="T294" i="7"/>
  <c r="D294" i="8" s="1"/>
  <c r="Y295" i="7"/>
  <c r="E295" i="8"/>
  <c r="M210" i="3"/>
  <c r="AO148" i="8"/>
  <c r="AR148" i="8"/>
  <c r="H149" i="8" s="1"/>
  <c r="C238" i="2"/>
  <c r="D238" i="2"/>
  <c r="K238" i="2"/>
  <c r="C238" i="10"/>
  <c r="I210" i="3"/>
  <c r="L210" i="3" s="1"/>
  <c r="V294" i="7" l="1"/>
  <c r="U294" i="7"/>
  <c r="I149" i="8"/>
  <c r="AS148" i="8"/>
  <c r="E238" i="2"/>
  <c r="Q210" i="3"/>
  <c r="J210" i="3"/>
  <c r="K210" i="3" s="1"/>
  <c r="L238" i="2"/>
  <c r="Z294" i="7" l="1"/>
  <c r="AA294" i="7" s="1"/>
  <c r="B294" i="7" s="1"/>
  <c r="B294" i="8" s="1"/>
  <c r="U294" i="8" s="1"/>
  <c r="W294" i="8" s="1"/>
  <c r="E295" i="7"/>
  <c r="X294" i="7"/>
  <c r="D295" i="7"/>
  <c r="I295" i="7"/>
  <c r="H295" i="7"/>
  <c r="J295" i="7" s="1"/>
  <c r="O149" i="8"/>
  <c r="J149" i="8"/>
  <c r="N149" i="8" s="1"/>
  <c r="F238" i="2"/>
  <c r="U210" i="3"/>
  <c r="N210" i="3"/>
  <c r="E238" i="10"/>
  <c r="B238" i="3"/>
  <c r="AC210" i="3"/>
  <c r="M210" i="10" s="1"/>
  <c r="AB294" i="7" l="1"/>
  <c r="C295" i="7"/>
  <c r="R295" i="7" s="1"/>
  <c r="M295" i="7"/>
  <c r="G238" i="2"/>
  <c r="H238" i="2" s="1"/>
  <c r="K295" i="7"/>
  <c r="T295" i="7" s="1"/>
  <c r="D295" i="8" s="1"/>
  <c r="R149" i="8"/>
  <c r="K149" i="8"/>
  <c r="M149" i="8" s="1"/>
  <c r="V210" i="3"/>
  <c r="Y210" i="3" s="1"/>
  <c r="O210" i="3"/>
  <c r="P210" i="3"/>
  <c r="X210" i="3"/>
  <c r="S295" i="7" l="1"/>
  <c r="C295" i="8" s="1"/>
  <c r="N295" i="7"/>
  <c r="W295" i="7" s="1"/>
  <c r="F296" i="7" s="1"/>
  <c r="G238" i="10"/>
  <c r="D238" i="3"/>
  <c r="I238" i="2"/>
  <c r="L295" i="7"/>
  <c r="L149" i="8"/>
  <c r="X149" i="8"/>
  <c r="P149" i="8"/>
  <c r="Q149" i="8" s="1"/>
  <c r="AI149" i="8"/>
  <c r="I210" i="10"/>
  <c r="F211" i="3"/>
  <c r="R210" i="3"/>
  <c r="S210" i="3" s="1"/>
  <c r="H210" i="10"/>
  <c r="E211" i="3"/>
  <c r="W210" i="3"/>
  <c r="O296" i="7" l="1"/>
  <c r="M238" i="2"/>
  <c r="J238" i="2"/>
  <c r="V295" i="7"/>
  <c r="U295" i="7"/>
  <c r="AU149" i="8"/>
  <c r="Z149" i="8"/>
  <c r="AB149" i="8" s="1"/>
  <c r="Y149" i="8"/>
  <c r="AA149" i="8" s="1"/>
  <c r="S149" i="8"/>
  <c r="AJ149" i="8"/>
  <c r="AA210" i="3"/>
  <c r="K210" i="10" s="1"/>
  <c r="Z210" i="3"/>
  <c r="T210" i="3"/>
  <c r="P296" i="7" l="1"/>
  <c r="F238" i="10"/>
  <c r="C238" i="3"/>
  <c r="B239" i="2"/>
  <c r="D238" i="10"/>
  <c r="E296" i="7"/>
  <c r="Z295" i="7"/>
  <c r="AA295" i="7" s="1"/>
  <c r="B295" i="7" s="1"/>
  <c r="B295" i="8" s="1"/>
  <c r="U295" i="8" s="1"/>
  <c r="W295" i="8" s="1"/>
  <c r="X295" i="7"/>
  <c r="D296" i="7"/>
  <c r="AC149" i="8"/>
  <c r="T149" i="8"/>
  <c r="V149" i="8" s="1"/>
  <c r="AK149" i="8"/>
  <c r="AB210" i="3"/>
  <c r="L210" i="10" s="1"/>
  <c r="G211" i="3"/>
  <c r="J210" i="10"/>
  <c r="C239" i="2" l="1"/>
  <c r="C239" i="10"/>
  <c r="Q296" i="7"/>
  <c r="D239" i="2"/>
  <c r="K239" i="2"/>
  <c r="M296" i="7"/>
  <c r="C296" i="7"/>
  <c r="R296" i="7" s="1"/>
  <c r="AB295" i="7"/>
  <c r="I296" i="7"/>
  <c r="H296" i="7"/>
  <c r="J296" i="7" s="1"/>
  <c r="AT149" i="8"/>
  <c r="AD149" i="8"/>
  <c r="H211" i="3"/>
  <c r="E239" i="2" l="1"/>
  <c r="Y296" i="7"/>
  <c r="E296" i="8"/>
  <c r="L239" i="2"/>
  <c r="S296" i="7"/>
  <c r="C296" i="8" s="1"/>
  <c r="K296" i="7"/>
  <c r="N296" i="7"/>
  <c r="W296" i="7" s="1"/>
  <c r="F297" i="7" s="1"/>
  <c r="AE149" i="8"/>
  <c r="AL149" i="8"/>
  <c r="I211" i="3"/>
  <c r="L211" i="3" s="1"/>
  <c r="M211" i="3"/>
  <c r="E239" i="10" l="1"/>
  <c r="B239" i="3"/>
  <c r="F239" i="2"/>
  <c r="T296" i="7"/>
  <c r="D296" i="8" s="1"/>
  <c r="O297" i="7"/>
  <c r="L296" i="7"/>
  <c r="V296" i="7" s="1"/>
  <c r="AF149" i="8"/>
  <c r="AM149" i="8" s="1"/>
  <c r="AQ149" i="8" s="1"/>
  <c r="G150" i="8" s="1"/>
  <c r="AP149" i="8"/>
  <c r="F150" i="8" s="1"/>
  <c r="Q211" i="3"/>
  <c r="J211" i="3"/>
  <c r="K211" i="3" s="1"/>
  <c r="G239" i="2" l="1"/>
  <c r="H239" i="2" s="1"/>
  <c r="E297" i="7"/>
  <c r="Z296" i="7"/>
  <c r="AA296" i="7" s="1"/>
  <c r="B296" i="7" s="1"/>
  <c r="B296" i="8" s="1"/>
  <c r="U296" i="8" s="1"/>
  <c r="W296" i="8" s="1"/>
  <c r="G239" i="10"/>
  <c r="D239" i="3"/>
  <c r="U296" i="7"/>
  <c r="P297" i="7"/>
  <c r="Q297" i="7" s="1"/>
  <c r="I239" i="2"/>
  <c r="AG149" i="8"/>
  <c r="AH149" i="8" s="1"/>
  <c r="AN149" i="8" s="1"/>
  <c r="AR149" i="8" s="1"/>
  <c r="H150" i="8" s="1"/>
  <c r="U211" i="3"/>
  <c r="N211" i="3"/>
  <c r="AC211" i="3"/>
  <c r="M211" i="10" s="1"/>
  <c r="M297" i="7" l="1"/>
  <c r="X296" i="7"/>
  <c r="D297" i="7"/>
  <c r="E297" i="8"/>
  <c r="Y297" i="7"/>
  <c r="M239" i="2"/>
  <c r="C239" i="3" s="1"/>
  <c r="J239" i="2"/>
  <c r="I150" i="8"/>
  <c r="AO149" i="8"/>
  <c r="X211" i="3"/>
  <c r="V211" i="3"/>
  <c r="Y211" i="3" s="1"/>
  <c r="O211" i="3"/>
  <c r="F239" i="10" l="1"/>
  <c r="D239" i="10"/>
  <c r="B240" i="2"/>
  <c r="AB296" i="7"/>
  <c r="C297" i="7"/>
  <c r="I297" i="7"/>
  <c r="H297" i="7"/>
  <c r="N297" i="7"/>
  <c r="W297" i="7" s="1"/>
  <c r="F298" i="7" s="1"/>
  <c r="J150" i="8"/>
  <c r="N150" i="8" s="1"/>
  <c r="O150" i="8"/>
  <c r="E212" i="3"/>
  <c r="H211" i="10"/>
  <c r="AS149" i="8"/>
  <c r="P211" i="3"/>
  <c r="I211" i="10"/>
  <c r="F212" i="3"/>
  <c r="R211" i="3"/>
  <c r="S211" i="3" s="1"/>
  <c r="W211" i="3"/>
  <c r="Z211" i="3" s="1"/>
  <c r="J297" i="7" l="1"/>
  <c r="K297" i="7" s="1"/>
  <c r="T297" i="7" s="1"/>
  <c r="D297" i="8" s="1"/>
  <c r="C240" i="2"/>
  <c r="D240" i="2"/>
  <c r="K240" i="2"/>
  <c r="C240" i="10"/>
  <c r="R297" i="7"/>
  <c r="S297" i="7" s="1"/>
  <c r="C297" i="8" s="1"/>
  <c r="O298" i="7"/>
  <c r="R150" i="8"/>
  <c r="K150" i="8"/>
  <c r="M150" i="8" s="1"/>
  <c r="AA211" i="3"/>
  <c r="K211" i="10" s="1"/>
  <c r="J211" i="10"/>
  <c r="G212" i="3"/>
  <c r="T211" i="3"/>
  <c r="L297" i="7" l="1"/>
  <c r="V297" i="7" s="1"/>
  <c r="E240" i="2"/>
  <c r="L240" i="2"/>
  <c r="P298" i="7"/>
  <c r="Q298" i="7" s="1"/>
  <c r="AI150" i="8"/>
  <c r="P150" i="8"/>
  <c r="Q150" i="8" s="1"/>
  <c r="X150" i="8"/>
  <c r="L150" i="8"/>
  <c r="AU150" i="8" s="1"/>
  <c r="AB211" i="3"/>
  <c r="L211" i="10" s="1"/>
  <c r="H212" i="3"/>
  <c r="U297" i="7" l="1"/>
  <c r="E298" i="7"/>
  <c r="Z297" i="7"/>
  <c r="AA297" i="7" s="1"/>
  <c r="B297" i="7" s="1"/>
  <c r="B297" i="8" s="1"/>
  <c r="U297" i="8" s="1"/>
  <c r="W297" i="8" s="1"/>
  <c r="Y298" i="7"/>
  <c r="E298" i="8"/>
  <c r="E240" i="10"/>
  <c r="B240" i="3"/>
  <c r="F240" i="2"/>
  <c r="AJ150" i="8"/>
  <c r="S150" i="8"/>
  <c r="M212" i="3"/>
  <c r="Z150" i="8"/>
  <c r="AB150" i="8" s="1"/>
  <c r="Y150" i="8"/>
  <c r="AA150" i="8" s="1"/>
  <c r="I212" i="3"/>
  <c r="L212" i="3" s="1"/>
  <c r="D298" i="7" l="1"/>
  <c r="M298" i="7"/>
  <c r="X297" i="7"/>
  <c r="H298" i="7"/>
  <c r="C298" i="7"/>
  <c r="R298" i="7" s="1"/>
  <c r="I298" i="7"/>
  <c r="AB297" i="7"/>
  <c r="G240" i="2"/>
  <c r="H240" i="2" s="1"/>
  <c r="AK150" i="8"/>
  <c r="T150" i="8"/>
  <c r="V150" i="8" s="1"/>
  <c r="AC150" i="8"/>
  <c r="Q212" i="3"/>
  <c r="J212" i="3"/>
  <c r="K212" i="3" s="1"/>
  <c r="N298" i="7" l="1"/>
  <c r="J298" i="7"/>
  <c r="S298" i="7"/>
  <c r="C298" i="8" s="1"/>
  <c r="I240" i="2"/>
  <c r="D240" i="3"/>
  <c r="G240" i="10"/>
  <c r="AT150" i="8"/>
  <c r="AD150" i="8"/>
  <c r="U212" i="3"/>
  <c r="N212" i="3"/>
  <c r="AC212" i="3"/>
  <c r="M212" i="10" s="1"/>
  <c r="J240" i="2" l="1"/>
  <c r="M240" i="2"/>
  <c r="W298" i="7"/>
  <c r="F299" i="7" s="1"/>
  <c r="K298" i="7"/>
  <c r="C240" i="3"/>
  <c r="D240" i="10"/>
  <c r="B241" i="2"/>
  <c r="F240" i="10"/>
  <c r="O299" i="7"/>
  <c r="AL150" i="8"/>
  <c r="AP150" i="8" s="1"/>
  <c r="F151" i="8" s="1"/>
  <c r="AE150" i="8"/>
  <c r="AF150" i="8" s="1"/>
  <c r="AM150" i="8" s="1"/>
  <c r="AQ150" i="8" s="1"/>
  <c r="G151" i="8" s="1"/>
  <c r="V212" i="3"/>
  <c r="Y212" i="3" s="1"/>
  <c r="O212" i="3"/>
  <c r="X212" i="3"/>
  <c r="P299" i="7" l="1"/>
  <c r="Q299" i="7" s="1"/>
  <c r="T298" i="7"/>
  <c r="D298" i="8" s="1"/>
  <c r="L298" i="7"/>
  <c r="V298" i="7" s="1"/>
  <c r="Z298" i="7" s="1"/>
  <c r="AA298" i="7" s="1"/>
  <c r="B298" i="7" s="1"/>
  <c r="B298" i="8" s="1"/>
  <c r="U298" i="8" s="1"/>
  <c r="C241" i="10"/>
  <c r="C241" i="2"/>
  <c r="D241" i="2"/>
  <c r="K241" i="2"/>
  <c r="AG150" i="8"/>
  <c r="AH150" i="8" s="1"/>
  <c r="AN150" i="8" s="1"/>
  <c r="AR150" i="8" s="1"/>
  <c r="H151" i="8" s="1"/>
  <c r="P212" i="3"/>
  <c r="I212" i="10"/>
  <c r="F213" i="3"/>
  <c r="R212" i="3"/>
  <c r="S212" i="3" s="1"/>
  <c r="H212" i="10"/>
  <c r="E213" i="3"/>
  <c r="W212" i="3"/>
  <c r="Z212" i="3" s="1"/>
  <c r="W298" i="8" l="1"/>
  <c r="Y299" i="7"/>
  <c r="E299" i="8"/>
  <c r="U298" i="7"/>
  <c r="E299" i="7"/>
  <c r="M299" i="7" s="1"/>
  <c r="E241" i="2"/>
  <c r="L241" i="2"/>
  <c r="B241" i="3" s="1"/>
  <c r="I151" i="8"/>
  <c r="AO150" i="8"/>
  <c r="G213" i="3"/>
  <c r="J212" i="10"/>
  <c r="T212" i="3"/>
  <c r="AA212" i="3"/>
  <c r="K212" i="10" s="1"/>
  <c r="X298" i="7" l="1"/>
  <c r="D299" i="7"/>
  <c r="N299" i="7"/>
  <c r="W299" i="7" s="1"/>
  <c r="F300" i="7" s="1"/>
  <c r="E241" i="10"/>
  <c r="F241" i="2"/>
  <c r="O151" i="8"/>
  <c r="J151" i="8"/>
  <c r="N151" i="8" s="1"/>
  <c r="AS150" i="8"/>
  <c r="H213" i="3"/>
  <c r="AB212" i="3"/>
  <c r="L212" i="10" s="1"/>
  <c r="C299" i="7" l="1"/>
  <c r="R299" i="7" s="1"/>
  <c r="AB298" i="7"/>
  <c r="H299" i="7"/>
  <c r="I299" i="7"/>
  <c r="S299" i="7" s="1"/>
  <c r="C299" i="8" s="1"/>
  <c r="O300" i="7"/>
  <c r="G241" i="2"/>
  <c r="H241" i="2" s="1"/>
  <c r="R151" i="8"/>
  <c r="K151" i="8"/>
  <c r="M151" i="8" s="1"/>
  <c r="M213" i="3"/>
  <c r="I213" i="3"/>
  <c r="L213" i="3" s="1"/>
  <c r="I241" i="2" l="1"/>
  <c r="P300" i="7"/>
  <c r="Q300" i="7" s="1"/>
  <c r="J241" i="2"/>
  <c r="M241" i="2"/>
  <c r="D241" i="3"/>
  <c r="J299" i="7"/>
  <c r="G241" i="10"/>
  <c r="L151" i="8"/>
  <c r="X151" i="8"/>
  <c r="P151" i="8"/>
  <c r="Q151" i="8" s="1"/>
  <c r="AI151" i="8"/>
  <c r="AU151" i="8"/>
  <c r="Q213" i="3"/>
  <c r="J213" i="3"/>
  <c r="K213" i="3" s="1"/>
  <c r="Y300" i="7" l="1"/>
  <c r="E300" i="8"/>
  <c r="B242" i="2"/>
  <c r="C241" i="3"/>
  <c r="D241" i="10"/>
  <c r="F241" i="10"/>
  <c r="K299" i="7"/>
  <c r="T299" i="7"/>
  <c r="D299" i="8" s="1"/>
  <c r="Z151" i="8"/>
  <c r="AB151" i="8" s="1"/>
  <c r="Y151" i="8"/>
  <c r="AA151" i="8" s="1"/>
  <c r="S151" i="8"/>
  <c r="AJ151" i="8"/>
  <c r="U213" i="3"/>
  <c r="N213" i="3"/>
  <c r="AC213" i="3"/>
  <c r="M213" i="10" s="1"/>
  <c r="C242" i="2" l="1"/>
  <c r="D242" i="2"/>
  <c r="K242" i="2"/>
  <c r="C242" i="10"/>
  <c r="AC151" i="8"/>
  <c r="L299" i="7"/>
  <c r="V299" i="7" s="1"/>
  <c r="AK151" i="8"/>
  <c r="T151" i="8"/>
  <c r="V151" i="8" s="1"/>
  <c r="X213" i="3"/>
  <c r="V213" i="3"/>
  <c r="Y213" i="3" s="1"/>
  <c r="O213" i="3"/>
  <c r="E242" i="2" l="1"/>
  <c r="L242" i="2"/>
  <c r="E300" i="7"/>
  <c r="U299" i="7"/>
  <c r="AD151" i="8"/>
  <c r="E214" i="3"/>
  <c r="Z299" i="7"/>
  <c r="AA299" i="7" s="1"/>
  <c r="B299" i="7" s="1"/>
  <c r="B299" i="8" s="1"/>
  <c r="U299" i="8" s="1"/>
  <c r="W299" i="8" s="1"/>
  <c r="M300" i="7"/>
  <c r="AT151" i="8"/>
  <c r="H213" i="10"/>
  <c r="B242" i="3"/>
  <c r="P213" i="3"/>
  <c r="I213" i="10"/>
  <c r="F214" i="3"/>
  <c r="R213" i="3"/>
  <c r="S213" i="3" s="1"/>
  <c r="W213" i="3"/>
  <c r="D300" i="7" l="1"/>
  <c r="X299" i="7"/>
  <c r="F242" i="2"/>
  <c r="E242" i="10"/>
  <c r="AE151" i="8"/>
  <c r="AL151" i="8"/>
  <c r="N300" i="7"/>
  <c r="W300" i="7" s="1"/>
  <c r="F301" i="7" s="1"/>
  <c r="AA213" i="3"/>
  <c r="K213" i="10" s="1"/>
  <c r="Z213" i="3"/>
  <c r="T213" i="3"/>
  <c r="I300" i="7" l="1"/>
  <c r="H300" i="7"/>
  <c r="AB299" i="7"/>
  <c r="C300" i="7"/>
  <c r="R300" i="7" s="1"/>
  <c r="G242" i="2"/>
  <c r="H242" i="2" s="1"/>
  <c r="AF151" i="8"/>
  <c r="AM151" i="8" s="1"/>
  <c r="AQ151" i="8" s="1"/>
  <c r="G152" i="8" s="1"/>
  <c r="AP151" i="8"/>
  <c r="F152" i="8" s="1"/>
  <c r="O301" i="7"/>
  <c r="G214" i="3"/>
  <c r="J213" i="10"/>
  <c r="AB213" i="3"/>
  <c r="L213" i="10" s="1"/>
  <c r="J300" i="7" l="1"/>
  <c r="G242" i="10"/>
  <c r="D242" i="3"/>
  <c r="I242" i="2"/>
  <c r="S300" i="7"/>
  <c r="C300" i="8" s="1"/>
  <c r="AG151" i="8"/>
  <c r="AH151" i="8" s="1"/>
  <c r="AN151" i="8" s="1"/>
  <c r="K300" i="7"/>
  <c r="T300" i="7" s="1"/>
  <c r="D300" i="8" s="1"/>
  <c r="L300" i="7"/>
  <c r="V300" i="7" s="1"/>
  <c r="P301" i="7"/>
  <c r="Q301" i="7" s="1"/>
  <c r="H214" i="3"/>
  <c r="J242" i="2" l="1"/>
  <c r="M242" i="2"/>
  <c r="AO151" i="8"/>
  <c r="AR151" i="8"/>
  <c r="H152" i="8" s="1"/>
  <c r="E301" i="7"/>
  <c r="Z300" i="7"/>
  <c r="AA300" i="7" s="1"/>
  <c r="B300" i="7" s="1"/>
  <c r="B300" i="8" s="1"/>
  <c r="U300" i="8" s="1"/>
  <c r="W300" i="8" s="1"/>
  <c r="U300" i="7"/>
  <c r="B243" i="2"/>
  <c r="C242" i="3"/>
  <c r="D242" i="10"/>
  <c r="F242" i="10"/>
  <c r="E301" i="8"/>
  <c r="Y301" i="7"/>
  <c r="I214" i="3"/>
  <c r="L214" i="3" s="1"/>
  <c r="M214" i="3"/>
  <c r="D301" i="7" l="1"/>
  <c r="X300" i="7"/>
  <c r="C243" i="2"/>
  <c r="K243" i="2"/>
  <c r="D243" i="2"/>
  <c r="C243" i="10"/>
  <c r="I152" i="8"/>
  <c r="AS151" i="8"/>
  <c r="M301" i="7"/>
  <c r="I301" i="7"/>
  <c r="H301" i="7"/>
  <c r="J301" i="7" s="1"/>
  <c r="AB300" i="7"/>
  <c r="C301" i="7"/>
  <c r="R301" i="7" s="1"/>
  <c r="Q214" i="3"/>
  <c r="J214" i="3"/>
  <c r="K214" i="3" s="1"/>
  <c r="N301" i="7" l="1"/>
  <c r="W301" i="7" s="1"/>
  <c r="F302" i="7" s="1"/>
  <c r="O302" i="7" s="1"/>
  <c r="P302" i="7" s="1"/>
  <c r="Q302" i="7" s="1"/>
  <c r="L243" i="2"/>
  <c r="E243" i="2"/>
  <c r="F243" i="2" s="1"/>
  <c r="O152" i="8"/>
  <c r="J152" i="8"/>
  <c r="N152" i="8" s="1"/>
  <c r="Y302" i="7"/>
  <c r="E302" i="8"/>
  <c r="K301" i="7"/>
  <c r="T301" i="7" s="1"/>
  <c r="D301" i="8" s="1"/>
  <c r="S301" i="7"/>
  <c r="C301" i="8" s="1"/>
  <c r="U214" i="3"/>
  <c r="N214" i="3"/>
  <c r="AC214" i="3"/>
  <c r="M214" i="10" s="1"/>
  <c r="E243" i="10" l="1"/>
  <c r="B243" i="3"/>
  <c r="G243" i="2"/>
  <c r="H243" i="2" s="1"/>
  <c r="R152" i="8"/>
  <c r="K152" i="8"/>
  <c r="M152" i="8" s="1"/>
  <c r="L301" i="7"/>
  <c r="V301" i="7" s="1"/>
  <c r="Z301" i="7" s="1"/>
  <c r="AA301" i="7" s="1"/>
  <c r="B301" i="7" s="1"/>
  <c r="B301" i="8" s="1"/>
  <c r="U301" i="8" s="1"/>
  <c r="W301" i="8" s="1"/>
  <c r="D243" i="3"/>
  <c r="I243" i="2"/>
  <c r="J243" i="2" s="1"/>
  <c r="G243" i="10"/>
  <c r="X214" i="3"/>
  <c r="X152" i="8"/>
  <c r="P152" i="8"/>
  <c r="Q152" i="8" s="1"/>
  <c r="AI152" i="8"/>
  <c r="V214" i="3"/>
  <c r="Y214" i="3" s="1"/>
  <c r="O214" i="3"/>
  <c r="L152" i="8" l="1"/>
  <c r="U301" i="7"/>
  <c r="E302" i="7"/>
  <c r="M302" i="7"/>
  <c r="M243" i="2"/>
  <c r="D243" i="10"/>
  <c r="B244" i="2"/>
  <c r="W214" i="3"/>
  <c r="Z214" i="3" s="1"/>
  <c r="E215" i="3"/>
  <c r="H214" i="10"/>
  <c r="P214" i="3"/>
  <c r="Z152" i="8"/>
  <c r="AB152" i="8" s="1"/>
  <c r="Y152" i="8"/>
  <c r="AA152" i="8" s="1"/>
  <c r="S152" i="8"/>
  <c r="AJ152" i="8"/>
  <c r="I214" i="10"/>
  <c r="F215" i="3"/>
  <c r="R214" i="3"/>
  <c r="S214" i="3" s="1"/>
  <c r="AU152" i="8" l="1"/>
  <c r="X301" i="7"/>
  <c r="D302" i="7"/>
  <c r="N302" i="7"/>
  <c r="W302" i="7" s="1"/>
  <c r="F303" i="7" s="1"/>
  <c r="C243" i="3"/>
  <c r="F243" i="10"/>
  <c r="C244" i="2"/>
  <c r="D244" i="2"/>
  <c r="K244" i="2"/>
  <c r="C244" i="10"/>
  <c r="G215" i="3"/>
  <c r="J214" i="10"/>
  <c r="AA214" i="3"/>
  <c r="K214" i="10" s="1"/>
  <c r="AC152" i="8"/>
  <c r="T152" i="8"/>
  <c r="V152" i="8" s="1"/>
  <c r="AK152" i="8"/>
  <c r="T214" i="3"/>
  <c r="L244" i="2" l="1"/>
  <c r="E244" i="2"/>
  <c r="AB301" i="7"/>
  <c r="C302" i="7"/>
  <c r="R302" i="7" s="1"/>
  <c r="H302" i="7"/>
  <c r="I302" i="7"/>
  <c r="S302" i="7" s="1"/>
  <c r="C302" i="8" s="1"/>
  <c r="H215" i="3"/>
  <c r="O303" i="7"/>
  <c r="B244" i="3"/>
  <c r="E244" i="10"/>
  <c r="F244" i="2"/>
  <c r="AT152" i="8"/>
  <c r="AD152" i="8"/>
  <c r="AB214" i="3"/>
  <c r="L214" i="10" s="1"/>
  <c r="I215" i="3" l="1"/>
  <c r="L215" i="3" s="1"/>
  <c r="J302" i="7"/>
  <c r="P303" i="7"/>
  <c r="Q303" i="7" s="1"/>
  <c r="M215" i="3"/>
  <c r="E303" i="8"/>
  <c r="Y303" i="7"/>
  <c r="G244" i="2"/>
  <c r="AE152" i="8"/>
  <c r="AL152" i="8"/>
  <c r="K302" i="7" l="1"/>
  <c r="Q215" i="3"/>
  <c r="J215" i="3"/>
  <c r="K215" i="3" s="1"/>
  <c r="I244" i="2"/>
  <c r="H244" i="2"/>
  <c r="AF152" i="8"/>
  <c r="AM152" i="8" s="1"/>
  <c r="AQ152" i="8" s="1"/>
  <c r="G153" i="8" s="1"/>
  <c r="AP152" i="8"/>
  <c r="F153" i="8" s="1"/>
  <c r="L302" i="7" l="1"/>
  <c r="T302" i="7"/>
  <c r="D302" i="8" s="1"/>
  <c r="U215" i="3"/>
  <c r="N215" i="3"/>
  <c r="AC215" i="3"/>
  <c r="M215" i="10" s="1"/>
  <c r="J244" i="2"/>
  <c r="M244" i="2"/>
  <c r="D244" i="3"/>
  <c r="G244" i="10"/>
  <c r="AG152" i="8"/>
  <c r="AH152" i="8" s="1"/>
  <c r="AN152" i="8" s="1"/>
  <c r="AR152" i="8" s="1"/>
  <c r="H153" i="8" s="1"/>
  <c r="U302" i="7" l="1"/>
  <c r="V302" i="7"/>
  <c r="X215" i="3"/>
  <c r="V215" i="3"/>
  <c r="Y215" i="3" s="1"/>
  <c r="O215" i="3"/>
  <c r="F244" i="10"/>
  <c r="C244" i="3"/>
  <c r="D244" i="10"/>
  <c r="B245" i="2"/>
  <c r="I153" i="8"/>
  <c r="AO152" i="8"/>
  <c r="C245" i="10"/>
  <c r="X302" i="7" l="1"/>
  <c r="D303" i="7"/>
  <c r="E303" i="7"/>
  <c r="Z302" i="7"/>
  <c r="AA302" i="7" s="1"/>
  <c r="B302" i="7" s="1"/>
  <c r="B302" i="8" s="1"/>
  <c r="U302" i="8" s="1"/>
  <c r="W302" i="8" s="1"/>
  <c r="P215" i="3"/>
  <c r="E216" i="3"/>
  <c r="H215" i="10"/>
  <c r="I215" i="10"/>
  <c r="F216" i="3"/>
  <c r="R215" i="3"/>
  <c r="S215" i="3" s="1"/>
  <c r="W215" i="3"/>
  <c r="Z215" i="3" s="1"/>
  <c r="C245" i="2"/>
  <c r="D245" i="2"/>
  <c r="K245" i="2"/>
  <c r="O153" i="8"/>
  <c r="AS152" i="8"/>
  <c r="J153" i="8"/>
  <c r="N153" i="8" s="1"/>
  <c r="AB302" i="7" l="1"/>
  <c r="C303" i="7"/>
  <c r="R303" i="7" s="1"/>
  <c r="I303" i="7"/>
  <c r="S303" i="7" s="1"/>
  <c r="C303" i="8" s="1"/>
  <c r="H303" i="7"/>
  <c r="J303" i="7" s="1"/>
  <c r="M303" i="7"/>
  <c r="AA215" i="3"/>
  <c r="K215" i="10" s="1"/>
  <c r="J215" i="10"/>
  <c r="G216" i="3"/>
  <c r="T215" i="3"/>
  <c r="AB215" i="3" s="1"/>
  <c r="L215" i="10" s="1"/>
  <c r="L245" i="2"/>
  <c r="E245" i="2"/>
  <c r="E245" i="10"/>
  <c r="B245" i="3"/>
  <c r="R153" i="8"/>
  <c r="K153" i="8"/>
  <c r="M153" i="8" s="1"/>
  <c r="H216" i="3"/>
  <c r="K303" i="7" l="1"/>
  <c r="N303" i="7"/>
  <c r="W303" i="7" s="1"/>
  <c r="F304" i="7" s="1"/>
  <c r="F245" i="2"/>
  <c r="L303" i="7"/>
  <c r="V303" i="7" s="1"/>
  <c r="T303" i="7"/>
  <c r="D303" i="8" s="1"/>
  <c r="X153" i="8"/>
  <c r="P153" i="8"/>
  <c r="Q153" i="8" s="1"/>
  <c r="AI153" i="8"/>
  <c r="L153" i="8"/>
  <c r="I216" i="3"/>
  <c r="L216" i="3" s="1"/>
  <c r="M216" i="3"/>
  <c r="O304" i="7" l="1"/>
  <c r="P304" i="7"/>
  <c r="Q304" i="7" s="1"/>
  <c r="G245" i="2"/>
  <c r="H245" i="2" s="1"/>
  <c r="E304" i="7"/>
  <c r="Z303" i="7"/>
  <c r="AA303" i="7" s="1"/>
  <c r="B303" i="7" s="1"/>
  <c r="B303" i="8" s="1"/>
  <c r="U303" i="8" s="1"/>
  <c r="W303" i="8" s="1"/>
  <c r="U303" i="7"/>
  <c r="I245" i="2"/>
  <c r="G245" i="10"/>
  <c r="Z153" i="8"/>
  <c r="AB153" i="8" s="1"/>
  <c r="Y153" i="8"/>
  <c r="AA153" i="8" s="1"/>
  <c r="S153" i="8"/>
  <c r="AJ153" i="8"/>
  <c r="AU153" i="8"/>
  <c r="J216" i="3"/>
  <c r="K216" i="3" s="1"/>
  <c r="Q216" i="3"/>
  <c r="Y304" i="7" l="1"/>
  <c r="E304" i="8"/>
  <c r="D245" i="3"/>
  <c r="M304" i="7"/>
  <c r="X303" i="7"/>
  <c r="D304" i="7"/>
  <c r="M245" i="2"/>
  <c r="J245" i="2"/>
  <c r="N216" i="3"/>
  <c r="U216" i="3"/>
  <c r="AC216" i="3"/>
  <c r="M216" i="10" s="1"/>
  <c r="AC153" i="8"/>
  <c r="T153" i="8"/>
  <c r="V153" i="8" s="1"/>
  <c r="AK153" i="8"/>
  <c r="AB303" i="7" l="1"/>
  <c r="C304" i="7"/>
  <c r="R304" i="7" s="1"/>
  <c r="I304" i="7"/>
  <c r="H304" i="7"/>
  <c r="J304" i="7" s="1"/>
  <c r="K304" i="7" s="1"/>
  <c r="T304" i="7" s="1"/>
  <c r="D304" i="8" s="1"/>
  <c r="N304" i="7"/>
  <c r="W304" i="7" s="1"/>
  <c r="F305" i="7" s="1"/>
  <c r="F245" i="10"/>
  <c r="C245" i="3"/>
  <c r="D245" i="10"/>
  <c r="B246" i="2"/>
  <c r="V216" i="3"/>
  <c r="Y216" i="3" s="1"/>
  <c r="O216" i="3"/>
  <c r="X216" i="3"/>
  <c r="AT153" i="8"/>
  <c r="AD153" i="8"/>
  <c r="O305" i="7" l="1"/>
  <c r="C246" i="2"/>
  <c r="D246" i="2"/>
  <c r="S304" i="7"/>
  <c r="C304" i="8" s="1"/>
  <c r="L304" i="7"/>
  <c r="V304" i="7" s="1"/>
  <c r="K246" i="2"/>
  <c r="C246" i="10"/>
  <c r="P216" i="3"/>
  <c r="H216" i="10"/>
  <c r="E217" i="3"/>
  <c r="F217" i="3"/>
  <c r="I216" i="10"/>
  <c r="R216" i="3"/>
  <c r="S216" i="3" s="1"/>
  <c r="W216" i="3"/>
  <c r="AE153" i="8"/>
  <c r="AL153" i="8"/>
  <c r="Z304" i="7" l="1"/>
  <c r="AA304" i="7" s="1"/>
  <c r="B304" i="7" s="1"/>
  <c r="B304" i="8" s="1"/>
  <c r="U304" i="8" s="1"/>
  <c r="W304" i="8" s="1"/>
  <c r="E305" i="7"/>
  <c r="U304" i="7"/>
  <c r="E246" i="2"/>
  <c r="P305" i="7"/>
  <c r="Q305" i="7" s="1"/>
  <c r="L246" i="2"/>
  <c r="AA216" i="3"/>
  <c r="K216" i="10" s="1"/>
  <c r="Z216" i="3"/>
  <c r="T216" i="3"/>
  <c r="AF153" i="8"/>
  <c r="AM153" i="8" s="1"/>
  <c r="AQ153" i="8" s="1"/>
  <c r="G154" i="8" s="1"/>
  <c r="AP153" i="8"/>
  <c r="F154" i="8" s="1"/>
  <c r="F246" i="2"/>
  <c r="M305" i="7" l="1"/>
  <c r="X304" i="7"/>
  <c r="D305" i="7"/>
  <c r="E305" i="8"/>
  <c r="Y305" i="7"/>
  <c r="E246" i="10"/>
  <c r="B246" i="3"/>
  <c r="J216" i="10"/>
  <c r="G217" i="3"/>
  <c r="AB216" i="3"/>
  <c r="L216" i="10" s="1"/>
  <c r="G246" i="2"/>
  <c r="AG153" i="8"/>
  <c r="AH153" i="8" s="1"/>
  <c r="AN153" i="8" s="1"/>
  <c r="AR153" i="8" s="1"/>
  <c r="H154" i="8" s="1"/>
  <c r="AB304" i="7" l="1"/>
  <c r="C305" i="7"/>
  <c r="R305" i="7" s="1"/>
  <c r="I305" i="7"/>
  <c r="S305" i="7" s="1"/>
  <c r="C305" i="8" s="1"/>
  <c r="H305" i="7"/>
  <c r="J305" i="7" s="1"/>
  <c r="N305" i="7"/>
  <c r="W305" i="7" s="1"/>
  <c r="F306" i="7" s="1"/>
  <c r="H217" i="3"/>
  <c r="I246" i="2"/>
  <c r="H246" i="2"/>
  <c r="AO153" i="8"/>
  <c r="I154" i="8"/>
  <c r="K305" i="7" l="1"/>
  <c r="O306" i="7"/>
  <c r="P306" i="7"/>
  <c r="Q306" i="7" s="1"/>
  <c r="L305" i="7"/>
  <c r="M217" i="3"/>
  <c r="I217" i="3"/>
  <c r="L217" i="3" s="1"/>
  <c r="O154" i="8"/>
  <c r="AS153" i="8"/>
  <c r="M246" i="2"/>
  <c r="J246" i="2"/>
  <c r="G246" i="10"/>
  <c r="D246" i="3"/>
  <c r="J154" i="8"/>
  <c r="N154" i="8" s="1"/>
  <c r="Y306" i="7" l="1"/>
  <c r="E306" i="8"/>
  <c r="T305" i="7"/>
  <c r="D305" i="8" s="1"/>
  <c r="V305" i="7"/>
  <c r="U305" i="7"/>
  <c r="Q217" i="3"/>
  <c r="J217" i="3"/>
  <c r="K217" i="3" s="1"/>
  <c r="C246" i="3"/>
  <c r="F246" i="10"/>
  <c r="B247" i="2"/>
  <c r="D246" i="10"/>
  <c r="K154" i="8"/>
  <c r="M154" i="8" s="1"/>
  <c r="R154" i="8"/>
  <c r="Z305" i="7" l="1"/>
  <c r="AA305" i="7" s="1"/>
  <c r="B305" i="7" s="1"/>
  <c r="B305" i="8" s="1"/>
  <c r="U305" i="8" s="1"/>
  <c r="W305" i="8" s="1"/>
  <c r="E306" i="7"/>
  <c r="D306" i="7"/>
  <c r="X305" i="7"/>
  <c r="N217" i="3"/>
  <c r="AC217" i="3"/>
  <c r="M217" i="10" s="1"/>
  <c r="U217" i="3"/>
  <c r="AI154" i="8"/>
  <c r="L154" i="8"/>
  <c r="X154" i="8"/>
  <c r="P154" i="8"/>
  <c r="Q154" i="8" s="1"/>
  <c r="C247" i="2"/>
  <c r="D247" i="2"/>
  <c r="C247" i="10"/>
  <c r="K247" i="2"/>
  <c r="M306" i="7" l="1"/>
  <c r="K306" i="7"/>
  <c r="T306" i="7" s="1"/>
  <c r="D306" i="8" s="1"/>
  <c r="I306" i="7"/>
  <c r="H306" i="7"/>
  <c r="J306" i="7" s="1"/>
  <c r="C306" i="7"/>
  <c r="R306" i="7" s="1"/>
  <c r="S306" i="7" s="1"/>
  <c r="C306" i="8" s="1"/>
  <c r="AB305" i="7"/>
  <c r="O217" i="3"/>
  <c r="X217" i="3"/>
  <c r="V217" i="3"/>
  <c r="Y217" i="3" s="1"/>
  <c r="AJ154" i="8"/>
  <c r="Z154" i="8"/>
  <c r="AB154" i="8" s="1"/>
  <c r="Y154" i="8"/>
  <c r="AA154" i="8" s="1"/>
  <c r="S154" i="8"/>
  <c r="AU154" i="8"/>
  <c r="E247" i="2"/>
  <c r="F247" i="2" s="1"/>
  <c r="L247" i="2"/>
  <c r="L306" i="7" l="1"/>
  <c r="U306" i="7"/>
  <c r="N306" i="7"/>
  <c r="W306" i="7" s="1"/>
  <c r="F307" i="7" s="1"/>
  <c r="P217" i="3"/>
  <c r="R217" i="3"/>
  <c r="S217" i="3" s="1"/>
  <c r="H217" i="10"/>
  <c r="E218" i="3"/>
  <c r="AC154" i="8"/>
  <c r="I217" i="10"/>
  <c r="F218" i="3"/>
  <c r="W217" i="3"/>
  <c r="Z217" i="3" s="1"/>
  <c r="T154" i="8"/>
  <c r="V154" i="8" s="1"/>
  <c r="AK154" i="8"/>
  <c r="G247" i="2"/>
  <c r="E247" i="10"/>
  <c r="B247" i="3"/>
  <c r="O307" i="7" l="1"/>
  <c r="V306" i="7"/>
  <c r="D307" i="7"/>
  <c r="I247" i="2"/>
  <c r="H247" i="2"/>
  <c r="T217" i="3"/>
  <c r="AD154" i="8"/>
  <c r="J217" i="10"/>
  <c r="G218" i="3"/>
  <c r="AA217" i="3"/>
  <c r="K217" i="10" s="1"/>
  <c r="AT154" i="8"/>
  <c r="Z306" i="7" l="1"/>
  <c r="AA306" i="7" s="1"/>
  <c r="B306" i="7" s="1"/>
  <c r="B306" i="8" s="1"/>
  <c r="U306" i="8" s="1"/>
  <c r="W306" i="8" s="1"/>
  <c r="E307" i="7"/>
  <c r="H307" i="7"/>
  <c r="I307" i="7"/>
  <c r="P307" i="7"/>
  <c r="Q307" i="7" s="1"/>
  <c r="X306" i="7"/>
  <c r="AE154" i="8"/>
  <c r="AF154" i="8" s="1"/>
  <c r="AM154" i="8" s="1"/>
  <c r="AQ154" i="8" s="1"/>
  <c r="G155" i="8" s="1"/>
  <c r="AL154" i="8"/>
  <c r="M247" i="2"/>
  <c r="AB217" i="3"/>
  <c r="L217" i="10" s="1"/>
  <c r="J247" i="2"/>
  <c r="D247" i="3"/>
  <c r="G247" i="10"/>
  <c r="H218" i="3"/>
  <c r="J307" i="7" l="1"/>
  <c r="M307" i="7"/>
  <c r="E307" i="8"/>
  <c r="Y307" i="7"/>
  <c r="C307" i="7"/>
  <c r="R307" i="7" s="1"/>
  <c r="S307" i="7" s="1"/>
  <c r="C307" i="8" s="1"/>
  <c r="AB306" i="7"/>
  <c r="M218" i="3"/>
  <c r="I218" i="3"/>
  <c r="L218" i="3" s="1"/>
  <c r="AG154" i="8"/>
  <c r="AH154" i="8" s="1"/>
  <c r="AN154" i="8" s="1"/>
  <c r="AP154" i="8"/>
  <c r="F155" i="8" s="1"/>
  <c r="F247" i="10"/>
  <c r="C247" i="3"/>
  <c r="D247" i="10"/>
  <c r="B248" i="2"/>
  <c r="K307" i="7" l="1"/>
  <c r="T307" i="7" s="1"/>
  <c r="D307" i="8" s="1"/>
  <c r="N307" i="7"/>
  <c r="W307" i="7" s="1"/>
  <c r="F308" i="7" s="1"/>
  <c r="O308" i="7" s="1"/>
  <c r="P308" i="7"/>
  <c r="Q308" i="7" s="1"/>
  <c r="Q218" i="3"/>
  <c r="J218" i="3"/>
  <c r="K218" i="3" s="1"/>
  <c r="AO154" i="8"/>
  <c r="AR154" i="8"/>
  <c r="H155" i="8" s="1"/>
  <c r="C248" i="2"/>
  <c r="D248" i="2"/>
  <c r="K248" i="2"/>
  <c r="C248" i="10"/>
  <c r="L307" i="7" l="1"/>
  <c r="V307" i="7" s="1"/>
  <c r="Y308" i="7"/>
  <c r="E308" i="8"/>
  <c r="U218" i="3"/>
  <c r="N218" i="3"/>
  <c r="AC218" i="3"/>
  <c r="M218" i="10" s="1"/>
  <c r="I155" i="8"/>
  <c r="AS154" i="8"/>
  <c r="E248" i="2"/>
  <c r="L248" i="2"/>
  <c r="E308" i="7"/>
  <c r="Z307" i="7"/>
  <c r="AA307" i="7" s="1"/>
  <c r="B307" i="7" s="1"/>
  <c r="B307" i="8" s="1"/>
  <c r="U307" i="8" s="1"/>
  <c r="W307" i="8" s="1"/>
  <c r="U307" i="7" l="1"/>
  <c r="X218" i="3"/>
  <c r="V218" i="3"/>
  <c r="Y218" i="3" s="1"/>
  <c r="O218" i="3"/>
  <c r="O155" i="8"/>
  <c r="J155" i="8"/>
  <c r="N155" i="8" s="1"/>
  <c r="F248" i="2"/>
  <c r="E248" i="10"/>
  <c r="B248" i="3"/>
  <c r="M308" i="7"/>
  <c r="X307" i="7" l="1"/>
  <c r="D308" i="7"/>
  <c r="P218" i="3"/>
  <c r="E219" i="3"/>
  <c r="H218" i="10"/>
  <c r="I218" i="10"/>
  <c r="F219" i="3"/>
  <c r="R218" i="3"/>
  <c r="S218" i="3" s="1"/>
  <c r="W218" i="3"/>
  <c r="Z218" i="3" s="1"/>
  <c r="G248" i="2"/>
  <c r="R155" i="8"/>
  <c r="K155" i="8"/>
  <c r="M155" i="8" s="1"/>
  <c r="AB307" i="7"/>
  <c r="C308" i="7"/>
  <c r="H308" i="7"/>
  <c r="I308" i="7"/>
  <c r="N308" i="7"/>
  <c r="W308" i="7" s="1"/>
  <c r="F309" i="7" s="1"/>
  <c r="G219" i="3" l="1"/>
  <c r="J218" i="10"/>
  <c r="T218" i="3"/>
  <c r="AA218" i="3"/>
  <c r="K218" i="10" s="1"/>
  <c r="I248" i="2"/>
  <c r="H248" i="2"/>
  <c r="L155" i="8"/>
  <c r="P155" i="8"/>
  <c r="Q155" i="8" s="1"/>
  <c r="X155" i="8"/>
  <c r="AI155" i="8"/>
  <c r="J308" i="7"/>
  <c r="R308" i="7"/>
  <c r="S308" i="7" s="1"/>
  <c r="C308" i="8" s="1"/>
  <c r="O309" i="7"/>
  <c r="H219" i="3" l="1"/>
  <c r="AB218" i="3"/>
  <c r="L218" i="10" s="1"/>
  <c r="M248" i="2"/>
  <c r="J248" i="2"/>
  <c r="D248" i="3"/>
  <c r="G248" i="10"/>
  <c r="K308" i="7"/>
  <c r="T308" i="7" s="1"/>
  <c r="D308" i="8" s="1"/>
  <c r="AU155" i="8"/>
  <c r="S155" i="8"/>
  <c r="Z155" i="8"/>
  <c r="AB155" i="8" s="1"/>
  <c r="Y155" i="8"/>
  <c r="AA155" i="8" s="1"/>
  <c r="AJ155" i="8"/>
  <c r="P309" i="7"/>
  <c r="Q309" i="7" s="1"/>
  <c r="M219" i="3" l="1"/>
  <c r="I219" i="3"/>
  <c r="L219" i="3" s="1"/>
  <c r="C248" i="3"/>
  <c r="T155" i="8"/>
  <c r="V155" i="8" s="1"/>
  <c r="F248" i="10"/>
  <c r="D248" i="10"/>
  <c r="B249" i="2"/>
  <c r="L308" i="7"/>
  <c r="AC155" i="8"/>
  <c r="AK155" i="8"/>
  <c r="E309" i="8"/>
  <c r="Y309" i="7"/>
  <c r="Q219" i="3" l="1"/>
  <c r="J219" i="3"/>
  <c r="C249" i="2"/>
  <c r="K249" i="2"/>
  <c r="AT155" i="8"/>
  <c r="D249" i="2"/>
  <c r="C249" i="10"/>
  <c r="U308" i="7"/>
  <c r="V308" i="7"/>
  <c r="AD155" i="8"/>
  <c r="AE155" i="8" l="1"/>
  <c r="AC219" i="3"/>
  <c r="M219" i="10" s="1"/>
  <c r="K219" i="3"/>
  <c r="E249" i="2"/>
  <c r="F249" i="2" s="1"/>
  <c r="AL155" i="8"/>
  <c r="L249" i="2"/>
  <c r="X308" i="7"/>
  <c r="D309" i="7"/>
  <c r="E309" i="7"/>
  <c r="Z308" i="7"/>
  <c r="AA308" i="7" s="1"/>
  <c r="B308" i="7" s="1"/>
  <c r="B308" i="8" s="1"/>
  <c r="U308" i="8" s="1"/>
  <c r="W308" i="8" s="1"/>
  <c r="B249" i="3"/>
  <c r="AF155" i="8"/>
  <c r="AM155" i="8" s="1"/>
  <c r="AQ155" i="8" s="1"/>
  <c r="G156" i="8" s="1"/>
  <c r="AP155" i="8"/>
  <c r="F156" i="8" s="1"/>
  <c r="C309" i="7" l="1"/>
  <c r="H309" i="7"/>
  <c r="U219" i="3"/>
  <c r="N219" i="3"/>
  <c r="AB308" i="7"/>
  <c r="I309" i="7"/>
  <c r="G249" i="2"/>
  <c r="M309" i="7"/>
  <c r="E249" i="10"/>
  <c r="R309" i="7"/>
  <c r="S309" i="7" s="1"/>
  <c r="C309" i="8" s="1"/>
  <c r="AG155" i="8"/>
  <c r="AH155" i="8" s="1"/>
  <c r="AN155" i="8" s="1"/>
  <c r="AR155" i="8" s="1"/>
  <c r="H156" i="8" s="1"/>
  <c r="X219" i="3" l="1"/>
  <c r="V219" i="3"/>
  <c r="Y219" i="3" s="1"/>
  <c r="O219" i="3"/>
  <c r="E220" i="3"/>
  <c r="H219" i="10"/>
  <c r="J309" i="7"/>
  <c r="N309" i="7"/>
  <c r="W309" i="7" s="1"/>
  <c r="F310" i="7" s="1"/>
  <c r="H249" i="2"/>
  <c r="I249" i="2"/>
  <c r="I156" i="8"/>
  <c r="AO155" i="8"/>
  <c r="P219" i="3" l="1"/>
  <c r="I219" i="10"/>
  <c r="F220" i="3"/>
  <c r="R219" i="3"/>
  <c r="S219" i="3" s="1"/>
  <c r="W219" i="3"/>
  <c r="Z219" i="3" s="1"/>
  <c r="J249" i="2"/>
  <c r="D249" i="3"/>
  <c r="K309" i="7"/>
  <c r="O310" i="7"/>
  <c r="M249" i="2"/>
  <c r="G249" i="10"/>
  <c r="J156" i="8"/>
  <c r="N156" i="8" s="1"/>
  <c r="O156" i="8"/>
  <c r="AS155" i="8"/>
  <c r="L309" i="7" l="1"/>
  <c r="V309" i="7" s="1"/>
  <c r="AA219" i="3"/>
  <c r="K219" i="10" s="1"/>
  <c r="B250" i="2"/>
  <c r="D249" i="10"/>
  <c r="G220" i="3"/>
  <c r="J219" i="10"/>
  <c r="T219" i="3"/>
  <c r="P310" i="7"/>
  <c r="Q310" i="7" s="1"/>
  <c r="T309" i="7"/>
  <c r="D309" i="8" s="1"/>
  <c r="F249" i="10"/>
  <c r="C249" i="3"/>
  <c r="R156" i="8"/>
  <c r="K156" i="8"/>
  <c r="M156" i="8" s="1"/>
  <c r="Z309" i="7" l="1"/>
  <c r="AA309" i="7" s="1"/>
  <c r="B309" i="7" s="1"/>
  <c r="B309" i="8" s="1"/>
  <c r="U309" i="8" s="1"/>
  <c r="E310" i="7"/>
  <c r="M310" i="7" s="1"/>
  <c r="U309" i="7"/>
  <c r="C250" i="2"/>
  <c r="D250" i="2"/>
  <c r="K250" i="2"/>
  <c r="C250" i="10"/>
  <c r="H220" i="3"/>
  <c r="AB219" i="3"/>
  <c r="L219" i="10" s="1"/>
  <c r="Y310" i="7"/>
  <c r="E310" i="8"/>
  <c r="W309" i="8"/>
  <c r="X156" i="8"/>
  <c r="AI156" i="8"/>
  <c r="P156" i="8"/>
  <c r="Q156" i="8" s="1"/>
  <c r="L156" i="8"/>
  <c r="D310" i="7" l="1"/>
  <c r="X309" i="7"/>
  <c r="N310" i="7"/>
  <c r="W310" i="7" s="1"/>
  <c r="F311" i="7" s="1"/>
  <c r="L250" i="2"/>
  <c r="I220" i="3"/>
  <c r="L220" i="3" s="1"/>
  <c r="E250" i="2"/>
  <c r="M220" i="3"/>
  <c r="Y156" i="8"/>
  <c r="AA156" i="8" s="1"/>
  <c r="AJ156" i="8"/>
  <c r="AU156" i="8"/>
  <c r="S156" i="8"/>
  <c r="Z156" i="8"/>
  <c r="AB156" i="8" s="1"/>
  <c r="AB309" i="7"/>
  <c r="C310" i="7" l="1"/>
  <c r="R310" i="7" s="1"/>
  <c r="I310" i="7"/>
  <c r="H310" i="7"/>
  <c r="J310" i="7" s="1"/>
  <c r="O311" i="7"/>
  <c r="B250" i="3"/>
  <c r="E250" i="10"/>
  <c r="Q220" i="3"/>
  <c r="F250" i="2"/>
  <c r="J220" i="3"/>
  <c r="K220" i="3" s="1"/>
  <c r="AK156" i="8"/>
  <c r="T156" i="8"/>
  <c r="V156" i="8" s="1"/>
  <c r="AC156" i="8"/>
  <c r="S310" i="7"/>
  <c r="C310" i="8" s="1"/>
  <c r="K310" i="7"/>
  <c r="P311" i="7" l="1"/>
  <c r="Q311" i="7" s="1"/>
  <c r="G250" i="2"/>
  <c r="H250" i="2" s="1"/>
  <c r="U220" i="3"/>
  <c r="N220" i="3"/>
  <c r="AC220" i="3"/>
  <c r="M220" i="10" s="1"/>
  <c r="AD156" i="8"/>
  <c r="AT156" i="8"/>
  <c r="T310" i="7"/>
  <c r="D310" i="8" s="1"/>
  <c r="L310" i="7"/>
  <c r="V310" i="7" s="1"/>
  <c r="E311" i="8" l="1"/>
  <c r="Y311" i="7"/>
  <c r="I250" i="2"/>
  <c r="G250" i="10"/>
  <c r="D250" i="3"/>
  <c r="V220" i="3"/>
  <c r="Y220" i="3" s="1"/>
  <c r="O220" i="3"/>
  <c r="X220" i="3"/>
  <c r="AE156" i="8"/>
  <c r="AL156" i="8"/>
  <c r="U310" i="7"/>
  <c r="Z310" i="7"/>
  <c r="AA310" i="7" s="1"/>
  <c r="B310" i="7" s="1"/>
  <c r="B310" i="8" s="1"/>
  <c r="U310" i="8" s="1"/>
  <c r="W310" i="8" s="1"/>
  <c r="E311" i="7"/>
  <c r="AF156" i="8" l="1"/>
  <c r="AM156" i="8" s="1"/>
  <c r="AQ156" i="8" s="1"/>
  <c r="G157" i="8" s="1"/>
  <c r="H220" i="10"/>
  <c r="E221" i="3"/>
  <c r="J250" i="2"/>
  <c r="M250" i="2"/>
  <c r="C250" i="3" s="1"/>
  <c r="P220" i="3"/>
  <c r="W220" i="3"/>
  <c r="Z220" i="3" s="1"/>
  <c r="I220" i="10"/>
  <c r="F221" i="3"/>
  <c r="R220" i="3"/>
  <c r="S220" i="3" s="1"/>
  <c r="AP156" i="8"/>
  <c r="F157" i="8" s="1"/>
  <c r="D311" i="7"/>
  <c r="X310" i="7"/>
  <c r="M311" i="7"/>
  <c r="G221" i="3"/>
  <c r="J220" i="10"/>
  <c r="AA220" i="3"/>
  <c r="K220" i="10" s="1"/>
  <c r="F250" i="10" l="1"/>
  <c r="B251" i="2"/>
  <c r="T220" i="3"/>
  <c r="AB220" i="3" s="1"/>
  <c r="L220" i="10" s="1"/>
  <c r="D250" i="10"/>
  <c r="AG156" i="8"/>
  <c r="AH156" i="8" s="1"/>
  <c r="AN156" i="8" s="1"/>
  <c r="I311" i="7"/>
  <c r="H311" i="7"/>
  <c r="J311" i="7" s="1"/>
  <c r="C311" i="7"/>
  <c r="R311" i="7" s="1"/>
  <c r="AB310" i="7"/>
  <c r="N311" i="7"/>
  <c r="W311" i="7" s="1"/>
  <c r="F312" i="7" s="1"/>
  <c r="H221" i="3"/>
  <c r="AO156" i="8"/>
  <c r="AR156" i="8"/>
  <c r="H157" i="8" s="1"/>
  <c r="C251" i="2" l="1"/>
  <c r="C251" i="10"/>
  <c r="K251" i="2"/>
  <c r="D251" i="2"/>
  <c r="O312" i="7"/>
  <c r="M221" i="3"/>
  <c r="S311" i="7"/>
  <c r="C311" i="8" s="1"/>
  <c r="K311" i="7"/>
  <c r="I221" i="3"/>
  <c r="L221" i="3" s="1"/>
  <c r="I157" i="8"/>
  <c r="AS156" i="8"/>
  <c r="L251" i="2" l="1"/>
  <c r="E251" i="2"/>
  <c r="P312" i="7"/>
  <c r="Q312" i="7" s="1"/>
  <c r="B251" i="3"/>
  <c r="T311" i="7"/>
  <c r="D311" i="8" s="1"/>
  <c r="L311" i="7"/>
  <c r="V311" i="7" s="1"/>
  <c r="Q221" i="3"/>
  <c r="J221" i="3"/>
  <c r="K221" i="3" s="1"/>
  <c r="O157" i="8"/>
  <c r="J157" i="8"/>
  <c r="N157" i="8" s="1"/>
  <c r="F251" i="2" l="1"/>
  <c r="E251" i="10"/>
  <c r="E312" i="8"/>
  <c r="Y312" i="7"/>
  <c r="E312" i="7"/>
  <c r="Z311" i="7"/>
  <c r="AA311" i="7" s="1"/>
  <c r="B311" i="7" s="1"/>
  <c r="B311" i="8" s="1"/>
  <c r="U311" i="8" s="1"/>
  <c r="W311" i="8" s="1"/>
  <c r="U311" i="7"/>
  <c r="N221" i="3"/>
  <c r="U221" i="3"/>
  <c r="AC221" i="3"/>
  <c r="M221" i="10" s="1"/>
  <c r="R157" i="8"/>
  <c r="K157" i="8"/>
  <c r="M157" i="8" s="1"/>
  <c r="G251" i="2" l="1"/>
  <c r="H251" i="2" s="1"/>
  <c r="D251" i="3" s="1"/>
  <c r="X221" i="3"/>
  <c r="D312" i="7"/>
  <c r="X311" i="7"/>
  <c r="M312" i="7"/>
  <c r="V221" i="3"/>
  <c r="Y221" i="3" s="1"/>
  <c r="O221" i="3"/>
  <c r="H221" i="10"/>
  <c r="I312" i="7"/>
  <c r="H312" i="7"/>
  <c r="J312" i="7" s="1"/>
  <c r="X157" i="8"/>
  <c r="P157" i="8"/>
  <c r="Q157" i="8" s="1"/>
  <c r="AI157" i="8"/>
  <c r="L157" i="8"/>
  <c r="G251" i="10" l="1"/>
  <c r="I251" i="2"/>
  <c r="E222" i="3"/>
  <c r="N312" i="7"/>
  <c r="W312" i="7" s="1"/>
  <c r="F313" i="7" s="1"/>
  <c r="O313" i="7" s="1"/>
  <c r="P313" i="7" s="1"/>
  <c r="Q313" i="7" s="1"/>
  <c r="AB311" i="7"/>
  <c r="C312" i="7"/>
  <c r="J251" i="2"/>
  <c r="M251" i="2"/>
  <c r="I221" i="10"/>
  <c r="W221" i="3"/>
  <c r="Z221" i="3" s="1"/>
  <c r="P221" i="3"/>
  <c r="F222" i="3"/>
  <c r="R221" i="3"/>
  <c r="S221" i="3" s="1"/>
  <c r="K312" i="7"/>
  <c r="Z157" i="8"/>
  <c r="AB157" i="8" s="1"/>
  <c r="Y157" i="8"/>
  <c r="AA157" i="8" s="1"/>
  <c r="S157" i="8"/>
  <c r="AJ157" i="8"/>
  <c r="AU157" i="8"/>
  <c r="R312" i="7" l="1"/>
  <c r="S312" i="7" s="1"/>
  <c r="C312" i="8" s="1"/>
  <c r="E313" i="8"/>
  <c r="Y313" i="7"/>
  <c r="T157" i="8"/>
  <c r="V157" i="8" s="1"/>
  <c r="D251" i="10"/>
  <c r="B252" i="2"/>
  <c r="F251" i="10"/>
  <c r="C251" i="3"/>
  <c r="G222" i="3"/>
  <c r="AA221" i="3"/>
  <c r="K221" i="10" s="1"/>
  <c r="J221" i="10"/>
  <c r="T221" i="3"/>
  <c r="T312" i="7"/>
  <c r="D312" i="8" s="1"/>
  <c r="L312" i="7"/>
  <c r="V312" i="7" s="1"/>
  <c r="AC157" i="8"/>
  <c r="AT157" i="8"/>
  <c r="AK157" i="8"/>
  <c r="H222" i="3"/>
  <c r="C252" i="2" l="1"/>
  <c r="E252" i="2" s="1"/>
  <c r="F252" i="2" s="1"/>
  <c r="D252" i="2"/>
  <c r="K252" i="2"/>
  <c r="C252" i="10"/>
  <c r="AB221" i="3"/>
  <c r="L221" i="10" s="1"/>
  <c r="Z312" i="7"/>
  <c r="AA312" i="7" s="1"/>
  <c r="B312" i="7" s="1"/>
  <c r="B312" i="8" s="1"/>
  <c r="U312" i="8" s="1"/>
  <c r="W312" i="8" s="1"/>
  <c r="E313" i="7"/>
  <c r="U312" i="7"/>
  <c r="AD157" i="8"/>
  <c r="M222" i="3"/>
  <c r="I222" i="3"/>
  <c r="L222" i="3" s="1"/>
  <c r="L252" i="2" l="1"/>
  <c r="G252" i="2"/>
  <c r="H252" i="2" s="1"/>
  <c r="M313" i="7"/>
  <c r="X312" i="7"/>
  <c r="D313" i="7"/>
  <c r="AE157" i="8"/>
  <c r="AL157" i="8"/>
  <c r="Q222" i="3"/>
  <c r="J222" i="3"/>
  <c r="K222" i="3" s="1"/>
  <c r="B252" i="3" l="1"/>
  <c r="E252" i="10"/>
  <c r="D252" i="3"/>
  <c r="G252" i="10"/>
  <c r="I252" i="2"/>
  <c r="AB312" i="7"/>
  <c r="C313" i="7"/>
  <c r="I313" i="7"/>
  <c r="H313" i="7"/>
  <c r="J313" i="7" s="1"/>
  <c r="N313" i="7"/>
  <c r="W313" i="7" s="1"/>
  <c r="F314" i="7" s="1"/>
  <c r="AF157" i="8"/>
  <c r="AM157" i="8" s="1"/>
  <c r="AQ157" i="8" s="1"/>
  <c r="G158" i="8" s="1"/>
  <c r="AP157" i="8"/>
  <c r="F158" i="8" s="1"/>
  <c r="U222" i="3"/>
  <c r="N222" i="3"/>
  <c r="X222" i="3"/>
  <c r="AC222" i="3"/>
  <c r="M222" i="10" s="1"/>
  <c r="J252" i="2" l="1"/>
  <c r="M252" i="2"/>
  <c r="R313" i="7"/>
  <c r="S313" i="7" s="1"/>
  <c r="C313" i="8" s="1"/>
  <c r="O314" i="7"/>
  <c r="K313" i="7"/>
  <c r="AG157" i="8"/>
  <c r="AH157" i="8" s="1"/>
  <c r="AN157" i="8" s="1"/>
  <c r="V222" i="3"/>
  <c r="Y222" i="3" s="1"/>
  <c r="O222" i="3"/>
  <c r="E223" i="3"/>
  <c r="H222" i="10"/>
  <c r="B253" i="2" l="1"/>
  <c r="D252" i="10"/>
  <c r="F252" i="10"/>
  <c r="C252" i="3"/>
  <c r="P222" i="3"/>
  <c r="P314" i="7"/>
  <c r="Q314" i="7" s="1"/>
  <c r="Y314" i="7"/>
  <c r="E314" i="8"/>
  <c r="L313" i="7"/>
  <c r="V313" i="7" s="1"/>
  <c r="T313" i="7"/>
  <c r="D313" i="8" s="1"/>
  <c r="AO157" i="8"/>
  <c r="AR157" i="8"/>
  <c r="H158" i="8" s="1"/>
  <c r="I222" i="10"/>
  <c r="F223" i="3"/>
  <c r="R222" i="3"/>
  <c r="S222" i="3" s="1"/>
  <c r="W222" i="3"/>
  <c r="Z222" i="3" s="1"/>
  <c r="C253" i="10" l="1"/>
  <c r="K253" i="2"/>
  <c r="D253" i="2"/>
  <c r="L253" i="2" s="1"/>
  <c r="C253" i="2"/>
  <c r="E253" i="2" s="1"/>
  <c r="B253" i="3"/>
  <c r="E314" i="7"/>
  <c r="Z313" i="7"/>
  <c r="AA313" i="7" s="1"/>
  <c r="B313" i="7" s="1"/>
  <c r="B313" i="8" s="1"/>
  <c r="U313" i="8" s="1"/>
  <c r="W313" i="8" s="1"/>
  <c r="U313" i="7"/>
  <c r="I158" i="8"/>
  <c r="AS157" i="8"/>
  <c r="G223" i="3"/>
  <c r="J222" i="10"/>
  <c r="AA222" i="3"/>
  <c r="K222" i="10" s="1"/>
  <c r="T222" i="3"/>
  <c r="E253" i="10" l="1"/>
  <c r="F253" i="2"/>
  <c r="G253" i="2"/>
  <c r="H253" i="2" s="1"/>
  <c r="M314" i="7"/>
  <c r="D314" i="7"/>
  <c r="X313" i="7"/>
  <c r="J158" i="8"/>
  <c r="N158" i="8" s="1"/>
  <c r="O158" i="8"/>
  <c r="H223" i="3"/>
  <c r="AB222" i="3"/>
  <c r="L222" i="10" s="1"/>
  <c r="I253" i="2" l="1"/>
  <c r="D253" i="3"/>
  <c r="G253" i="10"/>
  <c r="H314" i="7"/>
  <c r="I314" i="7"/>
  <c r="AB313" i="7"/>
  <c r="C314" i="7"/>
  <c r="N314" i="7"/>
  <c r="W314" i="7" s="1"/>
  <c r="F315" i="7" s="1"/>
  <c r="R158" i="8"/>
  <c r="K158" i="8"/>
  <c r="M158" i="8" s="1"/>
  <c r="M223" i="3"/>
  <c r="I223" i="3"/>
  <c r="L223" i="3" s="1"/>
  <c r="M253" i="2" l="1"/>
  <c r="J253" i="2"/>
  <c r="R314" i="7"/>
  <c r="S314" i="7" s="1"/>
  <c r="C314" i="8" s="1"/>
  <c r="O315" i="7"/>
  <c r="J314" i="7"/>
  <c r="P158" i="8"/>
  <c r="Q158" i="8" s="1"/>
  <c r="AI158" i="8"/>
  <c r="X158" i="8"/>
  <c r="L158" i="8"/>
  <c r="Q223" i="3"/>
  <c r="J223" i="3"/>
  <c r="K223" i="3" s="1"/>
  <c r="P315" i="7" l="1"/>
  <c r="Q315" i="7" s="1"/>
  <c r="C253" i="3"/>
  <c r="F253" i="10"/>
  <c r="D253" i="10"/>
  <c r="B254" i="2"/>
  <c r="K314" i="7"/>
  <c r="S158" i="8"/>
  <c r="AJ158" i="8"/>
  <c r="Z158" i="8"/>
  <c r="AB158" i="8" s="1"/>
  <c r="Y158" i="8"/>
  <c r="AA158" i="8" s="1"/>
  <c r="AU158" i="8"/>
  <c r="U223" i="3"/>
  <c r="N223" i="3"/>
  <c r="AC223" i="3"/>
  <c r="M223" i="10" s="1"/>
  <c r="C254" i="2" l="1"/>
  <c r="D254" i="2"/>
  <c r="K254" i="2"/>
  <c r="C254" i="10"/>
  <c r="Y315" i="7"/>
  <c r="E315" i="8"/>
  <c r="E254" i="2"/>
  <c r="L254" i="2"/>
  <c r="X223" i="3"/>
  <c r="T314" i="7"/>
  <c r="D314" i="8" s="1"/>
  <c r="L314" i="7"/>
  <c r="AC158" i="8"/>
  <c r="T158" i="8"/>
  <c r="V158" i="8" s="1"/>
  <c r="AK158" i="8"/>
  <c r="V223" i="3"/>
  <c r="Y223" i="3" s="1"/>
  <c r="O223" i="3"/>
  <c r="F254" i="2" l="1"/>
  <c r="P223" i="3"/>
  <c r="E254" i="10"/>
  <c r="B254" i="3"/>
  <c r="E224" i="3"/>
  <c r="H223" i="10"/>
  <c r="AT158" i="8"/>
  <c r="U314" i="7"/>
  <c r="V314" i="7"/>
  <c r="AD158" i="8"/>
  <c r="I223" i="10"/>
  <c r="F224" i="3"/>
  <c r="R223" i="3"/>
  <c r="S223" i="3" s="1"/>
  <c r="W223" i="3"/>
  <c r="Z223" i="3" s="1"/>
  <c r="G254" i="2" l="1"/>
  <c r="D315" i="7"/>
  <c r="X314" i="7"/>
  <c r="Z314" i="7"/>
  <c r="AA314" i="7" s="1"/>
  <c r="B314" i="7" s="1"/>
  <c r="B314" i="8" s="1"/>
  <c r="U314" i="8" s="1"/>
  <c r="W314" i="8" s="1"/>
  <c r="E315" i="7"/>
  <c r="AE158" i="8"/>
  <c r="AL158" i="8"/>
  <c r="G224" i="3"/>
  <c r="J223" i="10"/>
  <c r="T223" i="3"/>
  <c r="AA223" i="3"/>
  <c r="K223" i="10" s="1"/>
  <c r="H254" i="2" l="1"/>
  <c r="I254" i="2"/>
  <c r="I315" i="7"/>
  <c r="H315" i="7"/>
  <c r="AB314" i="7"/>
  <c r="C315" i="7"/>
  <c r="M315" i="7"/>
  <c r="AF158" i="8"/>
  <c r="AM158" i="8" s="1"/>
  <c r="AQ158" i="8" s="1"/>
  <c r="G159" i="8" s="1"/>
  <c r="AP158" i="8"/>
  <c r="F159" i="8" s="1"/>
  <c r="AB223" i="3"/>
  <c r="L223" i="10" s="1"/>
  <c r="H224" i="3"/>
  <c r="D254" i="3"/>
  <c r="G254" i="10"/>
  <c r="J315" i="7" l="1"/>
  <c r="M254" i="2"/>
  <c r="J254" i="2"/>
  <c r="R315" i="7"/>
  <c r="S315" i="7" s="1"/>
  <c r="C315" i="8" s="1"/>
  <c r="N315" i="7"/>
  <c r="W315" i="7" s="1"/>
  <c r="F316" i="7" s="1"/>
  <c r="AG158" i="8"/>
  <c r="AH158" i="8" s="1"/>
  <c r="AN158" i="8" s="1"/>
  <c r="M224" i="3"/>
  <c r="I224" i="3"/>
  <c r="L224" i="3" s="1"/>
  <c r="K315" i="7" l="1"/>
  <c r="T315" i="7" s="1"/>
  <c r="D315" i="8" s="1"/>
  <c r="F254" i="10"/>
  <c r="C254" i="3"/>
  <c r="D254" i="10"/>
  <c r="B255" i="2"/>
  <c r="O316" i="7"/>
  <c r="AO158" i="8"/>
  <c r="AR158" i="8"/>
  <c r="H159" i="8" s="1"/>
  <c r="Q224" i="3"/>
  <c r="C255" i="2"/>
  <c r="D255" i="2"/>
  <c r="K255" i="2"/>
  <c r="C255" i="10"/>
  <c r="J224" i="3"/>
  <c r="K224" i="3" s="1"/>
  <c r="L315" i="7" l="1"/>
  <c r="U315" i="7" s="1"/>
  <c r="P316" i="7"/>
  <c r="Q316" i="7" s="1"/>
  <c r="I159" i="8"/>
  <c r="AS158" i="8"/>
  <c r="L255" i="2"/>
  <c r="U224" i="3"/>
  <c r="N224" i="3"/>
  <c r="AC224" i="3"/>
  <c r="M224" i="10" s="1"/>
  <c r="E255" i="2"/>
  <c r="D316" i="7" l="1"/>
  <c r="V315" i="7"/>
  <c r="I316" i="7"/>
  <c r="H316" i="7"/>
  <c r="E316" i="7"/>
  <c r="Z315" i="7"/>
  <c r="AA315" i="7" s="1"/>
  <c r="B315" i="7" s="1"/>
  <c r="B315" i="8" s="1"/>
  <c r="U315" i="8" s="1"/>
  <c r="W315" i="8" s="1"/>
  <c r="E316" i="8"/>
  <c r="Y316" i="7"/>
  <c r="B255" i="3"/>
  <c r="E255" i="10"/>
  <c r="J159" i="8"/>
  <c r="N159" i="8" s="1"/>
  <c r="O159" i="8"/>
  <c r="V224" i="3"/>
  <c r="Y224" i="3" s="1"/>
  <c r="O224" i="3"/>
  <c r="F255" i="2"/>
  <c r="X224" i="3"/>
  <c r="X315" i="7" l="1"/>
  <c r="M316" i="7"/>
  <c r="C316" i="7"/>
  <c r="AB315" i="7"/>
  <c r="J316" i="7"/>
  <c r="P224" i="3"/>
  <c r="R159" i="8"/>
  <c r="K159" i="8"/>
  <c r="M159" i="8" s="1"/>
  <c r="I224" i="10"/>
  <c r="F225" i="3"/>
  <c r="R224" i="3"/>
  <c r="S224" i="3" s="1"/>
  <c r="H224" i="10"/>
  <c r="E225" i="3"/>
  <c r="W224" i="3"/>
  <c r="Z224" i="3" s="1"/>
  <c r="G255" i="2"/>
  <c r="H255" i="2" s="1"/>
  <c r="N316" i="7" l="1"/>
  <c r="W316" i="7" s="1"/>
  <c r="F317" i="7" s="1"/>
  <c r="R316" i="7"/>
  <c r="S316" i="7" s="1"/>
  <c r="C316" i="8" s="1"/>
  <c r="K316" i="7"/>
  <c r="T316" i="7" s="1"/>
  <c r="D316" i="8" s="1"/>
  <c r="X159" i="8"/>
  <c r="P159" i="8"/>
  <c r="Q159" i="8" s="1"/>
  <c r="AI159" i="8"/>
  <c r="L159" i="8"/>
  <c r="G225" i="3"/>
  <c r="J224" i="10"/>
  <c r="D255" i="3"/>
  <c r="G255" i="10"/>
  <c r="T224" i="3"/>
  <c r="AA224" i="3"/>
  <c r="K224" i="10" s="1"/>
  <c r="I255" i="2"/>
  <c r="L316" i="7" l="1"/>
  <c r="V316" i="7" s="1"/>
  <c r="O317" i="7"/>
  <c r="Z159" i="8"/>
  <c r="AB159" i="8" s="1"/>
  <c r="Y159" i="8"/>
  <c r="AA159" i="8" s="1"/>
  <c r="S159" i="8"/>
  <c r="AJ159" i="8"/>
  <c r="AU159" i="8"/>
  <c r="AB224" i="3"/>
  <c r="L224" i="10" s="1"/>
  <c r="H225" i="3"/>
  <c r="J255" i="2"/>
  <c r="M255" i="2"/>
  <c r="Z316" i="7" l="1"/>
  <c r="AA316" i="7" s="1"/>
  <c r="B316" i="7" s="1"/>
  <c r="B316" i="8" s="1"/>
  <c r="U316" i="8" s="1"/>
  <c r="W316" i="8" s="1"/>
  <c r="E317" i="7"/>
  <c r="U316" i="7"/>
  <c r="P317" i="7"/>
  <c r="Q317" i="7" s="1"/>
  <c r="AC159" i="8"/>
  <c r="T159" i="8"/>
  <c r="V159" i="8" s="1"/>
  <c r="AK159" i="8"/>
  <c r="M225" i="3"/>
  <c r="I225" i="3"/>
  <c r="L225" i="3" s="1"/>
  <c r="D255" i="10"/>
  <c r="B256" i="2"/>
  <c r="F255" i="10"/>
  <c r="C255" i="3"/>
  <c r="M317" i="7" l="1"/>
  <c r="D317" i="7"/>
  <c r="X316" i="7"/>
  <c r="Y317" i="7"/>
  <c r="E317" i="8"/>
  <c r="AB316" i="7"/>
  <c r="C317" i="7"/>
  <c r="AT159" i="8"/>
  <c r="AD159" i="8"/>
  <c r="Q225" i="3"/>
  <c r="C256" i="2"/>
  <c r="D256" i="2"/>
  <c r="K256" i="2"/>
  <c r="C256" i="10"/>
  <c r="J225" i="3"/>
  <c r="K225" i="3" s="1"/>
  <c r="I317" i="7" l="1"/>
  <c r="H317" i="7"/>
  <c r="J317" i="7" s="1"/>
  <c r="N317" i="7"/>
  <c r="W317" i="7" s="1"/>
  <c r="F318" i="7" s="1"/>
  <c r="R317" i="7"/>
  <c r="AE159" i="8"/>
  <c r="AL159" i="8"/>
  <c r="L256" i="2"/>
  <c r="U225" i="3"/>
  <c r="N225" i="3"/>
  <c r="E256" i="2"/>
  <c r="AC225" i="3"/>
  <c r="M225" i="10" s="1"/>
  <c r="B256" i="3" l="1"/>
  <c r="E256" i="10"/>
  <c r="S317" i="7"/>
  <c r="C317" i="8" s="1"/>
  <c r="O318" i="7"/>
  <c r="K317" i="7"/>
  <c r="T317" i="7" s="1"/>
  <c r="D317" i="8" s="1"/>
  <c r="X225" i="3"/>
  <c r="AF159" i="8"/>
  <c r="AM159" i="8" s="1"/>
  <c r="AQ159" i="8" s="1"/>
  <c r="G160" i="8" s="1"/>
  <c r="AP159" i="8"/>
  <c r="F160" i="8" s="1"/>
  <c r="V225" i="3"/>
  <c r="Y225" i="3" s="1"/>
  <c r="O225" i="3"/>
  <c r="F256" i="2"/>
  <c r="P318" i="7" l="1"/>
  <c r="Q318" i="7" s="1"/>
  <c r="L317" i="7"/>
  <c r="V317" i="7" s="1"/>
  <c r="P225" i="3"/>
  <c r="E318" i="8"/>
  <c r="E226" i="3"/>
  <c r="H225" i="10"/>
  <c r="AG159" i="8"/>
  <c r="AH159" i="8" s="1"/>
  <c r="AN159" i="8" s="1"/>
  <c r="I225" i="10"/>
  <c r="F226" i="3"/>
  <c r="R225" i="3"/>
  <c r="S225" i="3" s="1"/>
  <c r="W225" i="3"/>
  <c r="Z225" i="3" s="1"/>
  <c r="G256" i="2"/>
  <c r="Y318" i="7" l="1"/>
  <c r="Z317" i="7"/>
  <c r="AA317" i="7" s="1"/>
  <c r="B317" i="7" s="1"/>
  <c r="B317" i="8" s="1"/>
  <c r="U317" i="8" s="1"/>
  <c r="W317" i="8" s="1"/>
  <c r="E318" i="7"/>
  <c r="U317" i="7"/>
  <c r="D318" i="7"/>
  <c r="X317" i="7"/>
  <c r="AR159" i="8"/>
  <c r="H160" i="8" s="1"/>
  <c r="AO159" i="8"/>
  <c r="T225" i="3"/>
  <c r="G226" i="3"/>
  <c r="J225" i="10"/>
  <c r="I256" i="2"/>
  <c r="H256" i="2"/>
  <c r="AA225" i="3"/>
  <c r="K225" i="10" s="1"/>
  <c r="M318" i="7" l="1"/>
  <c r="H318" i="7"/>
  <c r="I318" i="7"/>
  <c r="AB317" i="7"/>
  <c r="C318" i="7"/>
  <c r="AB225" i="3"/>
  <c r="L225" i="10" s="1"/>
  <c r="I160" i="8"/>
  <c r="AS159" i="8"/>
  <c r="H226" i="3"/>
  <c r="M256" i="2"/>
  <c r="J256" i="2"/>
  <c r="D256" i="3"/>
  <c r="G256" i="10"/>
  <c r="N318" i="7" l="1"/>
  <c r="W318" i="7" s="1"/>
  <c r="F319" i="7" s="1"/>
  <c r="R318" i="7"/>
  <c r="S318" i="7" s="1"/>
  <c r="C318" i="8" s="1"/>
  <c r="O319" i="7"/>
  <c r="J318" i="7"/>
  <c r="J160" i="8"/>
  <c r="N160" i="8" s="1"/>
  <c r="O160" i="8"/>
  <c r="I226" i="3"/>
  <c r="L226" i="3" s="1"/>
  <c r="F256" i="10"/>
  <c r="C256" i="3"/>
  <c r="D256" i="10"/>
  <c r="B257" i="2"/>
  <c r="M226" i="3"/>
  <c r="P319" i="7" l="1"/>
  <c r="Q319" i="7" s="1"/>
  <c r="K318" i="7"/>
  <c r="T318" i="7" s="1"/>
  <c r="D318" i="8" s="1"/>
  <c r="J226" i="3"/>
  <c r="K226" i="3" s="1"/>
  <c r="R160" i="8"/>
  <c r="K160" i="8"/>
  <c r="M160" i="8" s="1"/>
  <c r="Q226" i="3"/>
  <c r="C257" i="2"/>
  <c r="D257" i="2"/>
  <c r="K257" i="2"/>
  <c r="C257" i="10"/>
  <c r="Y319" i="7" l="1"/>
  <c r="E319" i="8"/>
  <c r="N226" i="3"/>
  <c r="U226" i="3"/>
  <c r="AC226" i="3"/>
  <c r="M226" i="10" s="1"/>
  <c r="L318" i="7"/>
  <c r="X160" i="8"/>
  <c r="AI160" i="8"/>
  <c r="P160" i="8"/>
  <c r="Q160" i="8" s="1"/>
  <c r="L160" i="8"/>
  <c r="AU160" i="8" s="1"/>
  <c r="E257" i="2"/>
  <c r="L257" i="2"/>
  <c r="O226" i="3" l="1"/>
  <c r="V226" i="3"/>
  <c r="Y226" i="3" s="1"/>
  <c r="U318" i="7"/>
  <c r="V318" i="7"/>
  <c r="X226" i="3"/>
  <c r="Y160" i="8"/>
  <c r="AA160" i="8" s="1"/>
  <c r="Z160" i="8"/>
  <c r="AB160" i="8" s="1"/>
  <c r="AJ160" i="8"/>
  <c r="S160" i="8"/>
  <c r="F257" i="2"/>
  <c r="E257" i="10"/>
  <c r="B257" i="3"/>
  <c r="T160" i="8" l="1"/>
  <c r="V160" i="8" s="1"/>
  <c r="R226" i="3"/>
  <c r="S226" i="3" s="1"/>
  <c r="I226" i="10"/>
  <c r="F227" i="3"/>
  <c r="H226" i="10"/>
  <c r="E227" i="3"/>
  <c r="P226" i="3"/>
  <c r="W226" i="3"/>
  <c r="Z226" i="3" s="1"/>
  <c r="X318" i="7"/>
  <c r="D319" i="7"/>
  <c r="Z318" i="7"/>
  <c r="AA318" i="7" s="1"/>
  <c r="B318" i="7" s="1"/>
  <c r="B318" i="8" s="1"/>
  <c r="U318" i="8" s="1"/>
  <c r="W318" i="8" s="1"/>
  <c r="E319" i="7"/>
  <c r="G257" i="2"/>
  <c r="AC160" i="8"/>
  <c r="AK160" i="8"/>
  <c r="AT160" i="8" l="1"/>
  <c r="T226" i="3"/>
  <c r="J226" i="10"/>
  <c r="G227" i="3"/>
  <c r="AA226" i="3"/>
  <c r="K226" i="10" s="1"/>
  <c r="AB318" i="7"/>
  <c r="C319" i="7"/>
  <c r="I319" i="7"/>
  <c r="H319" i="7"/>
  <c r="J319" i="7" s="1"/>
  <c r="M319" i="7"/>
  <c r="I257" i="2"/>
  <c r="H257" i="2"/>
  <c r="AD160" i="8"/>
  <c r="AB226" i="3" l="1"/>
  <c r="L226" i="10" s="1"/>
  <c r="H227" i="3"/>
  <c r="R319" i="7"/>
  <c r="S319" i="7" s="1"/>
  <c r="C319" i="8" s="1"/>
  <c r="M257" i="2"/>
  <c r="G257" i="10"/>
  <c r="K319" i="7"/>
  <c r="T319" i="7" s="1"/>
  <c r="D319" i="8" s="1"/>
  <c r="N319" i="7"/>
  <c r="W319" i="7" s="1"/>
  <c r="F320" i="7" s="1"/>
  <c r="J257" i="2"/>
  <c r="D257" i="3"/>
  <c r="AL160" i="8"/>
  <c r="AE160" i="8"/>
  <c r="M227" i="3" l="1"/>
  <c r="I227" i="3"/>
  <c r="L227" i="3" s="1"/>
  <c r="L319" i="7"/>
  <c r="V319" i="7" s="1"/>
  <c r="O320" i="7"/>
  <c r="F257" i="10"/>
  <c r="C257" i="3"/>
  <c r="D257" i="10"/>
  <c r="B258" i="2"/>
  <c r="AP160" i="8"/>
  <c r="F161" i="8" s="1"/>
  <c r="AF160" i="8"/>
  <c r="AM160" i="8" s="1"/>
  <c r="AQ160" i="8" s="1"/>
  <c r="G161" i="8" s="1"/>
  <c r="Q227" i="3" l="1"/>
  <c r="J227" i="3"/>
  <c r="K227" i="3" s="1"/>
  <c r="P320" i="7"/>
  <c r="Q320" i="7" s="1"/>
  <c r="Z319" i="7"/>
  <c r="AA319" i="7" s="1"/>
  <c r="B319" i="7" s="1"/>
  <c r="B319" i="8" s="1"/>
  <c r="U319" i="8" s="1"/>
  <c r="W319" i="8" s="1"/>
  <c r="E320" i="7"/>
  <c r="U319" i="7"/>
  <c r="C258" i="2"/>
  <c r="D258" i="2"/>
  <c r="K258" i="2"/>
  <c r="C258" i="10"/>
  <c r="AG160" i="8"/>
  <c r="AH160" i="8" s="1"/>
  <c r="AN160" i="8" s="1"/>
  <c r="AR160" i="8" s="1"/>
  <c r="H161" i="8" s="1"/>
  <c r="M320" i="7" l="1"/>
  <c r="D320" i="7"/>
  <c r="AC227" i="3"/>
  <c r="M227" i="10" s="1"/>
  <c r="U227" i="3"/>
  <c r="N227" i="3"/>
  <c r="X227" i="3"/>
  <c r="X319" i="7"/>
  <c r="Y320" i="7"/>
  <c r="E320" i="8"/>
  <c r="E258" i="2"/>
  <c r="L258" i="2"/>
  <c r="I161" i="8"/>
  <c r="AO160" i="8"/>
  <c r="AS160" i="8" s="1"/>
  <c r="H320" i="7" l="1"/>
  <c r="I320" i="7"/>
  <c r="N320" i="7"/>
  <c r="W320" i="7" s="1"/>
  <c r="F321" i="7" s="1"/>
  <c r="E258" i="10"/>
  <c r="B258" i="3"/>
  <c r="V227" i="3"/>
  <c r="Y227" i="3" s="1"/>
  <c r="O227" i="3"/>
  <c r="E228" i="3"/>
  <c r="H227" i="10"/>
  <c r="C320" i="7"/>
  <c r="AB319" i="7"/>
  <c r="F258" i="2"/>
  <c r="O161" i="8"/>
  <c r="J161" i="8"/>
  <c r="N161" i="8" s="1"/>
  <c r="O321" i="7" l="1"/>
  <c r="J320" i="7"/>
  <c r="P227" i="3"/>
  <c r="I227" i="10"/>
  <c r="F228" i="3"/>
  <c r="R227" i="3"/>
  <c r="S227" i="3" s="1"/>
  <c r="W227" i="3"/>
  <c r="Z227" i="3" s="1"/>
  <c r="R320" i="7"/>
  <c r="S320" i="7" s="1"/>
  <c r="C320" i="8" s="1"/>
  <c r="G258" i="2"/>
  <c r="R161" i="8"/>
  <c r="K161" i="8"/>
  <c r="M161" i="8" s="1"/>
  <c r="K320" i="7" l="1"/>
  <c r="P321" i="7"/>
  <c r="Q321" i="7" s="1"/>
  <c r="AA227" i="3"/>
  <c r="K227" i="10" s="1"/>
  <c r="T227" i="3"/>
  <c r="I258" i="2"/>
  <c r="G228" i="3"/>
  <c r="J227" i="10"/>
  <c r="H258" i="2"/>
  <c r="T320" i="7"/>
  <c r="D320" i="8" s="1"/>
  <c r="E321" i="8"/>
  <c r="Y321" i="7"/>
  <c r="L320" i="7"/>
  <c r="P161" i="8"/>
  <c r="Q161" i="8" s="1"/>
  <c r="AI161" i="8"/>
  <c r="X161" i="8"/>
  <c r="L161" i="8"/>
  <c r="AB227" i="3" l="1"/>
  <c r="L227" i="10" s="1"/>
  <c r="M258" i="2"/>
  <c r="J258" i="2"/>
  <c r="D258" i="3"/>
  <c r="G258" i="10"/>
  <c r="H228" i="3"/>
  <c r="U320" i="7"/>
  <c r="V320" i="7"/>
  <c r="S161" i="8"/>
  <c r="AJ161" i="8"/>
  <c r="Z161" i="8"/>
  <c r="AB161" i="8" s="1"/>
  <c r="Y161" i="8"/>
  <c r="AA161" i="8" s="1"/>
  <c r="AU161" i="8"/>
  <c r="M228" i="3" l="1"/>
  <c r="F258" i="10"/>
  <c r="C258" i="3"/>
  <c r="D258" i="10"/>
  <c r="B259" i="2"/>
  <c r="I228" i="3"/>
  <c r="L228" i="3" s="1"/>
  <c r="D321" i="7"/>
  <c r="X320" i="7"/>
  <c r="Z320" i="7"/>
  <c r="AA320" i="7" s="1"/>
  <c r="B320" i="7" s="1"/>
  <c r="B320" i="8" s="1"/>
  <c r="U320" i="8" s="1"/>
  <c r="W320" i="8" s="1"/>
  <c r="E321" i="7"/>
  <c r="AC161" i="8"/>
  <c r="T161" i="8"/>
  <c r="V161" i="8" s="1"/>
  <c r="AK161" i="8"/>
  <c r="C259" i="2"/>
  <c r="D259" i="2"/>
  <c r="K259" i="2"/>
  <c r="C259" i="10"/>
  <c r="J228" i="3"/>
  <c r="K228" i="3" s="1"/>
  <c r="Q228" i="3" l="1"/>
  <c r="I321" i="7"/>
  <c r="H321" i="7"/>
  <c r="AB320" i="7"/>
  <c r="C321" i="7"/>
  <c r="M321" i="7"/>
  <c r="E259" i="2"/>
  <c r="AD161" i="8"/>
  <c r="AT161" i="8"/>
  <c r="U228" i="3"/>
  <c r="N228" i="3"/>
  <c r="L259" i="2"/>
  <c r="AC228" i="3"/>
  <c r="M228" i="10" s="1"/>
  <c r="J321" i="7" l="1"/>
  <c r="X228" i="3"/>
  <c r="R321" i="7"/>
  <c r="S321" i="7" s="1"/>
  <c r="C321" i="8" s="1"/>
  <c r="N321" i="7"/>
  <c r="W321" i="7" s="1"/>
  <c r="F322" i="7" s="1"/>
  <c r="F259" i="2"/>
  <c r="AE161" i="8"/>
  <c r="AL161" i="8"/>
  <c r="V228" i="3"/>
  <c r="Y228" i="3" s="1"/>
  <c r="O228" i="3"/>
  <c r="E259" i="10"/>
  <c r="B259" i="3"/>
  <c r="K321" i="7" l="1"/>
  <c r="T321" i="7" s="1"/>
  <c r="D321" i="8" s="1"/>
  <c r="P228" i="3"/>
  <c r="E229" i="3"/>
  <c r="H228" i="10"/>
  <c r="O322" i="7"/>
  <c r="G259" i="2"/>
  <c r="AF161" i="8"/>
  <c r="AM161" i="8" s="1"/>
  <c r="AQ161" i="8" s="1"/>
  <c r="G162" i="8" s="1"/>
  <c r="AP161" i="8"/>
  <c r="F162" i="8" s="1"/>
  <c r="I228" i="10"/>
  <c r="F229" i="3"/>
  <c r="R228" i="3"/>
  <c r="S228" i="3" s="1"/>
  <c r="W228" i="3"/>
  <c r="Z228" i="3" s="1"/>
  <c r="L321" i="7" l="1"/>
  <c r="V321" i="7" s="1"/>
  <c r="P322" i="7"/>
  <c r="Q322" i="7" s="1"/>
  <c r="AG161" i="8"/>
  <c r="AH161" i="8" s="1"/>
  <c r="AN161" i="8" s="1"/>
  <c r="AR161" i="8" s="1"/>
  <c r="H162" i="8" s="1"/>
  <c r="I259" i="2"/>
  <c r="H259" i="2"/>
  <c r="D259" i="3"/>
  <c r="G259" i="10"/>
  <c r="G229" i="3"/>
  <c r="J228" i="10"/>
  <c r="T228" i="3"/>
  <c r="AA228" i="3"/>
  <c r="K228" i="10" s="1"/>
  <c r="Z321" i="7" l="1"/>
  <c r="AA321" i="7" s="1"/>
  <c r="B321" i="7" s="1"/>
  <c r="B321" i="8" s="1"/>
  <c r="U321" i="8" s="1"/>
  <c r="W321" i="8" s="1"/>
  <c r="E322" i="7"/>
  <c r="U321" i="7"/>
  <c r="J259" i="2"/>
  <c r="M259" i="2"/>
  <c r="Y322" i="7"/>
  <c r="E322" i="8"/>
  <c r="I162" i="8"/>
  <c r="AO161" i="8"/>
  <c r="H229" i="3"/>
  <c r="AB228" i="3"/>
  <c r="L228" i="10" s="1"/>
  <c r="M322" i="7" l="1"/>
  <c r="D322" i="7"/>
  <c r="X321" i="7"/>
  <c r="AB321" i="7"/>
  <c r="C322" i="7"/>
  <c r="B260" i="2"/>
  <c r="D259" i="10"/>
  <c r="F259" i="10"/>
  <c r="C259" i="3"/>
  <c r="H322" i="7"/>
  <c r="I322" i="7"/>
  <c r="J162" i="8"/>
  <c r="N162" i="8" s="1"/>
  <c r="O162" i="8"/>
  <c r="AS161" i="8"/>
  <c r="M229" i="3"/>
  <c r="I229" i="3"/>
  <c r="L229" i="3" s="1"/>
  <c r="N322" i="7" l="1"/>
  <c r="W322" i="7" s="1"/>
  <c r="F323" i="7" s="1"/>
  <c r="K260" i="2"/>
  <c r="D260" i="2"/>
  <c r="R322" i="7"/>
  <c r="C260" i="2"/>
  <c r="C260" i="10"/>
  <c r="J322" i="7"/>
  <c r="R162" i="8"/>
  <c r="K162" i="8"/>
  <c r="M162" i="8" s="1"/>
  <c r="Q229" i="3"/>
  <c r="J229" i="3"/>
  <c r="K229" i="3" s="1"/>
  <c r="O323" i="7" l="1"/>
  <c r="S322" i="7"/>
  <c r="C322" i="8" s="1"/>
  <c r="K322" i="7"/>
  <c r="L260" i="2"/>
  <c r="E260" i="2"/>
  <c r="P162" i="8"/>
  <c r="Q162" i="8" s="1"/>
  <c r="X162" i="8"/>
  <c r="AI162" i="8"/>
  <c r="L162" i="8"/>
  <c r="U229" i="3"/>
  <c r="N229" i="3"/>
  <c r="AC229" i="3"/>
  <c r="M229" i="10" s="1"/>
  <c r="P323" i="7" l="1"/>
  <c r="Q323" i="7" s="1"/>
  <c r="L322" i="7"/>
  <c r="V322" i="7" s="1"/>
  <c r="T322" i="7"/>
  <c r="D322" i="8" s="1"/>
  <c r="B260" i="3"/>
  <c r="E260" i="10"/>
  <c r="F260" i="2"/>
  <c r="E323" i="8"/>
  <c r="Z162" i="8"/>
  <c r="AB162" i="8" s="1"/>
  <c r="AU162" i="8"/>
  <c r="S162" i="8"/>
  <c r="Y162" i="8"/>
  <c r="AA162" i="8" s="1"/>
  <c r="AJ162" i="8"/>
  <c r="Z322" i="7"/>
  <c r="AA322" i="7" s="1"/>
  <c r="B322" i="7" s="1"/>
  <c r="B322" i="8" s="1"/>
  <c r="U322" i="8" s="1"/>
  <c r="W322" i="8" s="1"/>
  <c r="X229" i="3"/>
  <c r="V229" i="3"/>
  <c r="Y229" i="3" s="1"/>
  <c r="O229" i="3"/>
  <c r="Y323" i="7" l="1"/>
  <c r="E323" i="7"/>
  <c r="M323" i="7" s="1"/>
  <c r="U322" i="7"/>
  <c r="G260" i="2"/>
  <c r="H260" i="2" s="1"/>
  <c r="D323" i="7"/>
  <c r="X322" i="7"/>
  <c r="AC162" i="8"/>
  <c r="T162" i="8"/>
  <c r="V162" i="8" s="1"/>
  <c r="AK162" i="8"/>
  <c r="P229" i="3"/>
  <c r="E230" i="3"/>
  <c r="H229" i="10"/>
  <c r="I229" i="10"/>
  <c r="F230" i="3"/>
  <c r="R229" i="3"/>
  <c r="S229" i="3" s="1"/>
  <c r="W229" i="3"/>
  <c r="Z229" i="3" s="1"/>
  <c r="AT162" i="8" l="1"/>
  <c r="N323" i="7"/>
  <c r="W323" i="7" s="1"/>
  <c r="F324" i="7" s="1"/>
  <c r="D260" i="3"/>
  <c r="G260" i="10"/>
  <c r="I260" i="2"/>
  <c r="I323" i="7"/>
  <c r="H323" i="7"/>
  <c r="J323" i="7" s="1"/>
  <c r="AB322" i="7"/>
  <c r="C323" i="7"/>
  <c r="AD162" i="8"/>
  <c r="T229" i="3"/>
  <c r="AA229" i="3"/>
  <c r="K229" i="10" s="1"/>
  <c r="G230" i="3"/>
  <c r="J229" i="10"/>
  <c r="R323" i="7" l="1"/>
  <c r="O324" i="7"/>
  <c r="J260" i="2"/>
  <c r="M260" i="2"/>
  <c r="P324" i="7"/>
  <c r="Q324" i="7" s="1"/>
  <c r="K323" i="7"/>
  <c r="T323" i="7" s="1"/>
  <c r="D323" i="8" s="1"/>
  <c r="AE162" i="8"/>
  <c r="AL162" i="8"/>
  <c r="AB229" i="3"/>
  <c r="L229" i="10" s="1"/>
  <c r="H230" i="3"/>
  <c r="S323" i="7" l="1"/>
  <c r="C323" i="8" s="1"/>
  <c r="Y324" i="7"/>
  <c r="E324" i="8"/>
  <c r="D260" i="10"/>
  <c r="B261" i="2"/>
  <c r="F260" i="10"/>
  <c r="C260" i="3"/>
  <c r="L323" i="7"/>
  <c r="V323" i="7" s="1"/>
  <c r="AF162" i="8"/>
  <c r="AM162" i="8" s="1"/>
  <c r="AQ162" i="8" s="1"/>
  <c r="G163" i="8" s="1"/>
  <c r="AP162" i="8"/>
  <c r="F163" i="8" s="1"/>
  <c r="M230" i="3"/>
  <c r="I230" i="3"/>
  <c r="L230" i="3" s="1"/>
  <c r="U323" i="7" l="1"/>
  <c r="C261" i="2"/>
  <c r="D261" i="2"/>
  <c r="K261" i="2"/>
  <c r="C261" i="10"/>
  <c r="E324" i="7"/>
  <c r="Z323" i="7"/>
  <c r="AA323" i="7" s="1"/>
  <c r="B323" i="7" s="1"/>
  <c r="B323" i="8" s="1"/>
  <c r="U323" i="8" s="1"/>
  <c r="W323" i="8" s="1"/>
  <c r="AG162" i="8"/>
  <c r="AH162" i="8" s="1"/>
  <c r="AN162" i="8" s="1"/>
  <c r="AR162" i="8" s="1"/>
  <c r="H163" i="8" s="1"/>
  <c r="Q230" i="3"/>
  <c r="J230" i="3"/>
  <c r="K230" i="3" s="1"/>
  <c r="D324" i="7" l="1"/>
  <c r="X323" i="7"/>
  <c r="M324" i="7"/>
  <c r="E261" i="2"/>
  <c r="L261" i="2"/>
  <c r="AO162" i="8"/>
  <c r="I163" i="8"/>
  <c r="U230" i="3"/>
  <c r="N230" i="3"/>
  <c r="AC230" i="3"/>
  <c r="M230" i="10" s="1"/>
  <c r="AB323" i="7" l="1"/>
  <c r="C324" i="7"/>
  <c r="N324" i="7"/>
  <c r="W324" i="7" s="1"/>
  <c r="F325" i="7" s="1"/>
  <c r="I324" i="7"/>
  <c r="H324" i="7"/>
  <c r="J324" i="7" s="1"/>
  <c r="F261" i="2"/>
  <c r="B261" i="3"/>
  <c r="E261" i="10"/>
  <c r="AS162" i="8"/>
  <c r="O163" i="8"/>
  <c r="J163" i="8"/>
  <c r="N163" i="8" s="1"/>
  <c r="X230" i="3"/>
  <c r="V230" i="3"/>
  <c r="Y230" i="3" s="1"/>
  <c r="O230" i="3"/>
  <c r="R324" i="7" l="1"/>
  <c r="S324" i="7" s="1"/>
  <c r="C324" i="8" s="1"/>
  <c r="O325" i="7"/>
  <c r="K324" i="7"/>
  <c r="G261" i="2"/>
  <c r="H261" i="2" s="1"/>
  <c r="R163" i="8"/>
  <c r="K163" i="8"/>
  <c r="M163" i="8" s="1"/>
  <c r="E231" i="3"/>
  <c r="H230" i="10"/>
  <c r="I230" i="10"/>
  <c r="F231" i="3"/>
  <c r="R230" i="3"/>
  <c r="S230" i="3" s="1"/>
  <c r="W230" i="3"/>
  <c r="Z230" i="3" s="1"/>
  <c r="P230" i="3"/>
  <c r="I261" i="2" l="1"/>
  <c r="T324" i="7"/>
  <c r="D324" i="8" s="1"/>
  <c r="L324" i="7"/>
  <c r="V324" i="7" s="1"/>
  <c r="D261" i="3"/>
  <c r="P325" i="7"/>
  <c r="Q325" i="7" s="1"/>
  <c r="G261" i="10"/>
  <c r="X163" i="8"/>
  <c r="P163" i="8"/>
  <c r="Q163" i="8" s="1"/>
  <c r="AI163" i="8"/>
  <c r="L163" i="8"/>
  <c r="M261" i="2"/>
  <c r="J261" i="2"/>
  <c r="E325" i="8"/>
  <c r="Y325" i="7"/>
  <c r="E325" i="7"/>
  <c r="G231" i="3"/>
  <c r="J230" i="10"/>
  <c r="T230" i="3"/>
  <c r="AA230" i="3"/>
  <c r="K230" i="10" s="1"/>
  <c r="Z324" i="7" l="1"/>
  <c r="AA324" i="7" s="1"/>
  <c r="B324" i="7" s="1"/>
  <c r="B324" i="8" s="1"/>
  <c r="U324" i="8" s="1"/>
  <c r="W324" i="8" s="1"/>
  <c r="U324" i="7"/>
  <c r="Z163" i="8"/>
  <c r="AB163" i="8" s="1"/>
  <c r="Y163" i="8"/>
  <c r="AA163" i="8" s="1"/>
  <c r="S163" i="8"/>
  <c r="AJ163" i="8"/>
  <c r="AU163" i="8"/>
  <c r="F261" i="10"/>
  <c r="C261" i="3"/>
  <c r="D261" i="10"/>
  <c r="B262" i="2"/>
  <c r="M325" i="7"/>
  <c r="H231" i="3"/>
  <c r="AB230" i="3"/>
  <c r="L230" i="10" s="1"/>
  <c r="D325" i="7" l="1"/>
  <c r="X324" i="7"/>
  <c r="AC163" i="8"/>
  <c r="T163" i="8"/>
  <c r="V163" i="8" s="1"/>
  <c r="M231" i="3"/>
  <c r="AK163" i="8"/>
  <c r="C262" i="2"/>
  <c r="D262" i="2"/>
  <c r="K262" i="2"/>
  <c r="C262" i="10"/>
  <c r="N325" i="7"/>
  <c r="W325" i="7" s="1"/>
  <c r="F326" i="7" s="1"/>
  <c r="I325" i="7"/>
  <c r="I231" i="3"/>
  <c r="L231" i="3" s="1"/>
  <c r="H325" i="7" l="1"/>
  <c r="AB324" i="7"/>
  <c r="C325" i="7"/>
  <c r="AD163" i="8"/>
  <c r="AT163" i="8"/>
  <c r="J325" i="7"/>
  <c r="O326" i="7"/>
  <c r="E262" i="2"/>
  <c r="F262" i="2" s="1"/>
  <c r="L262" i="2"/>
  <c r="Q231" i="3"/>
  <c r="J231" i="3"/>
  <c r="K231" i="3" s="1"/>
  <c r="R325" i="7" l="1"/>
  <c r="S325" i="7" s="1"/>
  <c r="C325" i="8" s="1"/>
  <c r="AE163" i="8"/>
  <c r="AL163" i="8"/>
  <c r="K325" i="7"/>
  <c r="T325" i="7" s="1"/>
  <c r="D325" i="8" s="1"/>
  <c r="P326" i="7"/>
  <c r="Q326" i="7" s="1"/>
  <c r="G262" i="2"/>
  <c r="E262" i="10"/>
  <c r="B262" i="3"/>
  <c r="U231" i="3"/>
  <c r="N231" i="3"/>
  <c r="AC231" i="3"/>
  <c r="M231" i="10" s="1"/>
  <c r="AF163" i="8" l="1"/>
  <c r="AM163" i="8" s="1"/>
  <c r="AQ163" i="8" s="1"/>
  <c r="G164" i="8" s="1"/>
  <c r="AP163" i="8"/>
  <c r="F164" i="8" s="1"/>
  <c r="L325" i="7"/>
  <c r="V325" i="7" s="1"/>
  <c r="H262" i="2"/>
  <c r="E326" i="8"/>
  <c r="Y326" i="7"/>
  <c r="X231" i="3"/>
  <c r="I262" i="2"/>
  <c r="V231" i="3"/>
  <c r="Y231" i="3" s="1"/>
  <c r="O231" i="3"/>
  <c r="AG163" i="8" l="1"/>
  <c r="AH163" i="8" s="1"/>
  <c r="AN163" i="8" s="1"/>
  <c r="Z325" i="7"/>
  <c r="AA325" i="7" s="1"/>
  <c r="B325" i="7" s="1"/>
  <c r="B325" i="8" s="1"/>
  <c r="U325" i="8" s="1"/>
  <c r="W325" i="8" s="1"/>
  <c r="E326" i="7"/>
  <c r="U325" i="7"/>
  <c r="G262" i="10"/>
  <c r="J262" i="2"/>
  <c r="M262" i="2"/>
  <c r="D262" i="3"/>
  <c r="E232" i="3"/>
  <c r="H231" i="10"/>
  <c r="I231" i="10"/>
  <c r="F232" i="3"/>
  <c r="R231" i="3"/>
  <c r="S231" i="3" s="1"/>
  <c r="W231" i="3"/>
  <c r="Z231" i="3" s="1"/>
  <c r="P231" i="3"/>
  <c r="M326" i="7" l="1"/>
  <c r="X325" i="7"/>
  <c r="AO163" i="8"/>
  <c r="AR163" i="8"/>
  <c r="H164" i="8" s="1"/>
  <c r="D326" i="7"/>
  <c r="D262" i="10"/>
  <c r="B263" i="2"/>
  <c r="F262" i="10"/>
  <c r="C262" i="3"/>
  <c r="AA231" i="3"/>
  <c r="K231" i="10" s="1"/>
  <c r="G232" i="3"/>
  <c r="J231" i="10"/>
  <c r="T231" i="3"/>
  <c r="I164" i="8" l="1"/>
  <c r="AS163" i="8"/>
  <c r="N326" i="7"/>
  <c r="W326" i="7" s="1"/>
  <c r="F327" i="7" s="1"/>
  <c r="AB325" i="7"/>
  <c r="C326" i="7"/>
  <c r="I326" i="7"/>
  <c r="H326" i="7"/>
  <c r="C263" i="2"/>
  <c r="D263" i="2"/>
  <c r="K263" i="2"/>
  <c r="C263" i="10"/>
  <c r="O164" i="8"/>
  <c r="R326" i="7"/>
  <c r="J164" i="8"/>
  <c r="N164" i="8" s="1"/>
  <c r="H232" i="3"/>
  <c r="AB231" i="3"/>
  <c r="L231" i="10" s="1"/>
  <c r="O327" i="7" l="1"/>
  <c r="S326" i="7"/>
  <c r="C326" i="8" s="1"/>
  <c r="J326" i="7"/>
  <c r="L263" i="2"/>
  <c r="E263" i="2"/>
  <c r="P327" i="7"/>
  <c r="Q327" i="7" s="1"/>
  <c r="K164" i="8"/>
  <c r="M164" i="8" s="1"/>
  <c r="M232" i="3"/>
  <c r="R164" i="8"/>
  <c r="I232" i="3"/>
  <c r="L232" i="3" s="1"/>
  <c r="B263" i="3" l="1"/>
  <c r="K326" i="7"/>
  <c r="T326" i="7" s="1"/>
  <c r="D326" i="8" s="1"/>
  <c r="E263" i="10"/>
  <c r="L326" i="7"/>
  <c r="V326" i="7" s="1"/>
  <c r="F263" i="2"/>
  <c r="E327" i="8"/>
  <c r="Y327" i="7"/>
  <c r="X164" i="8"/>
  <c r="P164" i="8"/>
  <c r="Q164" i="8" s="1"/>
  <c r="AI164" i="8"/>
  <c r="L164" i="8"/>
  <c r="Q232" i="3"/>
  <c r="J232" i="3"/>
  <c r="K232" i="3" s="1"/>
  <c r="Z326" i="7" l="1"/>
  <c r="AA326" i="7" s="1"/>
  <c r="B326" i="7" s="1"/>
  <c r="B326" i="8" s="1"/>
  <c r="U326" i="8" s="1"/>
  <c r="W326" i="8" s="1"/>
  <c r="E327" i="7"/>
  <c r="U326" i="7"/>
  <c r="G263" i="2"/>
  <c r="Z164" i="8"/>
  <c r="AB164" i="8" s="1"/>
  <c r="Y164" i="8"/>
  <c r="AA164" i="8" s="1"/>
  <c r="S164" i="8"/>
  <c r="AC232" i="3"/>
  <c r="M232" i="10" s="1"/>
  <c r="AJ164" i="8"/>
  <c r="AU164" i="8"/>
  <c r="U232" i="3"/>
  <c r="N232" i="3"/>
  <c r="M327" i="7" l="1"/>
  <c r="X326" i="7"/>
  <c r="D327" i="7"/>
  <c r="AK164" i="8"/>
  <c r="I263" i="2"/>
  <c r="H263" i="2"/>
  <c r="AC164" i="8"/>
  <c r="T164" i="8"/>
  <c r="V164" i="8" s="1"/>
  <c r="AB326" i="7"/>
  <c r="V232" i="3"/>
  <c r="Y232" i="3" s="1"/>
  <c r="O232" i="3"/>
  <c r="X232" i="3"/>
  <c r="C327" i="7" l="1"/>
  <c r="I327" i="7"/>
  <c r="H327" i="7"/>
  <c r="N327" i="7"/>
  <c r="W327" i="7" s="1"/>
  <c r="F328" i="7" s="1"/>
  <c r="J263" i="2"/>
  <c r="M263" i="2"/>
  <c r="D263" i="3"/>
  <c r="G263" i="10"/>
  <c r="AT164" i="8"/>
  <c r="AD164" i="8"/>
  <c r="P232" i="3"/>
  <c r="I232" i="10"/>
  <c r="F233" i="3"/>
  <c r="R232" i="3"/>
  <c r="S232" i="3" s="1"/>
  <c r="H232" i="10"/>
  <c r="E233" i="3"/>
  <c r="W232" i="3"/>
  <c r="R327" i="7" l="1"/>
  <c r="S327" i="7" s="1"/>
  <c r="C327" i="8" s="1"/>
  <c r="O328" i="7"/>
  <c r="J327" i="7"/>
  <c r="P328" i="7"/>
  <c r="Q328" i="7" s="1"/>
  <c r="F263" i="10"/>
  <c r="C263" i="3"/>
  <c r="D263" i="10"/>
  <c r="B264" i="2"/>
  <c r="AE164" i="8"/>
  <c r="AL164" i="8"/>
  <c r="Y328" i="7"/>
  <c r="E328" i="8"/>
  <c r="K327" i="7"/>
  <c r="T327" i="7" s="1"/>
  <c r="D327" i="8" s="1"/>
  <c r="AA232" i="3"/>
  <c r="K232" i="10" s="1"/>
  <c r="Z232" i="3"/>
  <c r="T232" i="3"/>
  <c r="C264" i="2" l="1"/>
  <c r="D264" i="2"/>
  <c r="C264" i="10"/>
  <c r="AF164" i="8"/>
  <c r="AM164" i="8" s="1"/>
  <c r="AQ164" i="8" s="1"/>
  <c r="G165" i="8" s="1"/>
  <c r="K264" i="2"/>
  <c r="AP164" i="8"/>
  <c r="F165" i="8" s="1"/>
  <c r="E264" i="2"/>
  <c r="L327" i="7"/>
  <c r="V327" i="7" s="1"/>
  <c r="G233" i="3"/>
  <c r="J232" i="10"/>
  <c r="AB232" i="3"/>
  <c r="L232" i="10" s="1"/>
  <c r="AG164" i="8" l="1"/>
  <c r="AH164" i="8" s="1"/>
  <c r="AN164" i="8" s="1"/>
  <c r="L264" i="2"/>
  <c r="U327" i="7"/>
  <c r="F264" i="2"/>
  <c r="E328" i="7"/>
  <c r="Z327" i="7"/>
  <c r="AA327" i="7" s="1"/>
  <c r="B327" i="7" s="1"/>
  <c r="B327" i="8" s="1"/>
  <c r="U327" i="8" s="1"/>
  <c r="W327" i="8" s="1"/>
  <c r="AO164" i="8"/>
  <c r="AR164" i="8"/>
  <c r="H165" i="8" s="1"/>
  <c r="H233" i="3"/>
  <c r="B264" i="3" l="1"/>
  <c r="E264" i="10"/>
  <c r="X327" i="7"/>
  <c r="D328" i="7"/>
  <c r="G264" i="2"/>
  <c r="M328" i="7"/>
  <c r="H328" i="7"/>
  <c r="AS164" i="8"/>
  <c r="I165" i="8"/>
  <c r="M233" i="3"/>
  <c r="I233" i="3"/>
  <c r="L233" i="3" s="1"/>
  <c r="I328" i="7" l="1"/>
  <c r="I264" i="2"/>
  <c r="H264" i="2"/>
  <c r="AB327" i="7"/>
  <c r="C328" i="7"/>
  <c r="J233" i="3"/>
  <c r="K233" i="3" s="1"/>
  <c r="O165" i="8"/>
  <c r="N328" i="7"/>
  <c r="W328" i="7" s="1"/>
  <c r="F329" i="7" s="1"/>
  <c r="J165" i="8"/>
  <c r="N165" i="8" s="1"/>
  <c r="Q233" i="3"/>
  <c r="J328" i="7" l="1"/>
  <c r="R328" i="7"/>
  <c r="S328" i="7" s="1"/>
  <c r="C328" i="8" s="1"/>
  <c r="G264" i="10"/>
  <c r="M264" i="2"/>
  <c r="D264" i="3"/>
  <c r="J264" i="2"/>
  <c r="U233" i="3"/>
  <c r="AC233" i="3"/>
  <c r="M233" i="10" s="1"/>
  <c r="N233" i="3"/>
  <c r="O329" i="7"/>
  <c r="K328" i="7"/>
  <c r="R165" i="8"/>
  <c r="K165" i="8"/>
  <c r="M165" i="8" s="1"/>
  <c r="F264" i="10" l="1"/>
  <c r="C264" i="3"/>
  <c r="D264" i="10"/>
  <c r="B265" i="2"/>
  <c r="L328" i="7"/>
  <c r="V328" i="7" s="1"/>
  <c r="O233" i="3"/>
  <c r="V233" i="3"/>
  <c r="Y233" i="3" s="1"/>
  <c r="X233" i="3"/>
  <c r="P329" i="7"/>
  <c r="Q329" i="7" s="1"/>
  <c r="T328" i="7"/>
  <c r="D328" i="8" s="1"/>
  <c r="X165" i="8"/>
  <c r="P165" i="8"/>
  <c r="Q165" i="8" s="1"/>
  <c r="AI165" i="8"/>
  <c r="L165" i="8"/>
  <c r="C265" i="2" l="1"/>
  <c r="D265" i="2"/>
  <c r="K265" i="2"/>
  <c r="C265" i="10"/>
  <c r="E329" i="8"/>
  <c r="AU165" i="8"/>
  <c r="Y329" i="7"/>
  <c r="E329" i="7"/>
  <c r="Z328" i="7"/>
  <c r="AA328" i="7" s="1"/>
  <c r="B328" i="7" s="1"/>
  <c r="B328" i="8" s="1"/>
  <c r="U328" i="8" s="1"/>
  <c r="U328" i="7"/>
  <c r="P233" i="3"/>
  <c r="W233" i="3"/>
  <c r="Z233" i="3" s="1"/>
  <c r="R233" i="3"/>
  <c r="S233" i="3" s="1"/>
  <c r="I233" i="10"/>
  <c r="F234" i="3"/>
  <c r="H233" i="10"/>
  <c r="E234" i="3"/>
  <c r="Z165" i="8"/>
  <c r="AB165" i="8" s="1"/>
  <c r="Y165" i="8"/>
  <c r="AA165" i="8" s="1"/>
  <c r="S165" i="8"/>
  <c r="AJ165" i="8"/>
  <c r="E265" i="2" l="1"/>
  <c r="L265" i="2"/>
  <c r="X328" i="7"/>
  <c r="D329" i="7"/>
  <c r="AA233" i="3"/>
  <c r="K233" i="10" s="1"/>
  <c r="M329" i="7"/>
  <c r="W328" i="8"/>
  <c r="G234" i="3"/>
  <c r="H234" i="3" s="1"/>
  <c r="J233" i="10"/>
  <c r="T233" i="3"/>
  <c r="AC165" i="8"/>
  <c r="T165" i="8"/>
  <c r="V165" i="8" s="1"/>
  <c r="AK165" i="8"/>
  <c r="AB328" i="7" l="1"/>
  <c r="C329" i="7"/>
  <c r="H329" i="7"/>
  <c r="I329" i="7"/>
  <c r="B265" i="3"/>
  <c r="F265" i="2"/>
  <c r="E265" i="10"/>
  <c r="N329" i="7"/>
  <c r="W329" i="7" s="1"/>
  <c r="F330" i="7" s="1"/>
  <c r="M234" i="3"/>
  <c r="I234" i="3"/>
  <c r="L234" i="3" s="1"/>
  <c r="AB233" i="3"/>
  <c r="L233" i="10" s="1"/>
  <c r="AD165" i="8"/>
  <c r="AT165" i="8"/>
  <c r="R329" i="7" l="1"/>
  <c r="S329" i="7" s="1"/>
  <c r="C329" i="8" s="1"/>
  <c r="J329" i="7"/>
  <c r="J234" i="3"/>
  <c r="K234" i="3" s="1"/>
  <c r="G265" i="2"/>
  <c r="H265" i="2" s="1"/>
  <c r="Q234" i="3"/>
  <c r="O330" i="7"/>
  <c r="AL165" i="8"/>
  <c r="AE165" i="8"/>
  <c r="K329" i="7" l="1"/>
  <c r="T329" i="7" s="1"/>
  <c r="D329" i="8" s="1"/>
  <c r="I265" i="2"/>
  <c r="U234" i="3"/>
  <c r="N234" i="3"/>
  <c r="D265" i="3"/>
  <c r="G265" i="10"/>
  <c r="AC234" i="3"/>
  <c r="M234" i="10" s="1"/>
  <c r="P330" i="7"/>
  <c r="Q330" i="7" s="1"/>
  <c r="AP165" i="8"/>
  <c r="F166" i="8" s="1"/>
  <c r="AF165" i="8"/>
  <c r="AM165" i="8" s="1"/>
  <c r="AQ165" i="8" s="1"/>
  <c r="G166" i="8" s="1"/>
  <c r="L329" i="7" l="1"/>
  <c r="V329" i="7" s="1"/>
  <c r="M265" i="2"/>
  <c r="J265" i="2"/>
  <c r="Y330" i="7"/>
  <c r="E330" i="8"/>
  <c r="X234" i="3"/>
  <c r="V234" i="3"/>
  <c r="Y234" i="3" s="1"/>
  <c r="O234" i="3"/>
  <c r="AG165" i="8"/>
  <c r="AH165" i="8" s="1"/>
  <c r="AN165" i="8" s="1"/>
  <c r="AR165" i="8" s="1"/>
  <c r="H166" i="8" s="1"/>
  <c r="P234" i="3"/>
  <c r="I234" i="10"/>
  <c r="E330" i="7" l="1"/>
  <c r="Z329" i="7"/>
  <c r="AA329" i="7" s="1"/>
  <c r="B329" i="7" s="1"/>
  <c r="B329" i="8" s="1"/>
  <c r="U329" i="8" s="1"/>
  <c r="W329" i="8" s="1"/>
  <c r="B266" i="2"/>
  <c r="H234" i="10"/>
  <c r="U329" i="7"/>
  <c r="F265" i="10"/>
  <c r="C265" i="3"/>
  <c r="D265" i="10"/>
  <c r="E235" i="3"/>
  <c r="X329" i="7"/>
  <c r="F235" i="3"/>
  <c r="R234" i="3"/>
  <c r="S234" i="3" s="1"/>
  <c r="W234" i="3"/>
  <c r="Z234" i="3" s="1"/>
  <c r="D330" i="7"/>
  <c r="M330" i="7"/>
  <c r="H330" i="7"/>
  <c r="AB329" i="7"/>
  <c r="C330" i="7"/>
  <c r="I166" i="8"/>
  <c r="J166" i="8" s="1"/>
  <c r="N166" i="8" s="1"/>
  <c r="AO165" i="8"/>
  <c r="D266" i="2" l="1"/>
  <c r="C266" i="2"/>
  <c r="K266" i="2"/>
  <c r="C266" i="10"/>
  <c r="I330" i="7"/>
  <c r="G235" i="3"/>
  <c r="J234" i="10"/>
  <c r="T234" i="3"/>
  <c r="AA234" i="3"/>
  <c r="K234" i="10" s="1"/>
  <c r="AS165" i="8"/>
  <c r="N330" i="7"/>
  <c r="W330" i="7" s="1"/>
  <c r="F331" i="7" s="1"/>
  <c r="O166" i="8"/>
  <c r="R330" i="7"/>
  <c r="K166" i="8"/>
  <c r="M166" i="8" s="1"/>
  <c r="R166" i="8"/>
  <c r="S330" i="7" l="1"/>
  <c r="C330" i="8" s="1"/>
  <c r="J330" i="7"/>
  <c r="E266" i="2"/>
  <c r="L266" i="2"/>
  <c r="AB234" i="3"/>
  <c r="L234" i="10" s="1"/>
  <c r="H235" i="3"/>
  <c r="O331" i="7"/>
  <c r="L166" i="8"/>
  <c r="X166" i="8"/>
  <c r="Z166" i="8" s="1"/>
  <c r="AB166" i="8" s="1"/>
  <c r="P166" i="8"/>
  <c r="Q166" i="8" s="1"/>
  <c r="AI166" i="8"/>
  <c r="K330" i="7" l="1"/>
  <c r="T330" i="7" s="1"/>
  <c r="D330" i="8" s="1"/>
  <c r="B266" i="3"/>
  <c r="F266" i="2"/>
  <c r="E266" i="10"/>
  <c r="M235" i="3"/>
  <c r="I235" i="3"/>
  <c r="L235" i="3" s="1"/>
  <c r="P331" i="7"/>
  <c r="Q331" i="7" s="1"/>
  <c r="Y166" i="8"/>
  <c r="AA166" i="8" s="1"/>
  <c r="AJ166" i="8"/>
  <c r="S166" i="8"/>
  <c r="AU166" i="8"/>
  <c r="L330" i="7" l="1"/>
  <c r="V330" i="7" s="1"/>
  <c r="G266" i="2"/>
  <c r="Q235" i="3"/>
  <c r="J235" i="3"/>
  <c r="K235" i="3" s="1"/>
  <c r="Y331" i="7"/>
  <c r="I266" i="2"/>
  <c r="H266" i="2"/>
  <c r="E331" i="8"/>
  <c r="AC166" i="8"/>
  <c r="T166" i="8"/>
  <c r="V166" i="8" s="1"/>
  <c r="AK166" i="8"/>
  <c r="AD166" i="8"/>
  <c r="AL166" i="8" s="1"/>
  <c r="U330" i="7" l="1"/>
  <c r="Z330" i="7"/>
  <c r="AA330" i="7" s="1"/>
  <c r="B330" i="7" s="1"/>
  <c r="B330" i="8" s="1"/>
  <c r="U330" i="8" s="1"/>
  <c r="W330" i="8" s="1"/>
  <c r="E331" i="7"/>
  <c r="M331" i="7" s="1"/>
  <c r="M266" i="2"/>
  <c r="J266" i="2"/>
  <c r="D266" i="3"/>
  <c r="G266" i="10"/>
  <c r="U235" i="3"/>
  <c r="N235" i="3"/>
  <c r="AC235" i="3"/>
  <c r="M235" i="10" s="1"/>
  <c r="AT166" i="8"/>
  <c r="AP166" i="8"/>
  <c r="F167" i="8" s="1"/>
  <c r="AE166" i="8"/>
  <c r="V235" i="3"/>
  <c r="Y235" i="3" s="1"/>
  <c r="D331" i="7" l="1"/>
  <c r="X330" i="7"/>
  <c r="N331" i="7"/>
  <c r="W331" i="7" s="1"/>
  <c r="F332" i="7" s="1"/>
  <c r="F266" i="10"/>
  <c r="C266" i="3"/>
  <c r="X235" i="3"/>
  <c r="D266" i="10"/>
  <c r="B267" i="2"/>
  <c r="O235" i="3"/>
  <c r="AF166" i="8"/>
  <c r="AM166" i="8" s="1"/>
  <c r="P235" i="3"/>
  <c r="I235" i="10"/>
  <c r="F236" i="3"/>
  <c r="W235" i="3"/>
  <c r="Z235" i="3" s="1"/>
  <c r="H331" i="7" l="1"/>
  <c r="I331" i="7"/>
  <c r="AB330" i="7"/>
  <c r="C331" i="7"/>
  <c r="R331" i="7" s="1"/>
  <c r="O332" i="7"/>
  <c r="C267" i="2"/>
  <c r="D267" i="2"/>
  <c r="K267" i="2"/>
  <c r="C267" i="10"/>
  <c r="H235" i="10"/>
  <c r="E236" i="3"/>
  <c r="R235" i="3"/>
  <c r="S235" i="3" s="1"/>
  <c r="AG166" i="8"/>
  <c r="AH166" i="8" s="1"/>
  <c r="AN166" i="8" s="1"/>
  <c r="AR166" i="8" s="1"/>
  <c r="H167" i="8" s="1"/>
  <c r="I167" i="8" s="1"/>
  <c r="AQ166" i="8"/>
  <c r="G167" i="8" s="1"/>
  <c r="G236" i="3"/>
  <c r="J235" i="10"/>
  <c r="AA235" i="3"/>
  <c r="K235" i="10" s="1"/>
  <c r="S331" i="7" l="1"/>
  <c r="C331" i="8" s="1"/>
  <c r="J331" i="7"/>
  <c r="P332" i="7"/>
  <c r="Q332" i="7" s="1"/>
  <c r="E267" i="2"/>
  <c r="L267" i="2"/>
  <c r="T235" i="3"/>
  <c r="AO166" i="8"/>
  <c r="J167" i="8"/>
  <c r="N167" i="8" s="1"/>
  <c r="R167" i="8" s="1"/>
  <c r="O167" i="8"/>
  <c r="H236" i="3"/>
  <c r="K331" i="7" l="1"/>
  <c r="E332" i="8"/>
  <c r="Y332" i="7"/>
  <c r="F267" i="2"/>
  <c r="E267" i="10"/>
  <c r="B267" i="3"/>
  <c r="AB235" i="3"/>
  <c r="L235" i="10" s="1"/>
  <c r="M236" i="3"/>
  <c r="K167" i="8"/>
  <c r="M167" i="8" s="1"/>
  <c r="G267" i="2"/>
  <c r="H267" i="2" s="1"/>
  <c r="AS166" i="8"/>
  <c r="I236" i="3"/>
  <c r="L236" i="3" s="1"/>
  <c r="T331" i="7" l="1"/>
  <c r="D331" i="8" s="1"/>
  <c r="L331" i="7"/>
  <c r="V331" i="7" s="1"/>
  <c r="AI167" i="8"/>
  <c r="AJ167" i="8" s="1"/>
  <c r="P167" i="8"/>
  <c r="Q167" i="8" s="1"/>
  <c r="S167" i="8" s="1"/>
  <c r="X167" i="8"/>
  <c r="L167" i="8"/>
  <c r="G267" i="10"/>
  <c r="I267" i="2"/>
  <c r="M267" i="2" s="1"/>
  <c r="D267" i="3"/>
  <c r="Q236" i="3"/>
  <c r="J236" i="3"/>
  <c r="K236" i="3" s="1"/>
  <c r="E332" i="7" l="1"/>
  <c r="Z331" i="7"/>
  <c r="AA331" i="7" s="1"/>
  <c r="B331" i="7" s="1"/>
  <c r="B331" i="8" s="1"/>
  <c r="U331" i="8" s="1"/>
  <c r="W331" i="8" s="1"/>
  <c r="U331" i="7"/>
  <c r="AU167" i="8"/>
  <c r="J267" i="2"/>
  <c r="M332" i="7"/>
  <c r="X331" i="7"/>
  <c r="D332" i="7"/>
  <c r="AK167" i="8"/>
  <c r="Y167" i="8"/>
  <c r="AA167" i="8" s="1"/>
  <c r="Z167" i="8"/>
  <c r="AB167" i="8" s="1"/>
  <c r="T167" i="8"/>
  <c r="V167" i="8" s="1"/>
  <c r="C267" i="3"/>
  <c r="F267" i="10"/>
  <c r="AC236" i="3"/>
  <c r="M236" i="10" s="1"/>
  <c r="U236" i="3"/>
  <c r="N236" i="3"/>
  <c r="B268" i="2" l="1"/>
  <c r="D267" i="10"/>
  <c r="AB331" i="7"/>
  <c r="C332" i="7"/>
  <c r="R332" i="7" s="1"/>
  <c r="H332" i="7"/>
  <c r="I332" i="7"/>
  <c r="N332" i="7"/>
  <c r="AT167" i="8"/>
  <c r="AC167" i="8"/>
  <c r="AD167" i="8" s="1"/>
  <c r="X236" i="3"/>
  <c r="V236" i="3"/>
  <c r="Y236" i="3" s="1"/>
  <c r="O236" i="3"/>
  <c r="H236" i="10" l="1"/>
  <c r="D268" i="2"/>
  <c r="K268" i="2"/>
  <c r="C268" i="10"/>
  <c r="C268" i="2"/>
  <c r="E268" i="2" s="1"/>
  <c r="S332" i="7"/>
  <c r="C332" i="8" s="1"/>
  <c r="W332" i="7"/>
  <c r="F333" i="7" s="1"/>
  <c r="J332" i="7"/>
  <c r="AE167" i="8"/>
  <c r="AL167" i="8"/>
  <c r="E237" i="3"/>
  <c r="AF167" i="8"/>
  <c r="AM167" i="8" s="1"/>
  <c r="AQ167" i="8" s="1"/>
  <c r="G168" i="8" s="1"/>
  <c r="I236" i="10"/>
  <c r="F237" i="3"/>
  <c r="R236" i="3"/>
  <c r="S236" i="3" s="1"/>
  <c r="W236" i="3"/>
  <c r="Z236" i="3" s="1"/>
  <c r="P236" i="3"/>
  <c r="AP167" i="8" l="1"/>
  <c r="F168" i="8" s="1"/>
  <c r="L268" i="2"/>
  <c r="F268" i="2"/>
  <c r="O333" i="7"/>
  <c r="K332" i="7"/>
  <c r="AG167" i="8"/>
  <c r="AH167" i="8" s="1"/>
  <c r="AN167" i="8" s="1"/>
  <c r="AR167" i="8" s="1"/>
  <c r="H168" i="8" s="1"/>
  <c r="G237" i="3"/>
  <c r="J236" i="10"/>
  <c r="T236" i="3"/>
  <c r="AA236" i="3"/>
  <c r="K236" i="10" s="1"/>
  <c r="G268" i="2" l="1"/>
  <c r="B268" i="3"/>
  <c r="E268" i="10"/>
  <c r="T332" i="7"/>
  <c r="D332" i="8" s="1"/>
  <c r="P333" i="7"/>
  <c r="Q333" i="7" s="1"/>
  <c r="L332" i="7"/>
  <c r="V332" i="7" s="1"/>
  <c r="I168" i="8"/>
  <c r="AO167" i="8"/>
  <c r="H237" i="3"/>
  <c r="AB236" i="3"/>
  <c r="L236" i="10" s="1"/>
  <c r="H268" i="2" l="1"/>
  <c r="I268" i="2"/>
  <c r="J268" i="2" s="1"/>
  <c r="AS167" i="8"/>
  <c r="E333" i="8"/>
  <c r="Y333" i="7"/>
  <c r="Z332" i="7"/>
  <c r="AA332" i="7" s="1"/>
  <c r="B332" i="7" s="1"/>
  <c r="B332" i="8" s="1"/>
  <c r="U332" i="8" s="1"/>
  <c r="W332" i="8" s="1"/>
  <c r="E333" i="7"/>
  <c r="U332" i="7"/>
  <c r="M237" i="3"/>
  <c r="J168" i="8"/>
  <c r="N168" i="8" s="1"/>
  <c r="O168" i="8"/>
  <c r="I237" i="3"/>
  <c r="L237" i="3" s="1"/>
  <c r="M268" i="2" l="1"/>
  <c r="D268" i="3"/>
  <c r="G268" i="10"/>
  <c r="B269" i="2"/>
  <c r="D268" i="10"/>
  <c r="M333" i="7"/>
  <c r="X332" i="7"/>
  <c r="D333" i="7"/>
  <c r="R168" i="8"/>
  <c r="K168" i="8"/>
  <c r="M168" i="8" s="1"/>
  <c r="Q237" i="3"/>
  <c r="J237" i="3"/>
  <c r="K237" i="3" s="1"/>
  <c r="C268" i="3" l="1"/>
  <c r="F268" i="10"/>
  <c r="D269" i="2"/>
  <c r="K269" i="2"/>
  <c r="C269" i="2"/>
  <c r="C269" i="10"/>
  <c r="N333" i="7"/>
  <c r="W333" i="7" s="1"/>
  <c r="F334" i="7" s="1"/>
  <c r="X168" i="8"/>
  <c r="L168" i="8"/>
  <c r="AB332" i="7"/>
  <c r="C333" i="7"/>
  <c r="H333" i="7"/>
  <c r="I333" i="7"/>
  <c r="P168" i="8"/>
  <c r="Q168" i="8" s="1"/>
  <c r="AI168" i="8"/>
  <c r="AC237" i="3"/>
  <c r="M237" i="10" s="1"/>
  <c r="AJ168" i="8"/>
  <c r="U237" i="3"/>
  <c r="N237" i="3"/>
  <c r="E269" i="2" l="1"/>
  <c r="L269" i="2"/>
  <c r="O334" i="7"/>
  <c r="J333" i="7"/>
  <c r="Z168" i="8"/>
  <c r="AB168" i="8" s="1"/>
  <c r="AU168" i="8"/>
  <c r="Y168" i="8"/>
  <c r="AA168" i="8" s="1"/>
  <c r="S168" i="8"/>
  <c r="R333" i="7"/>
  <c r="S333" i="7" s="1"/>
  <c r="C333" i="8" s="1"/>
  <c r="AK168" i="8"/>
  <c r="V237" i="3"/>
  <c r="Y237" i="3" s="1"/>
  <c r="O237" i="3"/>
  <c r="X237" i="3"/>
  <c r="B269" i="3" l="1"/>
  <c r="F269" i="2"/>
  <c r="E269" i="10"/>
  <c r="G269" i="2"/>
  <c r="H269" i="2" s="1"/>
  <c r="P334" i="7"/>
  <c r="Q334" i="7" s="1"/>
  <c r="K333" i="7"/>
  <c r="T333" i="7" s="1"/>
  <c r="D333" i="8" s="1"/>
  <c r="AC168" i="8"/>
  <c r="T168" i="8"/>
  <c r="V168" i="8" s="1"/>
  <c r="L333" i="7"/>
  <c r="V333" i="7" s="1"/>
  <c r="W237" i="3"/>
  <c r="Z237" i="3" s="1"/>
  <c r="P237" i="3"/>
  <c r="I237" i="10"/>
  <c r="F238" i="3"/>
  <c r="R237" i="3"/>
  <c r="S237" i="3" s="1"/>
  <c r="H237" i="10"/>
  <c r="E238" i="3"/>
  <c r="E334" i="8" l="1"/>
  <c r="Y334" i="7"/>
  <c r="G269" i="10"/>
  <c r="D269" i="3"/>
  <c r="I269" i="2"/>
  <c r="Z333" i="7"/>
  <c r="AA333" i="7" s="1"/>
  <c r="B333" i="7" s="1"/>
  <c r="B333" i="8" s="1"/>
  <c r="U333" i="8" s="1"/>
  <c r="W333" i="8" s="1"/>
  <c r="E334" i="7"/>
  <c r="U333" i="7"/>
  <c r="AD168" i="8"/>
  <c r="AT168" i="8"/>
  <c r="J237" i="10"/>
  <c r="G238" i="3"/>
  <c r="AA237" i="3"/>
  <c r="K237" i="10" s="1"/>
  <c r="T237" i="3"/>
  <c r="J269" i="2" l="1"/>
  <c r="M269" i="2"/>
  <c r="M334" i="7"/>
  <c r="D334" i="7"/>
  <c r="X333" i="7"/>
  <c r="AE168" i="8"/>
  <c r="AL168" i="8"/>
  <c r="N334" i="7"/>
  <c r="W334" i="7" s="1"/>
  <c r="F335" i="7" s="1"/>
  <c r="I334" i="7"/>
  <c r="H334" i="7"/>
  <c r="AB333" i="7"/>
  <c r="H238" i="3"/>
  <c r="AB237" i="3"/>
  <c r="L237" i="10" s="1"/>
  <c r="C334" i="7" l="1"/>
  <c r="R334" i="7" s="1"/>
  <c r="B270" i="2"/>
  <c r="C269" i="3"/>
  <c r="D269" i="10"/>
  <c r="F269" i="10"/>
  <c r="M238" i="3"/>
  <c r="J334" i="7"/>
  <c r="S334" i="7"/>
  <c r="C334" i="8" s="1"/>
  <c r="O335" i="7"/>
  <c r="AF168" i="8"/>
  <c r="AM168" i="8" s="1"/>
  <c r="AQ168" i="8" s="1"/>
  <c r="G169" i="8" s="1"/>
  <c r="AP168" i="8"/>
  <c r="F169" i="8" s="1"/>
  <c r="I238" i="3"/>
  <c r="L238" i="3" s="1"/>
  <c r="P335" i="7"/>
  <c r="Q335" i="7" s="1"/>
  <c r="K270" i="2" l="1"/>
  <c r="C270" i="10"/>
  <c r="C270" i="2"/>
  <c r="D270" i="2"/>
  <c r="K334" i="7"/>
  <c r="AG168" i="8"/>
  <c r="AH168" i="8" s="1"/>
  <c r="AN168" i="8" s="1"/>
  <c r="Q238" i="3"/>
  <c r="J238" i="3"/>
  <c r="K238" i="3" s="1"/>
  <c r="E270" i="2"/>
  <c r="E335" i="8"/>
  <c r="Y335" i="7"/>
  <c r="L270" i="2" l="1"/>
  <c r="B270" i="3" s="1"/>
  <c r="L334" i="7"/>
  <c r="V334" i="7" s="1"/>
  <c r="T334" i="7"/>
  <c r="D334" i="8" s="1"/>
  <c r="AO168" i="8"/>
  <c r="AR168" i="8"/>
  <c r="H169" i="8" s="1"/>
  <c r="U334" i="7"/>
  <c r="U238" i="3"/>
  <c r="N238" i="3"/>
  <c r="F270" i="2"/>
  <c r="AC238" i="3"/>
  <c r="M238" i="10" s="1"/>
  <c r="E335" i="7"/>
  <c r="Z334" i="7"/>
  <c r="AA334" i="7" s="1"/>
  <c r="B334" i="7" s="1"/>
  <c r="B334" i="8" s="1"/>
  <c r="U334" i="8" s="1"/>
  <c r="W334" i="8" s="1"/>
  <c r="E270" i="10" l="1"/>
  <c r="I169" i="8"/>
  <c r="AS168" i="8"/>
  <c r="D335" i="7"/>
  <c r="X334" i="7"/>
  <c r="G270" i="2"/>
  <c r="H270" i="2" s="1"/>
  <c r="V238" i="3"/>
  <c r="Y238" i="3" s="1"/>
  <c r="O238" i="3"/>
  <c r="X238" i="3"/>
  <c r="M335" i="7"/>
  <c r="I335" i="7" l="1"/>
  <c r="H335" i="7"/>
  <c r="J335" i="7" s="1"/>
  <c r="AB334" i="7"/>
  <c r="C335" i="7"/>
  <c r="R335" i="7" s="1"/>
  <c r="O169" i="8"/>
  <c r="J169" i="8"/>
  <c r="N169" i="8" s="1"/>
  <c r="P238" i="3"/>
  <c r="I238" i="10"/>
  <c r="H238" i="10"/>
  <c r="E239" i="3"/>
  <c r="G270" i="10"/>
  <c r="D270" i="3"/>
  <c r="I270" i="2"/>
  <c r="F239" i="3"/>
  <c r="R238" i="3"/>
  <c r="S238" i="3" s="1"/>
  <c r="W238" i="3"/>
  <c r="Z238" i="3" s="1"/>
  <c r="N335" i="7"/>
  <c r="W335" i="7" s="1"/>
  <c r="F336" i="7" s="1"/>
  <c r="S335" i="7" l="1"/>
  <c r="C335" i="8" s="1"/>
  <c r="K335" i="7"/>
  <c r="T335" i="7" s="1"/>
  <c r="D335" i="8" s="1"/>
  <c r="R169" i="8"/>
  <c r="K169" i="8"/>
  <c r="M169" i="8" s="1"/>
  <c r="J270" i="2"/>
  <c r="M270" i="2"/>
  <c r="G239" i="3"/>
  <c r="J238" i="10"/>
  <c r="T238" i="3"/>
  <c r="AA238" i="3"/>
  <c r="K238" i="10" s="1"/>
  <c r="O336" i="7"/>
  <c r="L335" i="7" l="1"/>
  <c r="V335" i="7" s="1"/>
  <c r="D270" i="10"/>
  <c r="B271" i="2"/>
  <c r="X169" i="8"/>
  <c r="AI169" i="8"/>
  <c r="P169" i="8"/>
  <c r="Q169" i="8" s="1"/>
  <c r="L169" i="8"/>
  <c r="H239" i="3"/>
  <c r="C270" i="3"/>
  <c r="F270" i="10"/>
  <c r="AB238" i="3"/>
  <c r="L238" i="10" s="1"/>
  <c r="Z335" i="7"/>
  <c r="AA335" i="7" s="1"/>
  <c r="B335" i="7" s="1"/>
  <c r="B335" i="8" s="1"/>
  <c r="U335" i="8" s="1"/>
  <c r="W335" i="8" s="1"/>
  <c r="P336" i="7"/>
  <c r="Q336" i="7" s="1"/>
  <c r="E336" i="7" l="1"/>
  <c r="U335" i="7"/>
  <c r="C271" i="2"/>
  <c r="D271" i="2"/>
  <c r="S169" i="8"/>
  <c r="I239" i="3"/>
  <c r="L239" i="3" s="1"/>
  <c r="K271" i="2"/>
  <c r="C271" i="10"/>
  <c r="Z169" i="8"/>
  <c r="AB169" i="8" s="1"/>
  <c r="Y169" i="8"/>
  <c r="AA169" i="8" s="1"/>
  <c r="AJ169" i="8"/>
  <c r="M239" i="3"/>
  <c r="AU169" i="8"/>
  <c r="M336" i="7"/>
  <c r="Y336" i="7"/>
  <c r="E336" i="8"/>
  <c r="D336" i="7"/>
  <c r="X335" i="7" l="1"/>
  <c r="AK169" i="8"/>
  <c r="AC169" i="8"/>
  <c r="T169" i="8"/>
  <c r="V169" i="8" s="1"/>
  <c r="J239" i="3"/>
  <c r="K239" i="3" s="1"/>
  <c r="E271" i="2"/>
  <c r="F271" i="2" s="1"/>
  <c r="Q239" i="3"/>
  <c r="L271" i="2"/>
  <c r="I336" i="7"/>
  <c r="H336" i="7"/>
  <c r="AB335" i="7"/>
  <c r="C336" i="7"/>
  <c r="R336" i="7" s="1"/>
  <c r="G271" i="2"/>
  <c r="H271" i="2" s="1"/>
  <c r="N239" i="3"/>
  <c r="U239" i="3"/>
  <c r="N336" i="7"/>
  <c r="W336" i="7" s="1"/>
  <c r="F337" i="7" s="1"/>
  <c r="AD169" i="8" l="1"/>
  <c r="AT169" i="8"/>
  <c r="AC239" i="3"/>
  <c r="M239" i="10" s="1"/>
  <c r="E271" i="10"/>
  <c r="B271" i="3"/>
  <c r="J336" i="7"/>
  <c r="G271" i="10"/>
  <c r="D271" i="3"/>
  <c r="I271" i="2"/>
  <c r="S336" i="7"/>
  <c r="C336" i="8" s="1"/>
  <c r="O337" i="7"/>
  <c r="O239" i="3"/>
  <c r="V239" i="3"/>
  <c r="Y239" i="3" s="1"/>
  <c r="X239" i="3"/>
  <c r="AE169" i="8" l="1"/>
  <c r="AL169" i="8"/>
  <c r="K336" i="7"/>
  <c r="J271" i="2"/>
  <c r="M271" i="2"/>
  <c r="P239" i="3"/>
  <c r="R239" i="3"/>
  <c r="S239" i="3" s="1"/>
  <c r="I239" i="10"/>
  <c r="H239" i="10"/>
  <c r="W239" i="3"/>
  <c r="Z239" i="3" s="1"/>
  <c r="P337" i="7"/>
  <c r="Q337" i="7" s="1"/>
  <c r="F240" i="3"/>
  <c r="E240" i="3"/>
  <c r="AF169" i="8" l="1"/>
  <c r="AM169" i="8" s="1"/>
  <c r="AQ169" i="8" s="1"/>
  <c r="G170" i="8" s="1"/>
  <c r="AP169" i="8"/>
  <c r="F170" i="8" s="1"/>
  <c r="L336" i="7"/>
  <c r="V336" i="7" s="1"/>
  <c r="F271" i="10"/>
  <c r="D271" i="10"/>
  <c r="T336" i="7"/>
  <c r="D336" i="8" s="1"/>
  <c r="U336" i="7"/>
  <c r="C271" i="3"/>
  <c r="B272" i="2"/>
  <c r="Z336" i="7"/>
  <c r="AA336" i="7" s="1"/>
  <c r="B336" i="7" s="1"/>
  <c r="B336" i="8" s="1"/>
  <c r="U336" i="8" s="1"/>
  <c r="E337" i="8"/>
  <c r="Y337" i="7"/>
  <c r="T239" i="3"/>
  <c r="G240" i="3"/>
  <c r="J239" i="10"/>
  <c r="AA239" i="3"/>
  <c r="K239" i="10" s="1"/>
  <c r="AG169" i="8" l="1"/>
  <c r="AH169" i="8" s="1"/>
  <c r="AN169" i="8" s="1"/>
  <c r="AR169" i="8" s="1"/>
  <c r="H170" i="8" s="1"/>
  <c r="E337" i="7"/>
  <c r="M337" i="7" s="1"/>
  <c r="D272" i="2"/>
  <c r="C272" i="10"/>
  <c r="X336" i="7"/>
  <c r="D337" i="7"/>
  <c r="W336" i="8"/>
  <c r="K272" i="2"/>
  <c r="C272" i="2"/>
  <c r="AB336" i="7"/>
  <c r="C337" i="7"/>
  <c r="R337" i="7" s="1"/>
  <c r="H337" i="7"/>
  <c r="I337" i="7"/>
  <c r="N337" i="7"/>
  <c r="W337" i="7" s="1"/>
  <c r="F338" i="7" s="1"/>
  <c r="AB239" i="3"/>
  <c r="L239" i="10" s="1"/>
  <c r="H240" i="3"/>
  <c r="M240" i="3"/>
  <c r="E272" i="2" l="1"/>
  <c r="L272" i="2"/>
  <c r="I170" i="8"/>
  <c r="AO169" i="8"/>
  <c r="O170" i="8"/>
  <c r="I240" i="3"/>
  <c r="L240" i="3" s="1"/>
  <c r="J337" i="7"/>
  <c r="O338" i="7"/>
  <c r="S337" i="7"/>
  <c r="C337" i="8" s="1"/>
  <c r="B272" i="3"/>
  <c r="F272" i="2" l="1"/>
  <c r="E272" i="10"/>
  <c r="J170" i="8"/>
  <c r="N170" i="8" s="1"/>
  <c r="AS169" i="8"/>
  <c r="K337" i="7"/>
  <c r="J240" i="3"/>
  <c r="K240" i="3" s="1"/>
  <c r="Q240" i="3"/>
  <c r="L337" i="7"/>
  <c r="V337" i="7" s="1"/>
  <c r="T337" i="7"/>
  <c r="D337" i="8" s="1"/>
  <c r="P338" i="7"/>
  <c r="Q338" i="7" s="1"/>
  <c r="G272" i="2" l="1"/>
  <c r="R170" i="8"/>
  <c r="K170" i="8"/>
  <c r="M170" i="8" s="1"/>
  <c r="U240" i="3"/>
  <c r="AC240" i="3"/>
  <c r="M240" i="10" s="1"/>
  <c r="N240" i="3"/>
  <c r="O240" i="3" s="1"/>
  <c r="Z337" i="7"/>
  <c r="AA337" i="7" s="1"/>
  <c r="B337" i="7" s="1"/>
  <c r="B337" i="8" s="1"/>
  <c r="U337" i="8" s="1"/>
  <c r="W337" i="8" s="1"/>
  <c r="E338" i="7"/>
  <c r="M338" i="7" s="1"/>
  <c r="U337" i="7"/>
  <c r="X337" i="7"/>
  <c r="D338" i="7"/>
  <c r="E338" i="8"/>
  <c r="Y338" i="7"/>
  <c r="I272" i="2"/>
  <c r="H272" i="2"/>
  <c r="X170" i="8" l="1"/>
  <c r="P170" i="8"/>
  <c r="Q170" i="8" s="1"/>
  <c r="L170" i="8"/>
  <c r="AI170" i="8"/>
  <c r="R240" i="3"/>
  <c r="S240" i="3" s="1"/>
  <c r="P240" i="3"/>
  <c r="V240" i="3"/>
  <c r="Y240" i="3" s="1"/>
  <c r="X240" i="3"/>
  <c r="N338" i="7"/>
  <c r="W338" i="7" s="1"/>
  <c r="F339" i="7" s="1"/>
  <c r="C338" i="7"/>
  <c r="R338" i="7" s="1"/>
  <c r="AB337" i="7"/>
  <c r="I338" i="7"/>
  <c r="H338" i="7"/>
  <c r="J338" i="7" s="1"/>
  <c r="M272" i="2"/>
  <c r="J272" i="2"/>
  <c r="D272" i="3"/>
  <c r="G272" i="10"/>
  <c r="W240" i="3"/>
  <c r="Z240" i="3" s="1"/>
  <c r="H240" i="10"/>
  <c r="E241" i="3" l="1"/>
  <c r="Z170" i="8"/>
  <c r="AB170" i="8" s="1"/>
  <c r="Y170" i="8"/>
  <c r="AA170" i="8" s="1"/>
  <c r="S170" i="8"/>
  <c r="AJ170" i="8"/>
  <c r="AU170" i="8"/>
  <c r="T240" i="3"/>
  <c r="F241" i="3"/>
  <c r="I240" i="10"/>
  <c r="O339" i="7"/>
  <c r="P339" i="7" s="1"/>
  <c r="Q339" i="7" s="1"/>
  <c r="J240" i="10"/>
  <c r="G241" i="3"/>
  <c r="AA240" i="3"/>
  <c r="K240" i="10" s="1"/>
  <c r="K338" i="7"/>
  <c r="T338" i="7" s="1"/>
  <c r="D338" i="8" s="1"/>
  <c r="F272" i="10"/>
  <c r="C272" i="3"/>
  <c r="B273" i="2"/>
  <c r="D272" i="10"/>
  <c r="S338" i="7"/>
  <c r="C338" i="8" s="1"/>
  <c r="AC170" i="8" l="1"/>
  <c r="T170" i="8"/>
  <c r="V170" i="8" s="1"/>
  <c r="AK170" i="8"/>
  <c r="AB240" i="3"/>
  <c r="L240" i="10" s="1"/>
  <c r="L338" i="7"/>
  <c r="V338" i="7" s="1"/>
  <c r="E339" i="8"/>
  <c r="Y339" i="7"/>
  <c r="C273" i="10"/>
  <c r="D273" i="2"/>
  <c r="H241" i="3"/>
  <c r="K273" i="2"/>
  <c r="C273" i="2"/>
  <c r="AD170" i="8" l="1"/>
  <c r="AT170" i="8"/>
  <c r="E339" i="7"/>
  <c r="M339" i="7" s="1"/>
  <c r="U338" i="7"/>
  <c r="Z338" i="7"/>
  <c r="AA338" i="7" s="1"/>
  <c r="B338" i="7" s="1"/>
  <c r="B338" i="8" s="1"/>
  <c r="U338" i="8" s="1"/>
  <c r="W338" i="8" s="1"/>
  <c r="E273" i="2"/>
  <c r="F273" i="2" s="1"/>
  <c r="M241" i="3"/>
  <c r="L273" i="2"/>
  <c r="I241" i="3"/>
  <c r="L241" i="3" s="1"/>
  <c r="Q241" i="3"/>
  <c r="D339" i="7" l="1"/>
  <c r="X338" i="7"/>
  <c r="AE170" i="8"/>
  <c r="AF170" i="8" s="1"/>
  <c r="AM170" i="8" s="1"/>
  <c r="AQ170" i="8" s="1"/>
  <c r="G171" i="8" s="1"/>
  <c r="AL170" i="8"/>
  <c r="N339" i="7"/>
  <c r="W339" i="7" s="1"/>
  <c r="F340" i="7" s="1"/>
  <c r="J241" i="3"/>
  <c r="K241" i="3" s="1"/>
  <c r="O340" i="7"/>
  <c r="E273" i="10"/>
  <c r="H339" i="7"/>
  <c r="B273" i="3"/>
  <c r="G273" i="2"/>
  <c r="H273" i="2" s="1"/>
  <c r="I339" i="7" l="1"/>
  <c r="AB338" i="7"/>
  <c r="C339" i="7"/>
  <c r="R339" i="7" s="1"/>
  <c r="S339" i="7" s="1"/>
  <c r="C339" i="8" s="1"/>
  <c r="AP170" i="8"/>
  <c r="F171" i="8" s="1"/>
  <c r="AG170" i="8"/>
  <c r="AH170" i="8" s="1"/>
  <c r="AN170" i="8" s="1"/>
  <c r="AR170" i="8" s="1"/>
  <c r="H171" i="8" s="1"/>
  <c r="AC241" i="3"/>
  <c r="M241" i="10" s="1"/>
  <c r="U241" i="3"/>
  <c r="N241" i="3"/>
  <c r="P340" i="7"/>
  <c r="Q340" i="7" s="1"/>
  <c r="G273" i="10"/>
  <c r="I273" i="2"/>
  <c r="D273" i="3"/>
  <c r="J339" i="7"/>
  <c r="K339" i="7" s="1"/>
  <c r="T339" i="7" s="1"/>
  <c r="D339" i="8" s="1"/>
  <c r="I171" i="8" l="1"/>
  <c r="AO170" i="8"/>
  <c r="Y340" i="7"/>
  <c r="V241" i="3"/>
  <c r="Y241" i="3" s="1"/>
  <c r="X241" i="3"/>
  <c r="E340" i="8"/>
  <c r="O241" i="3"/>
  <c r="P241" i="3" s="1"/>
  <c r="M273" i="2"/>
  <c r="J273" i="2"/>
  <c r="L339" i="7"/>
  <c r="V339" i="7" s="1"/>
  <c r="J171" i="8" l="1"/>
  <c r="N171" i="8" s="1"/>
  <c r="O171" i="8"/>
  <c r="W241" i="3"/>
  <c r="Z241" i="3" s="1"/>
  <c r="AS170" i="8"/>
  <c r="F242" i="3"/>
  <c r="I241" i="10"/>
  <c r="H241" i="10"/>
  <c r="E242" i="3"/>
  <c r="R241" i="3"/>
  <c r="S241" i="3" s="1"/>
  <c r="E340" i="7"/>
  <c r="Z339" i="7"/>
  <c r="AA339" i="7" s="1"/>
  <c r="B339" i="7" s="1"/>
  <c r="B339" i="8" s="1"/>
  <c r="U339" i="8" s="1"/>
  <c r="W339" i="8" s="1"/>
  <c r="C273" i="3"/>
  <c r="F273" i="10"/>
  <c r="B274" i="2"/>
  <c r="D273" i="10"/>
  <c r="U339" i="7"/>
  <c r="K171" i="8"/>
  <c r="R171" i="8"/>
  <c r="C274" i="10"/>
  <c r="K274" i="2"/>
  <c r="D274" i="2"/>
  <c r="L274" i="2" s="1"/>
  <c r="C274" i="2"/>
  <c r="D340" i="7"/>
  <c r="X339" i="7"/>
  <c r="G242" i="3"/>
  <c r="J241" i="10"/>
  <c r="AA241" i="3"/>
  <c r="K241" i="10" s="1"/>
  <c r="M340" i="7" l="1"/>
  <c r="T241" i="3"/>
  <c r="I340" i="7"/>
  <c r="H340" i="7"/>
  <c r="J340" i="7" s="1"/>
  <c r="AB339" i="7"/>
  <c r="C340" i="7"/>
  <c r="H242" i="3"/>
  <c r="M171" i="8"/>
  <c r="L171" i="8"/>
  <c r="AU171" i="8" s="1"/>
  <c r="E274" i="2"/>
  <c r="F274" i="2" s="1"/>
  <c r="B274" i="3"/>
  <c r="E274" i="10"/>
  <c r="P171" i="8"/>
  <c r="Q171" i="8" s="1"/>
  <c r="N340" i="7" l="1"/>
  <c r="W340" i="7" s="1"/>
  <c r="F341" i="7" s="1"/>
  <c r="O341" i="7" s="1"/>
  <c r="AB241" i="3"/>
  <c r="L241" i="10" s="1"/>
  <c r="R340" i="7"/>
  <c r="S340" i="7" s="1"/>
  <c r="C340" i="8" s="1"/>
  <c r="K340" i="7"/>
  <c r="T340" i="7" s="1"/>
  <c r="D340" i="8" s="1"/>
  <c r="M242" i="3"/>
  <c r="I242" i="3"/>
  <c r="L242" i="3" s="1"/>
  <c r="X171" i="8"/>
  <c r="AI171" i="8"/>
  <c r="G274" i="2"/>
  <c r="H274" i="2" s="1"/>
  <c r="S171" i="8"/>
  <c r="L340" i="7"/>
  <c r="V340" i="7" s="1"/>
  <c r="P341" i="7" l="1"/>
  <c r="Q341" i="7" s="1"/>
  <c r="Q242" i="3"/>
  <c r="J242" i="3"/>
  <c r="K242" i="3" s="1"/>
  <c r="AJ171" i="8"/>
  <c r="Z171" i="8"/>
  <c r="AB171" i="8" s="1"/>
  <c r="Y171" i="8"/>
  <c r="AA171" i="8" s="1"/>
  <c r="I274" i="2"/>
  <c r="D274" i="3"/>
  <c r="G274" i="10"/>
  <c r="Y341" i="7"/>
  <c r="T171" i="8"/>
  <c r="V171" i="8" s="1"/>
  <c r="Z340" i="7"/>
  <c r="AA340" i="7" s="1"/>
  <c r="B340" i="7" s="1"/>
  <c r="B340" i="8" s="1"/>
  <c r="U340" i="8" s="1"/>
  <c r="W340" i="8" s="1"/>
  <c r="E341" i="7"/>
  <c r="U340" i="7"/>
  <c r="E341" i="8" l="1"/>
  <c r="N242" i="3"/>
  <c r="AC242" i="3"/>
  <c r="M242" i="10" s="1"/>
  <c r="U242" i="3"/>
  <c r="AK171" i="8"/>
  <c r="M274" i="2"/>
  <c r="J274" i="2"/>
  <c r="AC171" i="8"/>
  <c r="AT171" i="8"/>
  <c r="M341" i="7"/>
  <c r="D341" i="7"/>
  <c r="X340" i="7"/>
  <c r="X242" i="3" l="1"/>
  <c r="V242" i="3"/>
  <c r="Y242" i="3" s="1"/>
  <c r="O242" i="3"/>
  <c r="F274" i="10"/>
  <c r="C274" i="3"/>
  <c r="D274" i="10"/>
  <c r="B275" i="2"/>
  <c r="AD171" i="8"/>
  <c r="H341" i="7"/>
  <c r="I341" i="7"/>
  <c r="AB340" i="7"/>
  <c r="C341" i="7"/>
  <c r="N341" i="7"/>
  <c r="W341" i="7" s="1"/>
  <c r="F342" i="7" s="1"/>
  <c r="P242" i="3" l="1"/>
  <c r="W242" i="3"/>
  <c r="Z242" i="3" s="1"/>
  <c r="E243" i="3"/>
  <c r="H242" i="10"/>
  <c r="I242" i="10"/>
  <c r="F243" i="3"/>
  <c r="R242" i="3"/>
  <c r="S242" i="3" s="1"/>
  <c r="AL171" i="8"/>
  <c r="AP171" i="8" s="1"/>
  <c r="F172" i="8" s="1"/>
  <c r="AE171" i="8"/>
  <c r="C275" i="10"/>
  <c r="K275" i="2"/>
  <c r="D275" i="2"/>
  <c r="C275" i="2"/>
  <c r="E275" i="2" s="1"/>
  <c r="F275" i="2" s="1"/>
  <c r="AF171" i="8"/>
  <c r="AM171" i="8" s="1"/>
  <c r="AQ171" i="8" s="1"/>
  <c r="G172" i="8" s="1"/>
  <c r="R341" i="7"/>
  <c r="S341" i="7" s="1"/>
  <c r="C341" i="8" s="1"/>
  <c r="O342" i="7"/>
  <c r="J341" i="7"/>
  <c r="J242" i="10" l="1"/>
  <c r="AA242" i="3"/>
  <c r="K242" i="10" s="1"/>
  <c r="T242" i="3"/>
  <c r="AB242" i="3" s="1"/>
  <c r="L242" i="10" s="1"/>
  <c r="G243" i="3"/>
  <c r="G275" i="2"/>
  <c r="L275" i="2"/>
  <c r="I275" i="2"/>
  <c r="AG171" i="8"/>
  <c r="AH171" i="8" s="1"/>
  <c r="AN171" i="8" s="1"/>
  <c r="K341" i="7"/>
  <c r="T341" i="7" s="1"/>
  <c r="D341" i="8" s="1"/>
  <c r="P342" i="7"/>
  <c r="Q342" i="7" s="1"/>
  <c r="H275" i="2" l="1"/>
  <c r="H243" i="3"/>
  <c r="B275" i="3"/>
  <c r="E275" i="10"/>
  <c r="AR171" i="8"/>
  <c r="H172" i="8" s="1"/>
  <c r="J275" i="2"/>
  <c r="D275" i="3"/>
  <c r="G275" i="10"/>
  <c r="AO171" i="8"/>
  <c r="L341" i="7"/>
  <c r="V341" i="7" s="1"/>
  <c r="E342" i="8"/>
  <c r="Y342" i="7"/>
  <c r="I243" i="3" l="1"/>
  <c r="L243" i="3" s="1"/>
  <c r="M275" i="2"/>
  <c r="M243" i="3"/>
  <c r="Z341" i="7"/>
  <c r="AA341" i="7" s="1"/>
  <c r="B341" i="7" s="1"/>
  <c r="B341" i="8" s="1"/>
  <c r="U341" i="8" s="1"/>
  <c r="W341" i="8" s="1"/>
  <c r="E342" i="7"/>
  <c r="U341" i="7"/>
  <c r="I172" i="8"/>
  <c r="D275" i="10"/>
  <c r="B276" i="2"/>
  <c r="AS171" i="8"/>
  <c r="F275" i="10" l="1"/>
  <c r="C275" i="3"/>
  <c r="Q243" i="3"/>
  <c r="J243" i="3"/>
  <c r="X341" i="7"/>
  <c r="D342" i="7"/>
  <c r="M342" i="7"/>
  <c r="J172" i="8"/>
  <c r="N172" i="8" s="1"/>
  <c r="R172" i="8" s="1"/>
  <c r="O172" i="8"/>
  <c r="C276" i="2"/>
  <c r="D276" i="2"/>
  <c r="K276" i="2"/>
  <c r="C276" i="10"/>
  <c r="AC243" i="3"/>
  <c r="M243" i="10" s="1"/>
  <c r="K243" i="3"/>
  <c r="AB341" i="7" l="1"/>
  <c r="C342" i="7"/>
  <c r="H342" i="7"/>
  <c r="I342" i="7"/>
  <c r="N342" i="7"/>
  <c r="W342" i="7" s="1"/>
  <c r="F343" i="7" s="1"/>
  <c r="K172" i="8"/>
  <c r="M172" i="8" s="1"/>
  <c r="U243" i="3"/>
  <c r="N243" i="3"/>
  <c r="E276" i="2"/>
  <c r="L276" i="2"/>
  <c r="L172" i="8" l="1"/>
  <c r="J342" i="7"/>
  <c r="O343" i="7"/>
  <c r="AI172" i="8"/>
  <c r="X172" i="8"/>
  <c r="P172" i="8"/>
  <c r="Q172" i="8" s="1"/>
  <c r="R342" i="7"/>
  <c r="S342" i="7" s="1"/>
  <c r="C342" i="8" s="1"/>
  <c r="V243" i="3"/>
  <c r="Y243" i="3" s="1"/>
  <c r="O243" i="3"/>
  <c r="F276" i="2"/>
  <c r="E276" i="10"/>
  <c r="B276" i="3"/>
  <c r="X243" i="3"/>
  <c r="AU172" i="8" l="1"/>
  <c r="P243" i="3"/>
  <c r="I243" i="10"/>
  <c r="F244" i="3"/>
  <c r="K342" i="7"/>
  <c r="R243" i="3"/>
  <c r="S243" i="3" s="1"/>
  <c r="W243" i="3"/>
  <c r="Z243" i="3" s="1"/>
  <c r="AJ172" i="8"/>
  <c r="Y172" i="8"/>
  <c r="AA172" i="8" s="1"/>
  <c r="Z172" i="8"/>
  <c r="AB172" i="8" s="1"/>
  <c r="S172" i="8"/>
  <c r="P343" i="7"/>
  <c r="Q343" i="7" s="1"/>
  <c r="G276" i="2"/>
  <c r="H243" i="10"/>
  <c r="E244" i="3"/>
  <c r="AC172" i="8" l="1"/>
  <c r="T172" i="8"/>
  <c r="V172" i="8" s="1"/>
  <c r="AK172" i="8"/>
  <c r="T342" i="7"/>
  <c r="D342" i="8" s="1"/>
  <c r="L342" i="7"/>
  <c r="V342" i="7" s="1"/>
  <c r="G244" i="3"/>
  <c r="J243" i="10"/>
  <c r="AA243" i="3"/>
  <c r="K243" i="10" s="1"/>
  <c r="T243" i="3"/>
  <c r="E343" i="8"/>
  <c r="Y343" i="7"/>
  <c r="I276" i="2"/>
  <c r="H276" i="2"/>
  <c r="AD172" i="8" l="1"/>
  <c r="AB243" i="3"/>
  <c r="L243" i="10" s="1"/>
  <c r="AT172" i="8"/>
  <c r="H244" i="3"/>
  <c r="Z342" i="7"/>
  <c r="AA342" i="7" s="1"/>
  <c r="B342" i="7" s="1"/>
  <c r="B342" i="8" s="1"/>
  <c r="U342" i="8" s="1"/>
  <c r="W342" i="8" s="1"/>
  <c r="E343" i="7"/>
  <c r="M343" i="7" s="1"/>
  <c r="U342" i="7"/>
  <c r="J276" i="2"/>
  <c r="M276" i="2"/>
  <c r="D276" i="3"/>
  <c r="G276" i="10"/>
  <c r="AE172" i="8" l="1"/>
  <c r="AL172" i="8"/>
  <c r="N343" i="7"/>
  <c r="W343" i="7" s="1"/>
  <c r="F344" i="7" s="1"/>
  <c r="M244" i="3"/>
  <c r="I244" i="3"/>
  <c r="L244" i="3" s="1"/>
  <c r="D343" i="7"/>
  <c r="X342" i="7"/>
  <c r="B277" i="2"/>
  <c r="D276" i="10"/>
  <c r="C276" i="3"/>
  <c r="F276" i="10"/>
  <c r="AP172" i="8" l="1"/>
  <c r="F173" i="8" s="1"/>
  <c r="AF172" i="8"/>
  <c r="AM172" i="8" s="1"/>
  <c r="AQ172" i="8" s="1"/>
  <c r="G173" i="8" s="1"/>
  <c r="O344" i="7"/>
  <c r="Q244" i="3"/>
  <c r="J244" i="3"/>
  <c r="I343" i="7"/>
  <c r="H343" i="7"/>
  <c r="J343" i="7" s="1"/>
  <c r="AB342" i="7"/>
  <c r="C343" i="7"/>
  <c r="R343" i="7" s="1"/>
  <c r="P344" i="7"/>
  <c r="Q344" i="7" s="1"/>
  <c r="K277" i="2"/>
  <c r="C277" i="10"/>
  <c r="C277" i="2"/>
  <c r="D277" i="2"/>
  <c r="AG172" i="8" l="1"/>
  <c r="AH172" i="8" s="1"/>
  <c r="AN172" i="8" s="1"/>
  <c r="AR172" i="8" s="1"/>
  <c r="H173" i="8" s="1"/>
  <c r="I173" i="8" s="1"/>
  <c r="S343" i="7"/>
  <c r="C343" i="8" s="1"/>
  <c r="AC244" i="3"/>
  <c r="M244" i="10" s="1"/>
  <c r="K244" i="3"/>
  <c r="E277" i="2"/>
  <c r="L277" i="2"/>
  <c r="K343" i="7"/>
  <c r="T343" i="7" s="1"/>
  <c r="D343" i="8" s="1"/>
  <c r="E344" i="8"/>
  <c r="Y344" i="7"/>
  <c r="N244" i="3"/>
  <c r="J173" i="8" l="1"/>
  <c r="N173" i="8" s="1"/>
  <c r="R173" i="8" s="1"/>
  <c r="AO172" i="8"/>
  <c r="O173" i="8"/>
  <c r="F277" i="2"/>
  <c r="K173" i="8"/>
  <c r="M173" i="8" s="1"/>
  <c r="AS172" i="8"/>
  <c r="U244" i="3"/>
  <c r="B277" i="3"/>
  <c r="E277" i="10"/>
  <c r="L343" i="7"/>
  <c r="X173" i="8"/>
  <c r="Y173" i="8" s="1"/>
  <c r="AA173" i="8" s="1"/>
  <c r="L173" i="8"/>
  <c r="G277" i="2"/>
  <c r="H277" i="2" s="1"/>
  <c r="P173" i="8"/>
  <c r="Q173" i="8" s="1"/>
  <c r="S173" i="8" s="1"/>
  <c r="AI173" i="8"/>
  <c r="AJ173" i="8" s="1"/>
  <c r="O244" i="3"/>
  <c r="V244" i="3" l="1"/>
  <c r="Y244" i="3" s="1"/>
  <c r="X244" i="3"/>
  <c r="U343" i="7"/>
  <c r="V343" i="7"/>
  <c r="Z173" i="8"/>
  <c r="AB173" i="8" s="1"/>
  <c r="AU173" i="8"/>
  <c r="D277" i="3"/>
  <c r="G277" i="10"/>
  <c r="I277" i="2"/>
  <c r="T173" i="8"/>
  <c r="V173" i="8" s="1"/>
  <c r="AK173" i="8"/>
  <c r="P244" i="3"/>
  <c r="I244" i="10"/>
  <c r="F245" i="3"/>
  <c r="R244" i="3"/>
  <c r="S244" i="3" s="1"/>
  <c r="H244" i="10"/>
  <c r="E245" i="3" l="1"/>
  <c r="W244" i="3"/>
  <c r="Z244" i="3" s="1"/>
  <c r="X343" i="7"/>
  <c r="D344" i="7"/>
  <c r="Z343" i="7"/>
  <c r="AA343" i="7" s="1"/>
  <c r="B343" i="7" s="1"/>
  <c r="B343" i="8" s="1"/>
  <c r="U343" i="8" s="1"/>
  <c r="W343" i="8" s="1"/>
  <c r="E344" i="7"/>
  <c r="AC173" i="8"/>
  <c r="AT173" i="8"/>
  <c r="J277" i="2"/>
  <c r="M277" i="2"/>
  <c r="AA244" i="3"/>
  <c r="K244" i="10" s="1"/>
  <c r="T244" i="3"/>
  <c r="G245" i="3" l="1"/>
  <c r="J244" i="10"/>
  <c r="C344" i="7"/>
  <c r="R344" i="7" s="1"/>
  <c r="AB343" i="7"/>
  <c r="H344" i="7"/>
  <c r="I344" i="7"/>
  <c r="M344" i="7"/>
  <c r="AD173" i="8"/>
  <c r="B278" i="2"/>
  <c r="D277" i="10"/>
  <c r="C277" i="3"/>
  <c r="F277" i="10"/>
  <c r="H245" i="3"/>
  <c r="AB244" i="3"/>
  <c r="L244" i="10" s="1"/>
  <c r="AL173" i="8" l="1"/>
  <c r="N344" i="7"/>
  <c r="W344" i="7" s="1"/>
  <c r="F345" i="7" s="1"/>
  <c r="S344" i="7"/>
  <c r="C344" i="8" s="1"/>
  <c r="J344" i="7"/>
  <c r="AE173" i="8"/>
  <c r="AF173" i="8" s="1"/>
  <c r="AM173" i="8" s="1"/>
  <c r="AQ173" i="8" s="1"/>
  <c r="G174" i="8" s="1"/>
  <c r="C278" i="10"/>
  <c r="K278" i="2"/>
  <c r="D278" i="2"/>
  <c r="C278" i="2"/>
  <c r="E278" i="2" s="1"/>
  <c r="M245" i="3"/>
  <c r="I245" i="3"/>
  <c r="L245" i="3" s="1"/>
  <c r="AP173" i="8" l="1"/>
  <c r="F174" i="8" s="1"/>
  <c r="O345" i="7"/>
  <c r="K344" i="7"/>
  <c r="L278" i="2"/>
  <c r="AG173" i="8"/>
  <c r="AH173" i="8" s="1"/>
  <c r="AN173" i="8" s="1"/>
  <c r="F278" i="2"/>
  <c r="J245" i="3"/>
  <c r="K245" i="3" s="1"/>
  <c r="Q245" i="3"/>
  <c r="G278" i="2" l="1"/>
  <c r="P345" i="7"/>
  <c r="Q345" i="7" s="1"/>
  <c r="T344" i="7"/>
  <c r="D344" i="8" s="1"/>
  <c r="E278" i="10"/>
  <c r="B278" i="3"/>
  <c r="L344" i="7"/>
  <c r="V344" i="7" s="1"/>
  <c r="AO173" i="8"/>
  <c r="AR173" i="8"/>
  <c r="H174" i="8" s="1"/>
  <c r="U245" i="3"/>
  <c r="AC245" i="3"/>
  <c r="M245" i="10" s="1"/>
  <c r="N245" i="3"/>
  <c r="I278" i="2" l="1"/>
  <c r="H278" i="2"/>
  <c r="E345" i="8"/>
  <c r="Y345" i="7"/>
  <c r="E345" i="7"/>
  <c r="Z344" i="7"/>
  <c r="AA344" i="7" s="1"/>
  <c r="B344" i="7" s="1"/>
  <c r="B344" i="8" s="1"/>
  <c r="U344" i="8" s="1"/>
  <c r="W344" i="8" s="1"/>
  <c r="I174" i="8"/>
  <c r="AS173" i="8"/>
  <c r="X245" i="3"/>
  <c r="U344" i="7"/>
  <c r="O245" i="3"/>
  <c r="V245" i="3"/>
  <c r="Y245" i="3" s="1"/>
  <c r="M278" i="2" l="1"/>
  <c r="J278" i="2"/>
  <c r="D278" i="3"/>
  <c r="G278" i="10"/>
  <c r="M345" i="7"/>
  <c r="X344" i="7"/>
  <c r="D345" i="7"/>
  <c r="O174" i="8"/>
  <c r="J174" i="8"/>
  <c r="N174" i="8" s="1"/>
  <c r="H245" i="10"/>
  <c r="E246" i="3"/>
  <c r="P245" i="3"/>
  <c r="W245" i="3"/>
  <c r="Z245" i="3" s="1"/>
  <c r="G246" i="3" s="1"/>
  <c r="R245" i="3"/>
  <c r="S245" i="3" s="1"/>
  <c r="I245" i="10"/>
  <c r="F246" i="3"/>
  <c r="B279" i="2"/>
  <c r="D278" i="10"/>
  <c r="C278" i="3"/>
  <c r="F278" i="10"/>
  <c r="K174" i="8" l="1"/>
  <c r="M174" i="8" s="1"/>
  <c r="R174" i="8"/>
  <c r="AB344" i="7"/>
  <c r="C345" i="7"/>
  <c r="R345" i="7" s="1"/>
  <c r="I345" i="7"/>
  <c r="H345" i="7"/>
  <c r="J345" i="7" s="1"/>
  <c r="N345" i="7"/>
  <c r="W345" i="7" s="1"/>
  <c r="F346" i="7" s="1"/>
  <c r="AA245" i="3"/>
  <c r="K245" i="10" s="1"/>
  <c r="J245" i="10"/>
  <c r="T245" i="3"/>
  <c r="H246" i="3"/>
  <c r="C279" i="2"/>
  <c r="D279" i="2"/>
  <c r="K279" i="2"/>
  <c r="C279" i="10"/>
  <c r="X174" i="8" l="1"/>
  <c r="AI174" i="8"/>
  <c r="P174" i="8"/>
  <c r="Q174" i="8" s="1"/>
  <c r="L174" i="8"/>
  <c r="AU174" i="8"/>
  <c r="O346" i="7"/>
  <c r="K345" i="7"/>
  <c r="I246" i="3"/>
  <c r="L246" i="3" s="1"/>
  <c r="S345" i="7"/>
  <c r="C345" i="8" s="1"/>
  <c r="L279" i="2"/>
  <c r="AB245" i="3"/>
  <c r="L245" i="10" s="1"/>
  <c r="M246" i="3"/>
  <c r="E279" i="2"/>
  <c r="S174" i="8"/>
  <c r="Z174" i="8" l="1"/>
  <c r="AB174" i="8" s="1"/>
  <c r="Y174" i="8"/>
  <c r="AA174" i="8" s="1"/>
  <c r="AJ174" i="8"/>
  <c r="L345" i="7"/>
  <c r="V345" i="7" s="1"/>
  <c r="T345" i="7"/>
  <c r="D345" i="8" s="1"/>
  <c r="P346" i="7"/>
  <c r="Q346" i="7" s="1"/>
  <c r="U345" i="7"/>
  <c r="Q246" i="3"/>
  <c r="J246" i="3"/>
  <c r="K246" i="3" s="1"/>
  <c r="E279" i="10"/>
  <c r="B279" i="3"/>
  <c r="F279" i="2"/>
  <c r="AK174" i="8"/>
  <c r="T174" i="8"/>
  <c r="V174" i="8" s="1"/>
  <c r="AC174" i="8" l="1"/>
  <c r="E346" i="7"/>
  <c r="Z345" i="7"/>
  <c r="AA345" i="7" s="1"/>
  <c r="B345" i="7" s="1"/>
  <c r="B345" i="8" s="1"/>
  <c r="U345" i="8" s="1"/>
  <c r="W345" i="8" s="1"/>
  <c r="E346" i="8"/>
  <c r="Y346" i="7"/>
  <c r="X345" i="7"/>
  <c r="D346" i="7"/>
  <c r="U246" i="3"/>
  <c r="N246" i="3"/>
  <c r="AC246" i="3"/>
  <c r="M246" i="10" s="1"/>
  <c r="G279" i="2"/>
  <c r="AT174" i="8"/>
  <c r="AD174" i="8" l="1"/>
  <c r="X246" i="3"/>
  <c r="V246" i="3"/>
  <c r="Y246" i="3" s="1"/>
  <c r="O246" i="3"/>
  <c r="M346" i="7"/>
  <c r="C346" i="7"/>
  <c r="R346" i="7" s="1"/>
  <c r="AB345" i="7"/>
  <c r="I346" i="7"/>
  <c r="H346" i="7"/>
  <c r="J346" i="7" s="1"/>
  <c r="K346" i="7" s="1"/>
  <c r="T346" i="7" s="1"/>
  <c r="D346" i="8" s="1"/>
  <c r="I279" i="2"/>
  <c r="H279" i="2"/>
  <c r="AE174" i="8" l="1"/>
  <c r="AL174" i="8"/>
  <c r="H246" i="10"/>
  <c r="E247" i="3"/>
  <c r="L346" i="7"/>
  <c r="W246" i="3"/>
  <c r="P246" i="3"/>
  <c r="I246" i="10"/>
  <c r="F247" i="3"/>
  <c r="R246" i="3"/>
  <c r="S246" i="3" s="1"/>
  <c r="N346" i="7"/>
  <c r="W346" i="7" s="1"/>
  <c r="F347" i="7" s="1"/>
  <c r="S346" i="7"/>
  <c r="C346" i="8" s="1"/>
  <c r="J279" i="2"/>
  <c r="M279" i="2"/>
  <c r="G279" i="10"/>
  <c r="D279" i="3"/>
  <c r="AF174" i="8" l="1"/>
  <c r="AM174" i="8" s="1"/>
  <c r="AQ174" i="8" s="1"/>
  <c r="G175" i="8" s="1"/>
  <c r="AP174" i="8"/>
  <c r="F175" i="8" s="1"/>
  <c r="U346" i="7"/>
  <c r="V346" i="7"/>
  <c r="Z246" i="3"/>
  <c r="T246" i="3"/>
  <c r="AA246" i="3"/>
  <c r="K246" i="10" s="1"/>
  <c r="O347" i="7"/>
  <c r="D279" i="10"/>
  <c r="B280" i="2"/>
  <c r="C279" i="3"/>
  <c r="F279" i="10"/>
  <c r="AG174" i="8" l="1"/>
  <c r="AH174" i="8" s="1"/>
  <c r="AN174" i="8" s="1"/>
  <c r="AR174" i="8" s="1"/>
  <c r="H175" i="8" s="1"/>
  <c r="D347" i="7"/>
  <c r="X346" i="7"/>
  <c r="E347" i="7"/>
  <c r="Z346" i="7"/>
  <c r="AA346" i="7" s="1"/>
  <c r="B346" i="7" s="1"/>
  <c r="B346" i="8" s="1"/>
  <c r="U346" i="8" s="1"/>
  <c r="W346" i="8" s="1"/>
  <c r="J246" i="10"/>
  <c r="G247" i="3"/>
  <c r="AB246" i="3"/>
  <c r="L246" i="10" s="1"/>
  <c r="P347" i="7"/>
  <c r="Q347" i="7" s="1"/>
  <c r="K280" i="2"/>
  <c r="D280" i="2"/>
  <c r="C280" i="2"/>
  <c r="E280" i="2" s="1"/>
  <c r="F280" i="2" s="1"/>
  <c r="C280" i="10"/>
  <c r="I175" i="8" l="1"/>
  <c r="AO174" i="8"/>
  <c r="L280" i="2"/>
  <c r="I347" i="7"/>
  <c r="H347" i="7"/>
  <c r="AB346" i="7"/>
  <c r="C347" i="7"/>
  <c r="M347" i="7"/>
  <c r="H247" i="3"/>
  <c r="E347" i="8"/>
  <c r="Y347" i="7"/>
  <c r="AS174" i="8"/>
  <c r="J175" i="8"/>
  <c r="N175" i="8" s="1"/>
  <c r="O175" i="8"/>
  <c r="B280" i="3"/>
  <c r="G280" i="2"/>
  <c r="H280" i="2" s="1"/>
  <c r="E280" i="10" l="1"/>
  <c r="R347" i="7"/>
  <c r="S347" i="7" s="1"/>
  <c r="C347" i="8" s="1"/>
  <c r="N347" i="7"/>
  <c r="W347" i="7" s="1"/>
  <c r="F348" i="7" s="1"/>
  <c r="J347" i="7"/>
  <c r="M247" i="3"/>
  <c r="I247" i="3"/>
  <c r="L247" i="3" s="1"/>
  <c r="R175" i="8"/>
  <c r="K175" i="8"/>
  <c r="M175" i="8" s="1"/>
  <c r="G280" i="10"/>
  <c r="D280" i="3"/>
  <c r="I280" i="2"/>
  <c r="J247" i="3"/>
  <c r="K247" i="3" s="1"/>
  <c r="O348" i="7" l="1"/>
  <c r="K347" i="7"/>
  <c r="T347" i="7" s="1"/>
  <c r="D347" i="8" s="1"/>
  <c r="Q247" i="3"/>
  <c r="X175" i="8"/>
  <c r="P175" i="8"/>
  <c r="Q175" i="8" s="1"/>
  <c r="AI175" i="8"/>
  <c r="P348" i="7"/>
  <c r="Q348" i="7" s="1"/>
  <c r="L175" i="8"/>
  <c r="J280" i="2"/>
  <c r="M280" i="2"/>
  <c r="U247" i="3"/>
  <c r="N247" i="3"/>
  <c r="AC247" i="3"/>
  <c r="M247" i="10" s="1"/>
  <c r="L347" i="7" l="1"/>
  <c r="V347" i="7" s="1"/>
  <c r="Z175" i="8"/>
  <c r="AB175" i="8" s="1"/>
  <c r="Y175" i="8"/>
  <c r="AA175" i="8" s="1"/>
  <c r="S175" i="8"/>
  <c r="AU175" i="8"/>
  <c r="AJ175" i="8"/>
  <c r="Y348" i="7"/>
  <c r="E348" i="8"/>
  <c r="B281" i="2"/>
  <c r="D280" i="10"/>
  <c r="C280" i="3"/>
  <c r="F280" i="10"/>
  <c r="V247" i="3"/>
  <c r="Y247" i="3" s="1"/>
  <c r="O247" i="3"/>
  <c r="X247" i="3"/>
  <c r="E348" i="7" l="1"/>
  <c r="Z347" i="7"/>
  <c r="AA347" i="7" s="1"/>
  <c r="B347" i="7" s="1"/>
  <c r="B347" i="8" s="1"/>
  <c r="U347" i="8" s="1"/>
  <c r="W347" i="8" s="1"/>
  <c r="U347" i="7"/>
  <c r="AC175" i="8"/>
  <c r="T175" i="8"/>
  <c r="V175" i="8" s="1"/>
  <c r="AK175" i="8"/>
  <c r="C281" i="2"/>
  <c r="K281" i="2"/>
  <c r="C281" i="10"/>
  <c r="D281" i="2"/>
  <c r="AD175" i="8"/>
  <c r="I247" i="10"/>
  <c r="F248" i="3"/>
  <c r="R247" i="3"/>
  <c r="S247" i="3" s="1"/>
  <c r="H247" i="10"/>
  <c r="E248" i="3"/>
  <c r="P247" i="3"/>
  <c r="W247" i="3"/>
  <c r="Z247" i="3" s="1"/>
  <c r="M348" i="7" l="1"/>
  <c r="D348" i="7"/>
  <c r="X347" i="7"/>
  <c r="AT175" i="8"/>
  <c r="C348" i="7"/>
  <c r="R348" i="7" s="1"/>
  <c r="AB347" i="7"/>
  <c r="L281" i="2"/>
  <c r="B281" i="3"/>
  <c r="E281" i="2"/>
  <c r="AL175" i="8"/>
  <c r="AE175" i="8"/>
  <c r="G248" i="3"/>
  <c r="J247" i="10"/>
  <c r="AA247" i="3"/>
  <c r="K247" i="10" s="1"/>
  <c r="T247" i="3"/>
  <c r="I348" i="7" l="1"/>
  <c r="H348" i="7"/>
  <c r="J348" i="7" s="1"/>
  <c r="E281" i="10"/>
  <c r="N348" i="7"/>
  <c r="W348" i="7" s="1"/>
  <c r="F349" i="7" s="1"/>
  <c r="F281" i="2"/>
  <c r="AP175" i="8"/>
  <c r="F176" i="8" s="1"/>
  <c r="AF175" i="8"/>
  <c r="AM175" i="8" s="1"/>
  <c r="AQ175" i="8" s="1"/>
  <c r="G176" i="8" s="1"/>
  <c r="AB247" i="3"/>
  <c r="L247" i="10" s="1"/>
  <c r="H248" i="3"/>
  <c r="S348" i="7" l="1"/>
  <c r="C348" i="8" s="1"/>
  <c r="K348" i="7"/>
  <c r="T348" i="7" s="1"/>
  <c r="D348" i="8" s="1"/>
  <c r="O349" i="7"/>
  <c r="P349" i="7"/>
  <c r="Q349" i="7" s="1"/>
  <c r="M248" i="3"/>
  <c r="G281" i="2"/>
  <c r="H281" i="2" s="1"/>
  <c r="AG175" i="8"/>
  <c r="AH175" i="8" s="1"/>
  <c r="AN175" i="8" s="1"/>
  <c r="I248" i="3"/>
  <c r="L248" i="3" s="1"/>
  <c r="L348" i="7" l="1"/>
  <c r="E349" i="8"/>
  <c r="Y349" i="7"/>
  <c r="D281" i="3"/>
  <c r="G281" i="10"/>
  <c r="I281" i="2"/>
  <c r="AO175" i="8"/>
  <c r="AR175" i="8"/>
  <c r="H176" i="8" s="1"/>
  <c r="Q248" i="3"/>
  <c r="J248" i="3"/>
  <c r="K248" i="3" s="1"/>
  <c r="U348" i="7" l="1"/>
  <c r="V348" i="7"/>
  <c r="J281" i="2"/>
  <c r="M281" i="2"/>
  <c r="I176" i="8"/>
  <c r="AS175" i="8"/>
  <c r="U248" i="3"/>
  <c r="N248" i="3"/>
  <c r="AC248" i="3"/>
  <c r="M248" i="10" s="1"/>
  <c r="D349" i="7" l="1"/>
  <c r="X348" i="7"/>
  <c r="E349" i="7"/>
  <c r="Z348" i="7"/>
  <c r="AA348" i="7" s="1"/>
  <c r="B348" i="7" s="1"/>
  <c r="B348" i="8" s="1"/>
  <c r="U348" i="8" s="1"/>
  <c r="W348" i="8" s="1"/>
  <c r="B282" i="2"/>
  <c r="D281" i="10"/>
  <c r="C281" i="3"/>
  <c r="F281" i="10"/>
  <c r="X248" i="3"/>
  <c r="J176" i="8"/>
  <c r="N176" i="8" s="1"/>
  <c r="O176" i="8"/>
  <c r="V248" i="3"/>
  <c r="Y248" i="3" s="1"/>
  <c r="O248" i="3"/>
  <c r="I349" i="7" l="1"/>
  <c r="H349" i="7"/>
  <c r="J349" i="7" s="1"/>
  <c r="AB348" i="7"/>
  <c r="C349" i="7"/>
  <c r="R349" i="7" s="1"/>
  <c r="M349" i="7"/>
  <c r="S349" i="7"/>
  <c r="C349" i="8" s="1"/>
  <c r="P248" i="3"/>
  <c r="K349" i="7"/>
  <c r="T349" i="7" s="1"/>
  <c r="D349" i="8" s="1"/>
  <c r="C282" i="10"/>
  <c r="K282" i="2"/>
  <c r="D282" i="2"/>
  <c r="C282" i="2"/>
  <c r="E249" i="3"/>
  <c r="H248" i="10"/>
  <c r="R176" i="8"/>
  <c r="W248" i="3"/>
  <c r="Z248" i="3" s="1"/>
  <c r="K176" i="8"/>
  <c r="M176" i="8" s="1"/>
  <c r="I248" i="10"/>
  <c r="F249" i="3"/>
  <c r="R248" i="3"/>
  <c r="S248" i="3" s="1"/>
  <c r="N349" i="7" l="1"/>
  <c r="W349" i="7" s="1"/>
  <c r="F350" i="7" s="1"/>
  <c r="E282" i="2"/>
  <c r="L349" i="7"/>
  <c r="U349" i="7" s="1"/>
  <c r="L282" i="2"/>
  <c r="O350" i="7"/>
  <c r="AA248" i="3"/>
  <c r="K248" i="10" s="1"/>
  <c r="L176" i="8"/>
  <c r="J248" i="10"/>
  <c r="P176" i="8"/>
  <c r="Q176" i="8" s="1"/>
  <c r="AI176" i="8"/>
  <c r="X176" i="8"/>
  <c r="G249" i="3"/>
  <c r="H249" i="3"/>
  <c r="T248" i="3"/>
  <c r="V349" i="7" l="1"/>
  <c r="B282" i="3"/>
  <c r="E282" i="10"/>
  <c r="F282" i="2"/>
  <c r="D350" i="7"/>
  <c r="E350" i="7"/>
  <c r="M350" i="7" s="1"/>
  <c r="Z349" i="7"/>
  <c r="AA349" i="7" s="1"/>
  <c r="B349" i="7" s="1"/>
  <c r="B349" i="8" s="1"/>
  <c r="U349" i="8" s="1"/>
  <c r="W349" i="8" s="1"/>
  <c r="P350" i="7"/>
  <c r="Q350" i="7" s="1"/>
  <c r="AU176" i="8"/>
  <c r="S176" i="8"/>
  <c r="AJ176" i="8"/>
  <c r="Z176" i="8"/>
  <c r="AB176" i="8" s="1"/>
  <c r="Y176" i="8"/>
  <c r="AA176" i="8" s="1"/>
  <c r="I249" i="3"/>
  <c r="L249" i="3" s="1"/>
  <c r="AB248" i="3"/>
  <c r="L248" i="10" s="1"/>
  <c r="M249" i="3"/>
  <c r="X349" i="7" l="1"/>
  <c r="I350" i="7"/>
  <c r="G282" i="2"/>
  <c r="H282" i="2" s="1"/>
  <c r="H350" i="7"/>
  <c r="Y350" i="7"/>
  <c r="E350" i="8"/>
  <c r="AB349" i="7"/>
  <c r="C350" i="7"/>
  <c r="N350" i="7"/>
  <c r="W350" i="7" s="1"/>
  <c r="F351" i="7" s="1"/>
  <c r="AC176" i="8"/>
  <c r="T176" i="8"/>
  <c r="V176" i="8" s="1"/>
  <c r="AT176" i="8" s="1"/>
  <c r="AK176" i="8"/>
  <c r="Q249" i="3"/>
  <c r="J249" i="3"/>
  <c r="K249" i="3" s="1"/>
  <c r="J350" i="7" l="1"/>
  <c r="D282" i="3"/>
  <c r="G282" i="10"/>
  <c r="I282" i="2"/>
  <c r="R350" i="7"/>
  <c r="S350" i="7" s="1"/>
  <c r="C350" i="8" s="1"/>
  <c r="O351" i="7"/>
  <c r="AD176" i="8"/>
  <c r="U249" i="3"/>
  <c r="N249" i="3"/>
  <c r="AC249" i="3"/>
  <c r="M249" i="10" s="1"/>
  <c r="K350" i="7" l="1"/>
  <c r="T350" i="7" s="1"/>
  <c r="D350" i="8" s="1"/>
  <c r="M282" i="2"/>
  <c r="J282" i="2"/>
  <c r="X249" i="3"/>
  <c r="P351" i="7"/>
  <c r="Q351" i="7" s="1"/>
  <c r="C282" i="3"/>
  <c r="AL176" i="8"/>
  <c r="AE176" i="8"/>
  <c r="V249" i="3"/>
  <c r="Y249" i="3" s="1"/>
  <c r="O249" i="3"/>
  <c r="L350" i="7" l="1"/>
  <c r="F282" i="10"/>
  <c r="B283" i="2"/>
  <c r="D282" i="10"/>
  <c r="E351" i="8"/>
  <c r="Y351" i="7"/>
  <c r="P249" i="3"/>
  <c r="E250" i="3"/>
  <c r="H249" i="10"/>
  <c r="AP176" i="8"/>
  <c r="F177" i="8" s="1"/>
  <c r="AF176" i="8"/>
  <c r="AM176" i="8" s="1"/>
  <c r="AQ176" i="8" s="1"/>
  <c r="G177" i="8" s="1"/>
  <c r="I249" i="10"/>
  <c r="F250" i="3"/>
  <c r="R249" i="3"/>
  <c r="S249" i="3" s="1"/>
  <c r="W249" i="3"/>
  <c r="Z249" i="3" s="1"/>
  <c r="U350" i="7" l="1"/>
  <c r="D351" i="7" s="1"/>
  <c r="V350" i="7"/>
  <c r="E351" i="7" s="1"/>
  <c r="C283" i="10"/>
  <c r="K283" i="2"/>
  <c r="D283" i="2"/>
  <c r="C283" i="2"/>
  <c r="L283" i="2"/>
  <c r="E283" i="2"/>
  <c r="AG176" i="8"/>
  <c r="AH176" i="8" s="1"/>
  <c r="AN176" i="8" s="1"/>
  <c r="AR176" i="8" s="1"/>
  <c r="H177" i="8" s="1"/>
  <c r="J249" i="10"/>
  <c r="G250" i="3"/>
  <c r="AA249" i="3"/>
  <c r="K249" i="10" s="1"/>
  <c r="T249" i="3"/>
  <c r="H351" i="7" l="1"/>
  <c r="I351" i="7"/>
  <c r="E283" i="10"/>
  <c r="M351" i="7"/>
  <c r="X350" i="7"/>
  <c r="Z350" i="7"/>
  <c r="AA350" i="7" s="1"/>
  <c r="B350" i="7" s="1"/>
  <c r="B350" i="8" s="1"/>
  <c r="U350" i="8" s="1"/>
  <c r="W350" i="8" s="1"/>
  <c r="B283" i="3"/>
  <c r="AB350" i="7"/>
  <c r="C351" i="7"/>
  <c r="R351" i="7"/>
  <c r="F283" i="2"/>
  <c r="AB249" i="3"/>
  <c r="L249" i="10" s="1"/>
  <c r="I177" i="8"/>
  <c r="AO176" i="8"/>
  <c r="H250" i="3"/>
  <c r="S351" i="7" l="1"/>
  <c r="C351" i="8" s="1"/>
  <c r="N351" i="7"/>
  <c r="W351" i="7" s="1"/>
  <c r="F352" i="7" s="1"/>
  <c r="J351" i="7"/>
  <c r="G283" i="2"/>
  <c r="H283" i="2" s="1"/>
  <c r="O177" i="8"/>
  <c r="AS176" i="8"/>
  <c r="M250" i="3"/>
  <c r="J177" i="8"/>
  <c r="N177" i="8" s="1"/>
  <c r="I250" i="3"/>
  <c r="L250" i="3" s="1"/>
  <c r="K351" i="7" l="1"/>
  <c r="O352" i="7"/>
  <c r="I283" i="2"/>
  <c r="G283" i="10"/>
  <c r="D283" i="3"/>
  <c r="R177" i="8"/>
  <c r="K177" i="8"/>
  <c r="M177" i="8" s="1"/>
  <c r="Q250" i="3"/>
  <c r="J250" i="3"/>
  <c r="K250" i="3" s="1"/>
  <c r="T351" i="7" l="1"/>
  <c r="D351" i="8" s="1"/>
  <c r="L351" i="7"/>
  <c r="V351" i="7" s="1"/>
  <c r="P352" i="7"/>
  <c r="Q352" i="7" s="1"/>
  <c r="J283" i="2"/>
  <c r="M283" i="2"/>
  <c r="E352" i="8"/>
  <c r="X177" i="8"/>
  <c r="P177" i="8"/>
  <c r="Q177" i="8" s="1"/>
  <c r="AI177" i="8"/>
  <c r="L177" i="8"/>
  <c r="U250" i="3"/>
  <c r="N250" i="3"/>
  <c r="AC250" i="3"/>
  <c r="M250" i="10" s="1"/>
  <c r="Z351" i="7" l="1"/>
  <c r="AA351" i="7" s="1"/>
  <c r="B351" i="7" s="1"/>
  <c r="B351" i="8" s="1"/>
  <c r="U351" i="8" s="1"/>
  <c r="W351" i="8" s="1"/>
  <c r="E352" i="7"/>
  <c r="M352" i="7" s="1"/>
  <c r="Y352" i="7"/>
  <c r="U351" i="7"/>
  <c r="B284" i="2"/>
  <c r="D283" i="10"/>
  <c r="F283" i="10"/>
  <c r="C283" i="3"/>
  <c r="X250" i="3"/>
  <c r="Z177" i="8"/>
  <c r="AB177" i="8" s="1"/>
  <c r="Y177" i="8"/>
  <c r="AA177" i="8" s="1"/>
  <c r="S177" i="8"/>
  <c r="AJ177" i="8"/>
  <c r="AU177" i="8"/>
  <c r="V250" i="3"/>
  <c r="Y250" i="3" s="1"/>
  <c r="O250" i="3"/>
  <c r="D352" i="7" l="1"/>
  <c r="X351" i="7"/>
  <c r="N352" i="7"/>
  <c r="W352" i="7" s="1"/>
  <c r="F353" i="7" s="1"/>
  <c r="D284" i="2"/>
  <c r="C284" i="10"/>
  <c r="K284" i="2"/>
  <c r="C284" i="2"/>
  <c r="E251" i="3"/>
  <c r="H250" i="10"/>
  <c r="P250" i="3"/>
  <c r="W250" i="3"/>
  <c r="Z250" i="3" s="1"/>
  <c r="AC177" i="8"/>
  <c r="T177" i="8"/>
  <c r="V177" i="8" s="1"/>
  <c r="AK177" i="8"/>
  <c r="I250" i="10"/>
  <c r="F251" i="3"/>
  <c r="R250" i="3"/>
  <c r="S250" i="3" s="1"/>
  <c r="O353" i="7" l="1"/>
  <c r="L284" i="2"/>
  <c r="H352" i="7"/>
  <c r="I352" i="7"/>
  <c r="C352" i="7"/>
  <c r="R352" i="7" s="1"/>
  <c r="S352" i="7" s="1"/>
  <c r="C352" i="8" s="1"/>
  <c r="AB351" i="7"/>
  <c r="E284" i="2"/>
  <c r="G251" i="3"/>
  <c r="J250" i="10"/>
  <c r="AA250" i="3"/>
  <c r="K250" i="10" s="1"/>
  <c r="AD177" i="8"/>
  <c r="AT177" i="8"/>
  <c r="T250" i="3"/>
  <c r="J352" i="7" l="1"/>
  <c r="P353" i="7"/>
  <c r="Q353" i="7" s="1"/>
  <c r="E353" i="8" s="1"/>
  <c r="E284" i="10"/>
  <c r="B284" i="3"/>
  <c r="K352" i="7"/>
  <c r="F284" i="2"/>
  <c r="H251" i="3"/>
  <c r="AE177" i="8"/>
  <c r="AL177" i="8"/>
  <c r="AB250" i="3"/>
  <c r="L250" i="10" s="1"/>
  <c r="Y353" i="7" l="1"/>
  <c r="L352" i="7"/>
  <c r="T352" i="7"/>
  <c r="D352" i="8" s="1"/>
  <c r="G284" i="2"/>
  <c r="I251" i="3"/>
  <c r="L251" i="3" s="1"/>
  <c r="M251" i="3"/>
  <c r="AF177" i="8"/>
  <c r="AM177" i="8" s="1"/>
  <c r="AQ177" i="8" s="1"/>
  <c r="G178" i="8" s="1"/>
  <c r="AP177" i="8"/>
  <c r="F178" i="8" s="1"/>
  <c r="U352" i="7" l="1"/>
  <c r="V352" i="7"/>
  <c r="I284" i="2"/>
  <c r="H284" i="2"/>
  <c r="Q251" i="3"/>
  <c r="J251" i="3"/>
  <c r="K251" i="3" s="1"/>
  <c r="AG177" i="8"/>
  <c r="AH177" i="8" s="1"/>
  <c r="AN177" i="8" s="1"/>
  <c r="X352" i="7" l="1"/>
  <c r="D353" i="7"/>
  <c r="E353" i="7"/>
  <c r="Z352" i="7"/>
  <c r="AA352" i="7" s="1"/>
  <c r="B352" i="7" s="1"/>
  <c r="B352" i="8" s="1"/>
  <c r="U352" i="8" s="1"/>
  <c r="W352" i="8" s="1"/>
  <c r="J284" i="2"/>
  <c r="M284" i="2"/>
  <c r="D284" i="3"/>
  <c r="G284" i="10"/>
  <c r="U251" i="3"/>
  <c r="N251" i="3"/>
  <c r="AC251" i="3"/>
  <c r="M251" i="10" s="1"/>
  <c r="AO177" i="8"/>
  <c r="AR177" i="8"/>
  <c r="H178" i="8" s="1"/>
  <c r="AB352" i="7" l="1"/>
  <c r="C353" i="7"/>
  <c r="R353" i="7" s="1"/>
  <c r="I353" i="7"/>
  <c r="H353" i="7"/>
  <c r="J353" i="7" s="1"/>
  <c r="M353" i="7"/>
  <c r="X251" i="3"/>
  <c r="D284" i="10"/>
  <c r="B285" i="2"/>
  <c r="F284" i="10"/>
  <c r="C284" i="3"/>
  <c r="V251" i="3"/>
  <c r="Y251" i="3" s="1"/>
  <c r="O251" i="3"/>
  <c r="I178" i="8"/>
  <c r="AS177" i="8"/>
  <c r="E252" i="3" l="1"/>
  <c r="H251" i="10"/>
  <c r="S353" i="7"/>
  <c r="C353" i="8" s="1"/>
  <c r="K353" i="7"/>
  <c r="T353" i="7" s="1"/>
  <c r="D353" i="8" s="1"/>
  <c r="N353" i="7"/>
  <c r="W353" i="7" s="1"/>
  <c r="F354" i="7" s="1"/>
  <c r="L353" i="7"/>
  <c r="V353" i="7" s="1"/>
  <c r="C285" i="10"/>
  <c r="C285" i="2"/>
  <c r="D285" i="2"/>
  <c r="K285" i="2"/>
  <c r="I251" i="10"/>
  <c r="F252" i="3"/>
  <c r="W251" i="3"/>
  <c r="Z251" i="3" s="1"/>
  <c r="P251" i="3"/>
  <c r="R251" i="3"/>
  <c r="S251" i="3" s="1"/>
  <c r="J178" i="8"/>
  <c r="N178" i="8" s="1"/>
  <c r="O178" i="8"/>
  <c r="U353" i="7" l="1"/>
  <c r="G252" i="3"/>
  <c r="AA251" i="3"/>
  <c r="K251" i="10" s="1"/>
  <c r="O354" i="7"/>
  <c r="P354" i="7"/>
  <c r="Q354" i="7" s="1"/>
  <c r="Z353" i="7"/>
  <c r="AA353" i="7" s="1"/>
  <c r="B353" i="7" s="1"/>
  <c r="B353" i="8" s="1"/>
  <c r="U353" i="8" s="1"/>
  <c r="W353" i="8" s="1"/>
  <c r="E354" i="7"/>
  <c r="M354" i="7" s="1"/>
  <c r="X353" i="7"/>
  <c r="D354" i="7"/>
  <c r="J251" i="10"/>
  <c r="E285" i="2"/>
  <c r="L285" i="2"/>
  <c r="T251" i="3"/>
  <c r="AB353" i="7"/>
  <c r="C354" i="7"/>
  <c r="I354" i="7"/>
  <c r="H354" i="7"/>
  <c r="N354" i="7"/>
  <c r="W354" i="7" s="1"/>
  <c r="F355" i="7" s="1"/>
  <c r="R178" i="8"/>
  <c r="K178" i="8"/>
  <c r="M178" i="8" s="1"/>
  <c r="H252" i="3"/>
  <c r="Y354" i="7" l="1"/>
  <c r="E354" i="8"/>
  <c r="AB251" i="3"/>
  <c r="L251" i="10" s="1"/>
  <c r="F285" i="2"/>
  <c r="B285" i="3"/>
  <c r="E285" i="10"/>
  <c r="J354" i="7"/>
  <c r="R354" i="7"/>
  <c r="S354" i="7" s="1"/>
  <c r="C354" i="8" s="1"/>
  <c r="O355" i="7"/>
  <c r="X178" i="8"/>
  <c r="P178" i="8"/>
  <c r="Q178" i="8" s="1"/>
  <c r="AI178" i="8"/>
  <c r="L178" i="8"/>
  <c r="I252" i="3"/>
  <c r="L252" i="3" s="1"/>
  <c r="M252" i="3"/>
  <c r="G285" i="2" l="1"/>
  <c r="H285" i="2" s="1"/>
  <c r="D285" i="3"/>
  <c r="I285" i="2"/>
  <c r="K354" i="7"/>
  <c r="P355" i="7"/>
  <c r="Q355" i="7" s="1"/>
  <c r="Y178" i="8"/>
  <c r="AA178" i="8" s="1"/>
  <c r="Z178" i="8"/>
  <c r="AB178" i="8" s="1"/>
  <c r="S178" i="8"/>
  <c r="AJ178" i="8"/>
  <c r="AU178" i="8"/>
  <c r="J252" i="3"/>
  <c r="K252" i="3" s="1"/>
  <c r="Q252" i="3"/>
  <c r="G285" i="10" l="1"/>
  <c r="J285" i="2"/>
  <c r="M285" i="2"/>
  <c r="E355" i="8"/>
  <c r="L354" i="7"/>
  <c r="V354" i="7" s="1"/>
  <c r="T354" i="7"/>
  <c r="D354" i="8" s="1"/>
  <c r="Y355" i="7"/>
  <c r="N252" i="3"/>
  <c r="U252" i="3"/>
  <c r="AC252" i="3"/>
  <c r="M252" i="10" s="1"/>
  <c r="AC178" i="8"/>
  <c r="T178" i="8"/>
  <c r="V178" i="8" s="1"/>
  <c r="AT178" i="8" s="1"/>
  <c r="AK178" i="8"/>
  <c r="D285" i="10" l="1"/>
  <c r="B286" i="2"/>
  <c r="F285" i="10"/>
  <c r="C285" i="3"/>
  <c r="U354" i="7"/>
  <c r="Z354" i="7"/>
  <c r="AA354" i="7" s="1"/>
  <c r="B354" i="7" s="1"/>
  <c r="B354" i="8" s="1"/>
  <c r="U354" i="8" s="1"/>
  <c r="W354" i="8" s="1"/>
  <c r="E355" i="7"/>
  <c r="M355" i="7"/>
  <c r="X252" i="3"/>
  <c r="O252" i="3"/>
  <c r="V252" i="3"/>
  <c r="Y252" i="3" s="1"/>
  <c r="AD178" i="8"/>
  <c r="D286" i="2" l="1"/>
  <c r="K286" i="2"/>
  <c r="C286" i="10"/>
  <c r="C286" i="2"/>
  <c r="X354" i="7"/>
  <c r="D355" i="7"/>
  <c r="P252" i="3"/>
  <c r="N355" i="7"/>
  <c r="W355" i="7" s="1"/>
  <c r="F356" i="7" s="1"/>
  <c r="I252" i="10"/>
  <c r="F253" i="3"/>
  <c r="R252" i="3"/>
  <c r="S252" i="3" s="1"/>
  <c r="E253" i="3"/>
  <c r="W252" i="3"/>
  <c r="H252" i="10"/>
  <c r="AE178" i="8"/>
  <c r="AL178" i="8"/>
  <c r="E286" i="2" l="1"/>
  <c r="F286" i="2"/>
  <c r="L286" i="2"/>
  <c r="I355" i="7"/>
  <c r="AB354" i="7"/>
  <c r="C355" i="7"/>
  <c r="R355" i="7" s="1"/>
  <c r="H355" i="7"/>
  <c r="O356" i="7"/>
  <c r="AA252" i="3"/>
  <c r="K252" i="10" s="1"/>
  <c r="Z252" i="3"/>
  <c r="T252" i="3"/>
  <c r="AF178" i="8"/>
  <c r="AM178" i="8" s="1"/>
  <c r="AQ178" i="8" s="1"/>
  <c r="G179" i="8" s="1"/>
  <c r="AP178" i="8"/>
  <c r="F179" i="8" s="1"/>
  <c r="S355" i="7" l="1"/>
  <c r="C355" i="8" s="1"/>
  <c r="P356" i="7"/>
  <c r="Q356" i="7" s="1"/>
  <c r="B286" i="3"/>
  <c r="E286" i="10"/>
  <c r="G286" i="2"/>
  <c r="J355" i="7"/>
  <c r="K355" i="7" s="1"/>
  <c r="Y356" i="7"/>
  <c r="E356" i="8"/>
  <c r="J252" i="10"/>
  <c r="G253" i="3"/>
  <c r="AB252" i="3"/>
  <c r="L252" i="10" s="1"/>
  <c r="AG178" i="8"/>
  <c r="AH178" i="8" s="1"/>
  <c r="AN178" i="8" s="1"/>
  <c r="I286" i="2" l="1"/>
  <c r="H286" i="2"/>
  <c r="T355" i="7"/>
  <c r="D355" i="8" s="1"/>
  <c r="L355" i="7"/>
  <c r="V355" i="7" s="1"/>
  <c r="H253" i="3"/>
  <c r="M253" i="3"/>
  <c r="AO178" i="8"/>
  <c r="AR178" i="8"/>
  <c r="H179" i="8" s="1"/>
  <c r="U355" i="7" l="1"/>
  <c r="Z355" i="7"/>
  <c r="AA355" i="7" s="1"/>
  <c r="B355" i="7" s="1"/>
  <c r="B355" i="8" s="1"/>
  <c r="U355" i="8" s="1"/>
  <c r="W355" i="8" s="1"/>
  <c r="M286" i="2"/>
  <c r="J286" i="2"/>
  <c r="D286" i="3"/>
  <c r="G286" i="10"/>
  <c r="E356" i="7"/>
  <c r="M356" i="7" s="1"/>
  <c r="I253" i="3"/>
  <c r="L253" i="3" s="1"/>
  <c r="I179" i="8"/>
  <c r="AS178" i="8"/>
  <c r="X355" i="7" l="1"/>
  <c r="D356" i="7"/>
  <c r="C286" i="3"/>
  <c r="F286" i="10"/>
  <c r="B287" i="2"/>
  <c r="D286" i="10"/>
  <c r="N356" i="7"/>
  <c r="W356" i="7" s="1"/>
  <c r="F357" i="7" s="1"/>
  <c r="C356" i="7"/>
  <c r="R356" i="7" s="1"/>
  <c r="AB355" i="7"/>
  <c r="H356" i="7"/>
  <c r="I356" i="7"/>
  <c r="O179" i="8"/>
  <c r="Q253" i="3"/>
  <c r="J253" i="3"/>
  <c r="K253" i="3" s="1"/>
  <c r="J179" i="8"/>
  <c r="N179" i="8" s="1"/>
  <c r="D287" i="2" l="1"/>
  <c r="C287" i="10"/>
  <c r="K287" i="2"/>
  <c r="C287" i="2"/>
  <c r="O357" i="7"/>
  <c r="J356" i="7"/>
  <c r="K356" i="7" s="1"/>
  <c r="T356" i="7" s="1"/>
  <c r="D356" i="8" s="1"/>
  <c r="S356" i="7"/>
  <c r="C356" i="8" s="1"/>
  <c r="U253" i="3"/>
  <c r="N253" i="3"/>
  <c r="AC253" i="3"/>
  <c r="M253" i="10" s="1"/>
  <c r="R179" i="8"/>
  <c r="K179" i="8"/>
  <c r="M179" i="8" s="1"/>
  <c r="E287" i="2" l="1"/>
  <c r="L287" i="2"/>
  <c r="E287" i="10"/>
  <c r="B287" i="3"/>
  <c r="F287" i="2"/>
  <c r="G287" i="2" s="1"/>
  <c r="P357" i="7"/>
  <c r="Q357" i="7" s="1"/>
  <c r="L356" i="7"/>
  <c r="V356" i="7" s="1"/>
  <c r="Z356" i="7" s="1"/>
  <c r="AA356" i="7" s="1"/>
  <c r="B356" i="7" s="1"/>
  <c r="B356" i="8" s="1"/>
  <c r="U356" i="8" s="1"/>
  <c r="W356" i="8" s="1"/>
  <c r="X253" i="3"/>
  <c r="V253" i="3"/>
  <c r="Y253" i="3" s="1"/>
  <c r="O253" i="3"/>
  <c r="X179" i="8"/>
  <c r="P179" i="8"/>
  <c r="Q179" i="8" s="1"/>
  <c r="AI179" i="8"/>
  <c r="L179" i="8"/>
  <c r="E357" i="8" l="1"/>
  <c r="Y357" i="7"/>
  <c r="I287" i="2"/>
  <c r="H287" i="2"/>
  <c r="U356" i="7"/>
  <c r="E357" i="7"/>
  <c r="E254" i="3"/>
  <c r="H253" i="10"/>
  <c r="I253" i="10"/>
  <c r="F254" i="3"/>
  <c r="R253" i="3"/>
  <c r="S253" i="3" s="1"/>
  <c r="W253" i="3"/>
  <c r="Z253" i="3" s="1"/>
  <c r="P253" i="3"/>
  <c r="Y179" i="8"/>
  <c r="AA179" i="8" s="1"/>
  <c r="Z179" i="8"/>
  <c r="AB179" i="8" s="1"/>
  <c r="S179" i="8"/>
  <c r="AJ179" i="8"/>
  <c r="AU179" i="8"/>
  <c r="M287" i="2" l="1"/>
  <c r="J287" i="2"/>
  <c r="G287" i="10"/>
  <c r="D287" i="3"/>
  <c r="D357" i="7"/>
  <c r="X356" i="7"/>
  <c r="M357" i="7"/>
  <c r="G254" i="3"/>
  <c r="J253" i="10"/>
  <c r="AA253" i="3"/>
  <c r="K253" i="10" s="1"/>
  <c r="T253" i="3"/>
  <c r="AB253" i="3" s="1"/>
  <c r="L253" i="10" s="1"/>
  <c r="AC179" i="8"/>
  <c r="T179" i="8"/>
  <c r="V179" i="8" s="1"/>
  <c r="AK179" i="8"/>
  <c r="F287" i="10" l="1"/>
  <c r="C287" i="3"/>
  <c r="B288" i="2"/>
  <c r="D287" i="10"/>
  <c r="I357" i="7"/>
  <c r="H357" i="7"/>
  <c r="J357" i="7" s="1"/>
  <c r="K357" i="7" s="1"/>
  <c r="C357" i="7"/>
  <c r="R357" i="7" s="1"/>
  <c r="AB356" i="7"/>
  <c r="H254" i="3"/>
  <c r="N357" i="7"/>
  <c r="W357" i="7" s="1"/>
  <c r="F358" i="7" s="1"/>
  <c r="AT179" i="8"/>
  <c r="AD179" i="8"/>
  <c r="C288" i="10" l="1"/>
  <c r="K288" i="2"/>
  <c r="C288" i="2"/>
  <c r="D288" i="2"/>
  <c r="L288" i="2" s="1"/>
  <c r="M254" i="3"/>
  <c r="I254" i="3"/>
  <c r="L254" i="3" s="1"/>
  <c r="O358" i="7"/>
  <c r="S357" i="7"/>
  <c r="C357" i="8" s="1"/>
  <c r="T357" i="7"/>
  <c r="D357" i="8" s="1"/>
  <c r="L357" i="7"/>
  <c r="V357" i="7" s="1"/>
  <c r="AE179" i="8"/>
  <c r="AL179" i="8"/>
  <c r="E288" i="10" l="1"/>
  <c r="B288" i="3"/>
  <c r="E288" i="2"/>
  <c r="Q254" i="3"/>
  <c r="J254" i="3"/>
  <c r="E358" i="7"/>
  <c r="Z357" i="7"/>
  <c r="AA357" i="7" s="1"/>
  <c r="B357" i="7" s="1"/>
  <c r="B357" i="8" s="1"/>
  <c r="U357" i="8" s="1"/>
  <c r="W357" i="8" s="1"/>
  <c r="U357" i="7"/>
  <c r="P358" i="7"/>
  <c r="Q358" i="7" s="1"/>
  <c r="AF179" i="8"/>
  <c r="AM179" i="8" s="1"/>
  <c r="AQ179" i="8" s="1"/>
  <c r="G180" i="8" s="1"/>
  <c r="AP179" i="8"/>
  <c r="F180" i="8" s="1"/>
  <c r="F288" i="2" l="1"/>
  <c r="X357" i="7"/>
  <c r="D358" i="7"/>
  <c r="AC254" i="3"/>
  <c r="M254" i="10" s="1"/>
  <c r="K254" i="3"/>
  <c r="E358" i="8"/>
  <c r="Y358" i="7"/>
  <c r="M358" i="7"/>
  <c r="AG179" i="8"/>
  <c r="AH179" i="8" s="1"/>
  <c r="AN179" i="8" s="1"/>
  <c r="AR179" i="8" s="1"/>
  <c r="H180" i="8" s="1"/>
  <c r="AB357" i="7" l="1"/>
  <c r="C358" i="7"/>
  <c r="G288" i="2"/>
  <c r="H288" i="2" s="1"/>
  <c r="I358" i="7"/>
  <c r="H358" i="7"/>
  <c r="N358" i="7"/>
  <c r="W358" i="7" s="1"/>
  <c r="F359" i="7" s="1"/>
  <c r="U254" i="3"/>
  <c r="N254" i="3"/>
  <c r="AO179" i="8"/>
  <c r="I180" i="8"/>
  <c r="R358" i="7" l="1"/>
  <c r="G288" i="10"/>
  <c r="D288" i="3"/>
  <c r="I288" i="2"/>
  <c r="J358" i="7"/>
  <c r="S358" i="7"/>
  <c r="C358" i="8" s="1"/>
  <c r="O359" i="7"/>
  <c r="O254" i="3"/>
  <c r="V254" i="3"/>
  <c r="Y254" i="3" s="1"/>
  <c r="X254" i="3"/>
  <c r="AS179" i="8"/>
  <c r="J180" i="8"/>
  <c r="N180" i="8" s="1"/>
  <c r="O180" i="8"/>
  <c r="M288" i="2" l="1"/>
  <c r="J288" i="2"/>
  <c r="K358" i="7"/>
  <c r="T358" i="7" s="1"/>
  <c r="D358" i="8" s="1"/>
  <c r="H254" i="10"/>
  <c r="E255" i="3"/>
  <c r="P359" i="7"/>
  <c r="Q359" i="7" s="1"/>
  <c r="P254" i="3"/>
  <c r="W254" i="3"/>
  <c r="Z254" i="3" s="1"/>
  <c r="I254" i="10"/>
  <c r="F255" i="3"/>
  <c r="R254" i="3"/>
  <c r="S254" i="3" s="1"/>
  <c r="R180" i="8"/>
  <c r="K180" i="8"/>
  <c r="M180" i="8" s="1"/>
  <c r="C288" i="3" l="1"/>
  <c r="F288" i="10"/>
  <c r="B289" i="2"/>
  <c r="D288" i="10"/>
  <c r="L358" i="7"/>
  <c r="V358" i="7" s="1"/>
  <c r="Y359" i="7"/>
  <c r="E359" i="8"/>
  <c r="Z358" i="7"/>
  <c r="AA358" i="7" s="1"/>
  <c r="B358" i="7" s="1"/>
  <c r="G255" i="3"/>
  <c r="AA254" i="3"/>
  <c r="K254" i="10" s="1"/>
  <c r="J254" i="10"/>
  <c r="T254" i="3"/>
  <c r="AB254" i="3" s="1"/>
  <c r="L254" i="10" s="1"/>
  <c r="P180" i="8"/>
  <c r="Q180" i="8" s="1"/>
  <c r="X180" i="8"/>
  <c r="AI180" i="8"/>
  <c r="L180" i="8"/>
  <c r="C289" i="10" l="1"/>
  <c r="K289" i="2"/>
  <c r="D289" i="2"/>
  <c r="C289" i="2"/>
  <c r="E289" i="2" s="1"/>
  <c r="U358" i="7"/>
  <c r="E359" i="7"/>
  <c r="D359" i="7"/>
  <c r="X358" i="7"/>
  <c r="M359" i="7"/>
  <c r="B358" i="8"/>
  <c r="U358" i="8" s="1"/>
  <c r="W358" i="8" s="1"/>
  <c r="H255" i="3"/>
  <c r="S180" i="8"/>
  <c r="Z180" i="8"/>
  <c r="AB180" i="8" s="1"/>
  <c r="Y180" i="8"/>
  <c r="AA180" i="8" s="1"/>
  <c r="AJ180" i="8"/>
  <c r="AU180" i="8"/>
  <c r="L289" i="2" l="1"/>
  <c r="E289" i="10"/>
  <c r="F289" i="2"/>
  <c r="I359" i="7"/>
  <c r="H359" i="7"/>
  <c r="J359" i="7" s="1"/>
  <c r="C359" i="7"/>
  <c r="R359" i="7" s="1"/>
  <c r="S359" i="7" s="1"/>
  <c r="C359" i="8" s="1"/>
  <c r="AB358" i="7"/>
  <c r="N359" i="7"/>
  <c r="W359" i="7" s="1"/>
  <c r="F360" i="7" s="1"/>
  <c r="O360" i="7" s="1"/>
  <c r="M255" i="3"/>
  <c r="I255" i="3"/>
  <c r="L255" i="3" s="1"/>
  <c r="T180" i="8"/>
  <c r="V180" i="8" s="1"/>
  <c r="AC180" i="8"/>
  <c r="AK180" i="8"/>
  <c r="B289" i="3" l="1"/>
  <c r="G289" i="2"/>
  <c r="H289" i="2" s="1"/>
  <c r="I289" i="2"/>
  <c r="P360" i="7"/>
  <c r="Q360" i="7" s="1"/>
  <c r="J255" i="3"/>
  <c r="Q255" i="3"/>
  <c r="K359" i="7"/>
  <c r="AT180" i="8"/>
  <c r="AD180" i="8"/>
  <c r="D289" i="3" l="1"/>
  <c r="G289" i="10"/>
  <c r="J289" i="2"/>
  <c r="M289" i="2"/>
  <c r="E360" i="8"/>
  <c r="Y360" i="7"/>
  <c r="AC255" i="3"/>
  <c r="M255" i="10" s="1"/>
  <c r="K255" i="3"/>
  <c r="L359" i="7"/>
  <c r="V359" i="7" s="1"/>
  <c r="T359" i="7"/>
  <c r="D359" i="8" s="1"/>
  <c r="AL180" i="8"/>
  <c r="AE180" i="8"/>
  <c r="AF180" i="8"/>
  <c r="AM180" i="8" s="1"/>
  <c r="AQ180" i="8" s="1"/>
  <c r="G181" i="8" s="1"/>
  <c r="B290" i="2" l="1"/>
  <c r="D289" i="10"/>
  <c r="C289" i="3"/>
  <c r="F289" i="10"/>
  <c r="U359" i="7"/>
  <c r="N255" i="3"/>
  <c r="U255" i="3"/>
  <c r="Z359" i="7"/>
  <c r="AA359" i="7" s="1"/>
  <c r="B359" i="7" s="1"/>
  <c r="B359" i="8" s="1"/>
  <c r="U359" i="8" s="1"/>
  <c r="W359" i="8" s="1"/>
  <c r="E360" i="7"/>
  <c r="M360" i="7" s="1"/>
  <c r="AP180" i="8"/>
  <c r="F181" i="8" s="1"/>
  <c r="AG180" i="8"/>
  <c r="AH180" i="8" s="1"/>
  <c r="AN180" i="8" s="1"/>
  <c r="AR180" i="8" s="1"/>
  <c r="H181" i="8" s="1"/>
  <c r="D290" i="2" l="1"/>
  <c r="K290" i="2"/>
  <c r="C290" i="2"/>
  <c r="E290" i="2" s="1"/>
  <c r="F290" i="2" s="1"/>
  <c r="C290" i="10"/>
  <c r="X359" i="7"/>
  <c r="D360" i="7"/>
  <c r="V255" i="3"/>
  <c r="Y255" i="3" s="1"/>
  <c r="O255" i="3"/>
  <c r="X255" i="3"/>
  <c r="AB359" i="7"/>
  <c r="C360" i="7"/>
  <c r="R360" i="7" s="1"/>
  <c r="H360" i="7"/>
  <c r="I360" i="7"/>
  <c r="P255" i="3"/>
  <c r="N360" i="7"/>
  <c r="W360" i="7" s="1"/>
  <c r="F361" i="7" s="1"/>
  <c r="I181" i="8"/>
  <c r="AO180" i="8"/>
  <c r="I255" i="10" l="1"/>
  <c r="G290" i="2"/>
  <c r="H290" i="2" s="1"/>
  <c r="I290" i="2"/>
  <c r="L290" i="2"/>
  <c r="F256" i="3"/>
  <c r="R255" i="3"/>
  <c r="W255" i="3"/>
  <c r="Z255" i="3" s="1"/>
  <c r="H255" i="10"/>
  <c r="E256" i="3"/>
  <c r="O361" i="7"/>
  <c r="J360" i="7"/>
  <c r="S360" i="7"/>
  <c r="C360" i="8" s="1"/>
  <c r="J181" i="8"/>
  <c r="N181" i="8" s="1"/>
  <c r="O181" i="8"/>
  <c r="AS180" i="8"/>
  <c r="B290" i="3" l="1"/>
  <c r="E290" i="10"/>
  <c r="J290" i="2"/>
  <c r="G290" i="10"/>
  <c r="K360" i="7"/>
  <c r="P361" i="7"/>
  <c r="Q361" i="7" s="1"/>
  <c r="B8" i="6" s="1"/>
  <c r="M290" i="2"/>
  <c r="D290" i="3"/>
  <c r="T255" i="3"/>
  <c r="S255" i="3"/>
  <c r="J255" i="10"/>
  <c r="AB255" i="3"/>
  <c r="L255" i="10" s="1"/>
  <c r="G256" i="3"/>
  <c r="AA255" i="3"/>
  <c r="K255" i="10" s="1"/>
  <c r="Y361" i="7"/>
  <c r="R181" i="8"/>
  <c r="K181" i="8"/>
  <c r="M181" i="8" s="1"/>
  <c r="L360" i="7" l="1"/>
  <c r="V360" i="7" s="1"/>
  <c r="T360" i="7"/>
  <c r="D360" i="8" s="1"/>
  <c r="E361" i="8"/>
  <c r="H256" i="3"/>
  <c r="D290" i="10"/>
  <c r="B291" i="2"/>
  <c r="C290" i="3"/>
  <c r="F290" i="10"/>
  <c r="U360" i="7"/>
  <c r="Z360" i="7"/>
  <c r="AA360" i="7" s="1"/>
  <c r="B360" i="7" s="1"/>
  <c r="X181" i="8"/>
  <c r="P181" i="8"/>
  <c r="Q181" i="8" s="1"/>
  <c r="AI181" i="8"/>
  <c r="L181" i="8"/>
  <c r="E361" i="7"/>
  <c r="M361" i="7"/>
  <c r="K291" i="2" l="1"/>
  <c r="C291" i="10"/>
  <c r="C291" i="2"/>
  <c r="D291" i="2"/>
  <c r="I256" i="3"/>
  <c r="L256" i="3" s="1"/>
  <c r="M256" i="3"/>
  <c r="AJ181" i="8"/>
  <c r="AU181" i="8"/>
  <c r="D361" i="7"/>
  <c r="X360" i="7"/>
  <c r="B360" i="8"/>
  <c r="U360" i="8" s="1"/>
  <c r="W360" i="8" s="1"/>
  <c r="Y181" i="8"/>
  <c r="AA181" i="8" s="1"/>
  <c r="S181" i="8"/>
  <c r="Z181" i="8"/>
  <c r="AB181" i="8" s="1"/>
  <c r="E291" i="2"/>
  <c r="N361" i="7"/>
  <c r="W361" i="7" s="1"/>
  <c r="L291" i="2" l="1"/>
  <c r="Q256" i="3"/>
  <c r="J256" i="3"/>
  <c r="AK181" i="8"/>
  <c r="I361" i="7"/>
  <c r="H361" i="7"/>
  <c r="C361" i="7"/>
  <c r="R361" i="7" s="1"/>
  <c r="AC181" i="8"/>
  <c r="T181" i="8"/>
  <c r="V181" i="8" s="1"/>
  <c r="AT181" i="8" s="1"/>
  <c r="AB360" i="7"/>
  <c r="B291" i="3"/>
  <c r="F291" i="2"/>
  <c r="K256" i="3" l="1"/>
  <c r="E291" i="10"/>
  <c r="AC256" i="3"/>
  <c r="M256" i="10" s="1"/>
  <c r="G291" i="2"/>
  <c r="J361" i="7"/>
  <c r="S361" i="7"/>
  <c r="C361" i="8" s="1"/>
  <c r="AD181" i="8"/>
  <c r="N256" i="3" l="1"/>
  <c r="U256" i="3"/>
  <c r="AE181" i="8"/>
  <c r="AL181" i="8"/>
  <c r="I291" i="2"/>
  <c r="H291" i="2"/>
  <c r="K361" i="7"/>
  <c r="T361" i="7" s="1"/>
  <c r="D361" i="8" s="1"/>
  <c r="AF181" i="8"/>
  <c r="AM181" i="8" s="1"/>
  <c r="AQ181" i="8" s="1"/>
  <c r="G182" i="8" s="1"/>
  <c r="AP181" i="8"/>
  <c r="F182" i="8" s="1"/>
  <c r="O256" i="3" l="1"/>
  <c r="P256" i="3" s="1"/>
  <c r="V256" i="3"/>
  <c r="Y256" i="3" s="1"/>
  <c r="X256" i="3"/>
  <c r="M291" i="2"/>
  <c r="J291" i="2"/>
  <c r="D291" i="3"/>
  <c r="G291" i="10"/>
  <c r="L361" i="7"/>
  <c r="W256" i="3"/>
  <c r="Z256" i="3" s="1"/>
  <c r="E257" i="3"/>
  <c r="H256" i="10"/>
  <c r="F257" i="3"/>
  <c r="I256" i="10"/>
  <c r="AG181" i="8"/>
  <c r="AH181" i="8" s="1"/>
  <c r="AN181" i="8" s="1"/>
  <c r="AR181" i="8" s="1"/>
  <c r="H182" i="8" s="1"/>
  <c r="R256" i="3" l="1"/>
  <c r="S256" i="3" s="1"/>
  <c r="G257" i="3"/>
  <c r="AA256" i="3"/>
  <c r="K256" i="10" s="1"/>
  <c r="J256" i="10"/>
  <c r="F291" i="10"/>
  <c r="D291" i="10"/>
  <c r="B292" i="2"/>
  <c r="C291" i="3"/>
  <c r="U361" i="7"/>
  <c r="V361" i="7"/>
  <c r="Z361" i="7" s="1"/>
  <c r="B9" i="6" s="1"/>
  <c r="I182" i="8"/>
  <c r="AO181" i="8"/>
  <c r="K292" i="2"/>
  <c r="C292" i="10"/>
  <c r="T256" i="3" l="1"/>
  <c r="C292" i="2"/>
  <c r="D292" i="2"/>
  <c r="AB256" i="3"/>
  <c r="L256" i="10" s="1"/>
  <c r="H257" i="3"/>
  <c r="X361" i="7"/>
  <c r="AB361" i="7" s="1"/>
  <c r="B5" i="9" s="1"/>
  <c r="C5" i="9" s="1"/>
  <c r="AA361" i="7"/>
  <c r="B361" i="7" s="1"/>
  <c r="AS181" i="8"/>
  <c r="O182" i="8"/>
  <c r="J182" i="8"/>
  <c r="N182" i="8" s="1"/>
  <c r="M257" i="3" l="1"/>
  <c r="I257" i="3"/>
  <c r="L257" i="3" s="1"/>
  <c r="E292" i="2"/>
  <c r="L292" i="2"/>
  <c r="B361" i="8"/>
  <c r="U361" i="8" s="1"/>
  <c r="W361" i="8" s="1"/>
  <c r="B8" i="9"/>
  <c r="C8" i="9" s="1"/>
  <c r="B7" i="9"/>
  <c r="C7" i="9" s="1"/>
  <c r="R182" i="8"/>
  <c r="K182" i="8"/>
  <c r="M182" i="8" s="1"/>
  <c r="F292" i="2"/>
  <c r="E292" i="10"/>
  <c r="B292" i="3"/>
  <c r="Q257" i="3" l="1"/>
  <c r="J257" i="3"/>
  <c r="AC257" i="3"/>
  <c r="M257" i="10" s="1"/>
  <c r="AI182" i="8"/>
  <c r="P182" i="8"/>
  <c r="Q182" i="8" s="1"/>
  <c r="X182" i="8"/>
  <c r="L182" i="8"/>
  <c r="G292" i="2"/>
  <c r="K257" i="3" l="1"/>
  <c r="U257" i="3"/>
  <c r="N257" i="3"/>
  <c r="AJ182" i="8"/>
  <c r="S182" i="8"/>
  <c r="Z182" i="8"/>
  <c r="AB182" i="8" s="1"/>
  <c r="Y182" i="8"/>
  <c r="AA182" i="8" s="1"/>
  <c r="AU182" i="8"/>
  <c r="I292" i="2"/>
  <c r="H292" i="2"/>
  <c r="O257" i="3" l="1"/>
  <c r="X257" i="3"/>
  <c r="V257" i="3"/>
  <c r="Y257" i="3" s="1"/>
  <c r="AC182" i="8"/>
  <c r="AK182" i="8"/>
  <c r="T182" i="8"/>
  <c r="V182" i="8" s="1"/>
  <c r="M292" i="2"/>
  <c r="J292" i="2"/>
  <c r="D292" i="3"/>
  <c r="G292" i="10"/>
  <c r="P257" i="3" l="1"/>
  <c r="R257" i="3"/>
  <c r="S257" i="3" s="1"/>
  <c r="E258" i="3"/>
  <c r="H257" i="10"/>
  <c r="W257" i="3"/>
  <c r="Z257" i="3" s="1"/>
  <c r="I257" i="10"/>
  <c r="F258" i="3"/>
  <c r="AD182" i="8"/>
  <c r="AT182" i="8"/>
  <c r="F292" i="10"/>
  <c r="C292" i="3"/>
  <c r="D292" i="10"/>
  <c r="B293" i="2"/>
  <c r="G258" i="3" l="1"/>
  <c r="AA257" i="3"/>
  <c r="K257" i="10" s="1"/>
  <c r="T257" i="3"/>
  <c r="J257" i="10"/>
  <c r="AE182" i="8"/>
  <c r="AL182" i="8"/>
  <c r="C293" i="2"/>
  <c r="D293" i="2"/>
  <c r="K293" i="2"/>
  <c r="C293" i="10"/>
  <c r="H258" i="3" l="1"/>
  <c r="AB257" i="3"/>
  <c r="L257" i="10" s="1"/>
  <c r="AF182" i="8"/>
  <c r="AM182" i="8" s="1"/>
  <c r="AQ182" i="8" s="1"/>
  <c r="G183" i="8" s="1"/>
  <c r="AP182" i="8"/>
  <c r="F183" i="8" s="1"/>
  <c r="E293" i="2"/>
  <c r="L293" i="2"/>
  <c r="I258" i="3" l="1"/>
  <c r="L258" i="3" s="1"/>
  <c r="M258" i="3"/>
  <c r="AG182" i="8"/>
  <c r="AH182" i="8" s="1"/>
  <c r="AN182" i="8" s="1"/>
  <c r="AR182" i="8" s="1"/>
  <c r="H183" i="8" s="1"/>
  <c r="F293" i="2"/>
  <c r="E293" i="10"/>
  <c r="B293" i="3"/>
  <c r="J258" i="3" l="1"/>
  <c r="K258" i="3" s="1"/>
  <c r="Q258" i="3"/>
  <c r="I183" i="8"/>
  <c r="AO182" i="8"/>
  <c r="G293" i="2"/>
  <c r="U258" i="3" l="1"/>
  <c r="AC258" i="3"/>
  <c r="M258" i="10" s="1"/>
  <c r="N258" i="3"/>
  <c r="O258" i="3"/>
  <c r="V258" i="3"/>
  <c r="Y258" i="3" s="1"/>
  <c r="X258" i="3"/>
  <c r="J183" i="8"/>
  <c r="N183" i="8" s="1"/>
  <c r="AS182" i="8"/>
  <c r="O183" i="8"/>
  <c r="I293" i="2"/>
  <c r="H293" i="2"/>
  <c r="P258" i="3" l="1"/>
  <c r="R258" i="3"/>
  <c r="S258" i="3" s="1"/>
  <c r="I258" i="10"/>
  <c r="F259" i="3"/>
  <c r="H258" i="10"/>
  <c r="E259" i="3"/>
  <c r="W258" i="3"/>
  <c r="Z258" i="3" s="1"/>
  <c r="R183" i="8"/>
  <c r="K183" i="8"/>
  <c r="M183" i="8" s="1"/>
  <c r="M293" i="2"/>
  <c r="J293" i="2"/>
  <c r="D293" i="3"/>
  <c r="G293" i="10"/>
  <c r="T258" i="3" l="1"/>
  <c r="G259" i="3"/>
  <c r="J258" i="10"/>
  <c r="AA258" i="3"/>
  <c r="K258" i="10" s="1"/>
  <c r="L183" i="8"/>
  <c r="X183" i="8"/>
  <c r="P183" i="8"/>
  <c r="Q183" i="8" s="1"/>
  <c r="AI183" i="8"/>
  <c r="F293" i="10"/>
  <c r="C293" i="3"/>
  <c r="D293" i="10"/>
  <c r="B294" i="2"/>
  <c r="AB258" i="3" l="1"/>
  <c r="L258" i="10" s="1"/>
  <c r="H259" i="3"/>
  <c r="AU183" i="8"/>
  <c r="Z183" i="8"/>
  <c r="AB183" i="8" s="1"/>
  <c r="Y183" i="8"/>
  <c r="AA183" i="8" s="1"/>
  <c r="S183" i="8"/>
  <c r="AJ183" i="8"/>
  <c r="C294" i="2"/>
  <c r="D294" i="2"/>
  <c r="K294" i="2"/>
  <c r="C294" i="10"/>
  <c r="I259" i="3" l="1"/>
  <c r="L259" i="3" s="1"/>
  <c r="M259" i="3"/>
  <c r="T183" i="8"/>
  <c r="V183" i="8" s="1"/>
  <c r="AT183" i="8" s="1"/>
  <c r="E294" i="2"/>
  <c r="AC183" i="8"/>
  <c r="AK183" i="8"/>
  <c r="L294" i="2"/>
  <c r="Q259" i="3" l="1"/>
  <c r="J259" i="3"/>
  <c r="AD183" i="8"/>
  <c r="F294" i="2"/>
  <c r="E294" i="10"/>
  <c r="B294" i="3"/>
  <c r="AC259" i="3" l="1"/>
  <c r="M259" i="10" s="1"/>
  <c r="K259" i="3"/>
  <c r="G294" i="2"/>
  <c r="H294" i="2" s="1"/>
  <c r="AE183" i="8"/>
  <c r="AL183" i="8"/>
  <c r="U259" i="3" l="1"/>
  <c r="N259" i="3"/>
  <c r="G294" i="10"/>
  <c r="I294" i="2"/>
  <c r="AP183" i="8"/>
  <c r="F184" i="8" s="1"/>
  <c r="D294" i="3"/>
  <c r="AF183" i="8"/>
  <c r="AM183" i="8" s="1"/>
  <c r="AQ183" i="8" s="1"/>
  <c r="G184" i="8" s="1"/>
  <c r="X259" i="3" l="1"/>
  <c r="V259" i="3"/>
  <c r="Y259" i="3" s="1"/>
  <c r="O259" i="3"/>
  <c r="J294" i="2"/>
  <c r="M294" i="2"/>
  <c r="AG183" i="8"/>
  <c r="AH183" i="8" s="1"/>
  <c r="AN183" i="8" s="1"/>
  <c r="AR183" i="8" s="1"/>
  <c r="H184" i="8" s="1"/>
  <c r="W259" i="3" l="1"/>
  <c r="Z259" i="3" s="1"/>
  <c r="E260" i="3"/>
  <c r="H259" i="10"/>
  <c r="P259" i="3"/>
  <c r="I259" i="10"/>
  <c r="F260" i="3"/>
  <c r="R259" i="3"/>
  <c r="S259" i="3" s="1"/>
  <c r="I184" i="8"/>
  <c r="D294" i="10"/>
  <c r="B295" i="2"/>
  <c r="F294" i="10"/>
  <c r="C294" i="3"/>
  <c r="AO183" i="8"/>
  <c r="J259" i="10" l="1"/>
  <c r="AA259" i="3"/>
  <c r="K259" i="10" s="1"/>
  <c r="G260" i="3"/>
  <c r="J184" i="8"/>
  <c r="N184" i="8" s="1"/>
  <c r="H260" i="3"/>
  <c r="T259" i="3"/>
  <c r="O184" i="8"/>
  <c r="AS183" i="8"/>
  <c r="C295" i="10"/>
  <c r="K295" i="2"/>
  <c r="D295" i="2"/>
  <c r="C295" i="2"/>
  <c r="E295" i="2" l="1"/>
  <c r="AB259" i="3"/>
  <c r="L259" i="10" s="1"/>
  <c r="M260" i="3"/>
  <c r="K184" i="8"/>
  <c r="M184" i="8" s="1"/>
  <c r="R184" i="8"/>
  <c r="I260" i="3"/>
  <c r="L260" i="3" s="1"/>
  <c r="L295" i="2"/>
  <c r="AI184" i="8" l="1"/>
  <c r="X184" i="8"/>
  <c r="F295" i="2"/>
  <c r="E295" i="10"/>
  <c r="B295" i="3"/>
  <c r="P184" i="8"/>
  <c r="Q184" i="8" s="1"/>
  <c r="L184" i="8"/>
  <c r="Q260" i="3"/>
  <c r="J260" i="3"/>
  <c r="K260" i="3" s="1"/>
  <c r="Y184" i="8" l="1"/>
  <c r="AA184" i="8" s="1"/>
  <c r="AJ184" i="8"/>
  <c r="Z184" i="8"/>
  <c r="AB184" i="8" s="1"/>
  <c r="S184" i="8"/>
  <c r="G295" i="2"/>
  <c r="AU184" i="8"/>
  <c r="T184" i="8"/>
  <c r="V184" i="8" s="1"/>
  <c r="U260" i="3"/>
  <c r="N260" i="3"/>
  <c r="AC260" i="3"/>
  <c r="M260" i="10" s="1"/>
  <c r="X260" i="3" l="1"/>
  <c r="AC184" i="8"/>
  <c r="AK184" i="8"/>
  <c r="I295" i="2"/>
  <c r="H295" i="2"/>
  <c r="AT184" i="8"/>
  <c r="V260" i="3"/>
  <c r="Y260" i="3" s="1"/>
  <c r="O260" i="3"/>
  <c r="E261" i="3" l="1"/>
  <c r="H260" i="10"/>
  <c r="AD184" i="8"/>
  <c r="G295" i="10"/>
  <c r="M295" i="2"/>
  <c r="J295" i="2"/>
  <c r="D295" i="3"/>
  <c r="P260" i="3"/>
  <c r="I260" i="10"/>
  <c r="F261" i="3"/>
  <c r="R260" i="3"/>
  <c r="S260" i="3" s="1"/>
  <c r="W260" i="3"/>
  <c r="Z260" i="3" s="1"/>
  <c r="AE184" i="8"/>
  <c r="AL184" i="8"/>
  <c r="T260" i="3"/>
  <c r="AF184" i="8"/>
  <c r="AM184" i="8" s="1"/>
  <c r="AQ184" i="8" s="1"/>
  <c r="G185" i="8" s="1"/>
  <c r="AA260" i="3"/>
  <c r="K260" i="10" s="1"/>
  <c r="J260" i="10"/>
  <c r="G261" i="3"/>
  <c r="F295" i="10" l="1"/>
  <c r="B296" i="2"/>
  <c r="D295" i="10"/>
  <c r="C295" i="3"/>
  <c r="AP184" i="8"/>
  <c r="F185" i="8" s="1"/>
  <c r="AB260" i="3"/>
  <c r="L260" i="10" s="1"/>
  <c r="AG184" i="8"/>
  <c r="AH184" i="8" s="1"/>
  <c r="AN184" i="8" s="1"/>
  <c r="H261" i="3"/>
  <c r="C296" i="2" l="1"/>
  <c r="D296" i="2"/>
  <c r="K296" i="2"/>
  <c r="C296" i="10"/>
  <c r="AO184" i="8"/>
  <c r="AR184" i="8"/>
  <c r="H185" i="8" s="1"/>
  <c r="I261" i="3"/>
  <c r="L261" i="3" s="1"/>
  <c r="M261" i="3"/>
  <c r="E296" i="2" l="1"/>
  <c r="L296" i="2"/>
  <c r="B296" i="3" s="1"/>
  <c r="F296" i="2"/>
  <c r="I185" i="8"/>
  <c r="AS184" i="8"/>
  <c r="Q261" i="3"/>
  <c r="J261" i="3"/>
  <c r="K261" i="3" s="1"/>
  <c r="E296" i="10" l="1"/>
  <c r="G296" i="2"/>
  <c r="H296" i="2" s="1"/>
  <c r="J185" i="8"/>
  <c r="N185" i="8" s="1"/>
  <c r="O185" i="8"/>
  <c r="U261" i="3"/>
  <c r="N261" i="3"/>
  <c r="AC261" i="3"/>
  <c r="M261" i="10" s="1"/>
  <c r="X261" i="3" l="1"/>
  <c r="D296" i="3"/>
  <c r="G296" i="10"/>
  <c r="I296" i="2"/>
  <c r="R185" i="8"/>
  <c r="K185" i="8"/>
  <c r="M185" i="8" s="1"/>
  <c r="V261" i="3"/>
  <c r="Y261" i="3" s="1"/>
  <c r="O261" i="3"/>
  <c r="H261" i="10" l="1"/>
  <c r="E262" i="3"/>
  <c r="J296" i="2"/>
  <c r="M296" i="2"/>
  <c r="L185" i="8"/>
  <c r="X185" i="8"/>
  <c r="P185" i="8"/>
  <c r="Q185" i="8" s="1"/>
  <c r="AI185" i="8"/>
  <c r="I261" i="10"/>
  <c r="F262" i="3"/>
  <c r="R261" i="3"/>
  <c r="S261" i="3" s="1"/>
  <c r="W261" i="3"/>
  <c r="Z261" i="3" s="1"/>
  <c r="P261" i="3"/>
  <c r="D296" i="10" l="1"/>
  <c r="B297" i="2"/>
  <c r="F296" i="10"/>
  <c r="C296" i="3"/>
  <c r="AU185" i="8"/>
  <c r="Z185" i="8"/>
  <c r="AB185" i="8" s="1"/>
  <c r="Y185" i="8"/>
  <c r="AA185" i="8" s="1"/>
  <c r="S185" i="8"/>
  <c r="AJ185" i="8"/>
  <c r="G262" i="3"/>
  <c r="J261" i="10"/>
  <c r="T261" i="3"/>
  <c r="AA261" i="3"/>
  <c r="K261" i="10" s="1"/>
  <c r="C297" i="2" l="1"/>
  <c r="D297" i="2"/>
  <c r="K297" i="2"/>
  <c r="C297" i="10"/>
  <c r="AC185" i="8"/>
  <c r="AK185" i="8"/>
  <c r="T185" i="8"/>
  <c r="V185" i="8" s="1"/>
  <c r="AT185" i="8" s="1"/>
  <c r="H262" i="3"/>
  <c r="AB261" i="3"/>
  <c r="L261" i="10" s="1"/>
  <c r="E297" i="2" l="1"/>
  <c r="L297" i="2"/>
  <c r="M262" i="3"/>
  <c r="AD185" i="8"/>
  <c r="I262" i="3"/>
  <c r="L262" i="3" s="1"/>
  <c r="F297" i="2" l="1"/>
  <c r="E297" i="10"/>
  <c r="B297" i="3"/>
  <c r="AL185" i="8"/>
  <c r="AE185" i="8"/>
  <c r="Q262" i="3"/>
  <c r="J262" i="3"/>
  <c r="K262" i="3" s="1"/>
  <c r="G297" i="2" l="1"/>
  <c r="H297" i="2" s="1"/>
  <c r="AP185" i="8"/>
  <c r="F186" i="8" s="1"/>
  <c r="AF185" i="8"/>
  <c r="AM185" i="8" s="1"/>
  <c r="AQ185" i="8" s="1"/>
  <c r="G186" i="8" s="1"/>
  <c r="AC262" i="3"/>
  <c r="M262" i="10" s="1"/>
  <c r="U262" i="3"/>
  <c r="N262" i="3"/>
  <c r="I297" i="2" l="1"/>
  <c r="G297" i="10"/>
  <c r="D297" i="3"/>
  <c r="AG185" i="8"/>
  <c r="AH185" i="8" s="1"/>
  <c r="AN185" i="8" s="1"/>
  <c r="V262" i="3"/>
  <c r="Y262" i="3" s="1"/>
  <c r="O262" i="3"/>
  <c r="X262" i="3"/>
  <c r="J297" i="2" l="1"/>
  <c r="M297" i="2"/>
  <c r="AO185" i="8"/>
  <c r="AR185" i="8"/>
  <c r="H186" i="8" s="1"/>
  <c r="P262" i="3"/>
  <c r="I262" i="10"/>
  <c r="F263" i="3"/>
  <c r="R262" i="3"/>
  <c r="S262" i="3" s="1"/>
  <c r="H262" i="10"/>
  <c r="E263" i="3"/>
  <c r="W262" i="3"/>
  <c r="B298" i="2" l="1"/>
  <c r="C298" i="2" s="1"/>
  <c r="D297" i="10"/>
  <c r="C297" i="3"/>
  <c r="F297" i="10"/>
  <c r="D298" i="2"/>
  <c r="K298" i="2"/>
  <c r="C298" i="10"/>
  <c r="AS185" i="8"/>
  <c r="I186" i="8"/>
  <c r="AA262" i="3"/>
  <c r="K262" i="10" s="1"/>
  <c r="Z262" i="3"/>
  <c r="T262" i="3"/>
  <c r="E298" i="2" l="1"/>
  <c r="F298" i="2" s="1"/>
  <c r="L298" i="2"/>
  <c r="J186" i="8"/>
  <c r="N186" i="8" s="1"/>
  <c r="O186" i="8"/>
  <c r="G263" i="3"/>
  <c r="J262" i="10"/>
  <c r="AB262" i="3"/>
  <c r="L262" i="10" s="1"/>
  <c r="B298" i="3" l="1"/>
  <c r="E298" i="10"/>
  <c r="G298" i="2"/>
  <c r="R186" i="8"/>
  <c r="K186" i="8"/>
  <c r="H263" i="3"/>
  <c r="I298" i="2" l="1"/>
  <c r="H298" i="2"/>
  <c r="L186" i="8"/>
  <c r="M186" i="8"/>
  <c r="I263" i="3"/>
  <c r="L263" i="3" s="1"/>
  <c r="M263" i="3"/>
  <c r="J298" i="2" l="1"/>
  <c r="M298" i="2"/>
  <c r="D298" i="3"/>
  <c r="G298" i="10"/>
  <c r="P186" i="8"/>
  <c r="Q186" i="8" s="1"/>
  <c r="X186" i="8"/>
  <c r="AI186" i="8"/>
  <c r="AU186" i="8"/>
  <c r="J263" i="3"/>
  <c r="K263" i="3" s="1"/>
  <c r="B299" i="2"/>
  <c r="Q263" i="3"/>
  <c r="D298" i="10" l="1"/>
  <c r="C298" i="3"/>
  <c r="F298" i="10"/>
  <c r="S186" i="8"/>
  <c r="AJ186" i="8"/>
  <c r="Z186" i="8"/>
  <c r="AB186" i="8" s="1"/>
  <c r="Y186" i="8"/>
  <c r="AA186" i="8" s="1"/>
  <c r="C299" i="2"/>
  <c r="D299" i="2"/>
  <c r="K299" i="2"/>
  <c r="C299" i="10"/>
  <c r="U263" i="3"/>
  <c r="N263" i="3"/>
  <c r="AC263" i="3"/>
  <c r="M263" i="10" s="1"/>
  <c r="T186" i="8" l="1"/>
  <c r="V186" i="8" s="1"/>
  <c r="AK186" i="8"/>
  <c r="AC186" i="8"/>
  <c r="O263" i="3"/>
  <c r="V263" i="3"/>
  <c r="Y263" i="3" s="1"/>
  <c r="X263" i="3"/>
  <c r="E299" i="2"/>
  <c r="L299" i="2"/>
  <c r="AT186" i="8" l="1"/>
  <c r="E299" i="10"/>
  <c r="AD186" i="8"/>
  <c r="AL186" i="8" s="1"/>
  <c r="W263" i="3"/>
  <c r="Z263" i="3" s="1"/>
  <c r="F299" i="2"/>
  <c r="P263" i="3"/>
  <c r="R263" i="3"/>
  <c r="S263" i="3" s="1"/>
  <c r="B299" i="3"/>
  <c r="I263" i="10"/>
  <c r="F264" i="3"/>
  <c r="E264" i="3"/>
  <c r="H263" i="10"/>
  <c r="AP186" i="8" l="1"/>
  <c r="F187" i="8" s="1"/>
  <c r="AE186" i="8"/>
  <c r="G299" i="2"/>
  <c r="H299" i="2" s="1"/>
  <c r="T263" i="3"/>
  <c r="G264" i="3"/>
  <c r="H264" i="3" s="1"/>
  <c r="J263" i="10"/>
  <c r="AA263" i="3"/>
  <c r="K263" i="10" s="1"/>
  <c r="AF186" i="8" l="1"/>
  <c r="AM186" i="8" s="1"/>
  <c r="I299" i="2"/>
  <c r="G299" i="10"/>
  <c r="AB263" i="3"/>
  <c r="L263" i="10" s="1"/>
  <c r="D299" i="3"/>
  <c r="M264" i="3"/>
  <c r="I264" i="3"/>
  <c r="L264" i="3" s="1"/>
  <c r="AG186" i="8" l="1"/>
  <c r="AH186" i="8" s="1"/>
  <c r="AN186" i="8" s="1"/>
  <c r="AR186" i="8" s="1"/>
  <c r="H187" i="8" s="1"/>
  <c r="J299" i="2"/>
  <c r="AQ186" i="8"/>
  <c r="G187" i="8" s="1"/>
  <c r="M299" i="2"/>
  <c r="Q264" i="3"/>
  <c r="J264" i="3"/>
  <c r="K264" i="3" s="1"/>
  <c r="AO186" i="8" l="1"/>
  <c r="I187" i="8"/>
  <c r="D299" i="10"/>
  <c r="B300" i="2"/>
  <c r="C299" i="3"/>
  <c r="F299" i="10"/>
  <c r="AC264" i="3"/>
  <c r="M264" i="10" s="1"/>
  <c r="AS186" i="8"/>
  <c r="U264" i="3"/>
  <c r="N264" i="3"/>
  <c r="J187" i="8"/>
  <c r="N187" i="8" s="1"/>
  <c r="O187" i="8"/>
  <c r="K300" i="2"/>
  <c r="D300" i="2"/>
  <c r="C300" i="10"/>
  <c r="C300" i="2"/>
  <c r="L300" i="2" l="1"/>
  <c r="O264" i="3"/>
  <c r="V264" i="3"/>
  <c r="Y264" i="3" s="1"/>
  <c r="X264" i="3"/>
  <c r="E300" i="2"/>
  <c r="K187" i="8"/>
  <c r="M187" i="8" s="1"/>
  <c r="R187" i="8"/>
  <c r="E300" i="10" l="1"/>
  <c r="B300" i="3"/>
  <c r="P264" i="3"/>
  <c r="R264" i="3"/>
  <c r="S264" i="3" s="1"/>
  <c r="E265" i="3"/>
  <c r="H264" i="10"/>
  <c r="F300" i="2"/>
  <c r="AI187" i="8"/>
  <c r="P187" i="8"/>
  <c r="Q187" i="8" s="1"/>
  <c r="F265" i="3"/>
  <c r="W264" i="3"/>
  <c r="I264" i="10"/>
  <c r="X187" i="8"/>
  <c r="L187" i="8"/>
  <c r="AJ187" i="8" l="1"/>
  <c r="S187" i="8"/>
  <c r="AA264" i="3"/>
  <c r="K264" i="10" s="1"/>
  <c r="Z264" i="3"/>
  <c r="AU187" i="8"/>
  <c r="G300" i="2"/>
  <c r="H300" i="2" s="1"/>
  <c r="T264" i="3"/>
  <c r="Y187" i="8"/>
  <c r="AA187" i="8" s="1"/>
  <c r="Z187" i="8"/>
  <c r="AB187" i="8" s="1"/>
  <c r="I300" i="2" l="1"/>
  <c r="AK187" i="8"/>
  <c r="J264" i="10"/>
  <c r="T187" i="8"/>
  <c r="V187" i="8" s="1"/>
  <c r="D300" i="3"/>
  <c r="G265" i="3"/>
  <c r="G300" i="10"/>
  <c r="AB264" i="3"/>
  <c r="L264" i="10" s="1"/>
  <c r="AC187" i="8"/>
  <c r="H265" i="3" l="1"/>
  <c r="I265" i="3" s="1"/>
  <c r="L265" i="3" s="1"/>
  <c r="M300" i="2"/>
  <c r="J300" i="2"/>
  <c r="AT187" i="8"/>
  <c r="AD187" i="8"/>
  <c r="AL187" i="8" s="1"/>
  <c r="Q265" i="3" l="1"/>
  <c r="M265" i="3"/>
  <c r="J265" i="3"/>
  <c r="F300" i="10"/>
  <c r="C300" i="3"/>
  <c r="D300" i="10"/>
  <c r="B301" i="2"/>
  <c r="AE187" i="8"/>
  <c r="AF187" i="8" s="1"/>
  <c r="AM187" i="8" s="1"/>
  <c r="AQ187" i="8" s="1"/>
  <c r="G188" i="8" s="1"/>
  <c r="AP187" i="8"/>
  <c r="F188" i="8" s="1"/>
  <c r="AC265" i="3" l="1"/>
  <c r="M265" i="10" s="1"/>
  <c r="K265" i="3"/>
  <c r="C301" i="10"/>
  <c r="C301" i="2"/>
  <c r="D301" i="2"/>
  <c r="K301" i="2"/>
  <c r="AG187" i="8"/>
  <c r="AH187" i="8" s="1"/>
  <c r="AN187" i="8" s="1"/>
  <c r="AR187" i="8" s="1"/>
  <c r="H188" i="8" s="1"/>
  <c r="L301" i="2" l="1"/>
  <c r="E301" i="2"/>
  <c r="U265" i="3"/>
  <c r="N265" i="3"/>
  <c r="I188" i="8"/>
  <c r="AO187" i="8"/>
  <c r="AS187" i="8" s="1"/>
  <c r="B301" i="3" l="1"/>
  <c r="E301" i="10"/>
  <c r="F301" i="2"/>
  <c r="X265" i="3"/>
  <c r="V265" i="3"/>
  <c r="Y265" i="3" s="1"/>
  <c r="O265" i="3"/>
  <c r="J188" i="8"/>
  <c r="N188" i="8" s="1"/>
  <c r="O188" i="8"/>
  <c r="G301" i="2" l="1"/>
  <c r="H301" i="2" s="1"/>
  <c r="I265" i="10"/>
  <c r="G301" i="10"/>
  <c r="W265" i="3"/>
  <c r="Z265" i="3" s="1"/>
  <c r="F266" i="3"/>
  <c r="E266" i="3"/>
  <c r="H265" i="10"/>
  <c r="R188" i="8"/>
  <c r="K188" i="8"/>
  <c r="M188" i="8" s="1"/>
  <c r="R265" i="3"/>
  <c r="S265" i="3" s="1"/>
  <c r="P265" i="3"/>
  <c r="L188" i="8"/>
  <c r="D301" i="3" l="1"/>
  <c r="I301" i="2"/>
  <c r="J265" i="10"/>
  <c r="G266" i="3"/>
  <c r="AA265" i="3"/>
  <c r="K265" i="10" s="1"/>
  <c r="P188" i="8"/>
  <c r="Q188" i="8" s="1"/>
  <c r="AI188" i="8"/>
  <c r="X188" i="8"/>
  <c r="T265" i="3"/>
  <c r="AU188" i="8"/>
  <c r="AB265" i="3"/>
  <c r="L265" i="10" s="1"/>
  <c r="Z188" i="8" l="1"/>
  <c r="AB188" i="8" s="1"/>
  <c r="Y188" i="8"/>
  <c r="AA188" i="8" s="1"/>
  <c r="S188" i="8"/>
  <c r="AJ188" i="8"/>
  <c r="M301" i="2"/>
  <c r="J301" i="2"/>
  <c r="H266" i="3"/>
  <c r="T188" i="8" l="1"/>
  <c r="V188" i="8" s="1"/>
  <c r="AT188" i="8"/>
  <c r="AK188" i="8"/>
  <c r="AC188" i="8"/>
  <c r="C301" i="3"/>
  <c r="F301" i="10"/>
  <c r="B302" i="2"/>
  <c r="D301" i="10"/>
  <c r="M266" i="3"/>
  <c r="I266" i="3"/>
  <c r="L266" i="3" s="1"/>
  <c r="AD188" i="8" l="1"/>
  <c r="Q266" i="3"/>
  <c r="J266" i="3"/>
  <c r="K266" i="3" s="1"/>
  <c r="C302" i="10"/>
  <c r="K302" i="2"/>
  <c r="D302" i="2"/>
  <c r="AE188" i="8"/>
  <c r="AL188" i="8" l="1"/>
  <c r="U266" i="3"/>
  <c r="N266" i="3"/>
  <c r="AC266" i="3"/>
  <c r="M266" i="10" s="1"/>
  <c r="L302" i="2"/>
  <c r="E302" i="2"/>
  <c r="AF188" i="8"/>
  <c r="AP188" i="8" l="1"/>
  <c r="F189" i="8" s="1"/>
  <c r="X266" i="3"/>
  <c r="V266" i="3"/>
  <c r="Y266" i="3" s="1"/>
  <c r="O266" i="3"/>
  <c r="P266" i="3"/>
  <c r="B302" i="3"/>
  <c r="E302" i="10"/>
  <c r="F302" i="2"/>
  <c r="AG188" i="8"/>
  <c r="AH188" i="8" s="1"/>
  <c r="AN188" i="8" s="1"/>
  <c r="AR188" i="8" s="1"/>
  <c r="H189" i="8" s="1"/>
  <c r="I189" i="8" s="1"/>
  <c r="AM188" i="8"/>
  <c r="H266" i="10" l="1"/>
  <c r="E267" i="3"/>
  <c r="I266" i="10"/>
  <c r="F267" i="3"/>
  <c r="W266" i="3"/>
  <c r="Z266" i="3" s="1"/>
  <c r="R266" i="3"/>
  <c r="S266" i="3" s="1"/>
  <c r="AA266" i="3"/>
  <c r="K266" i="10" s="1"/>
  <c r="G302" i="2"/>
  <c r="H302" i="2" s="1"/>
  <c r="AO188" i="8"/>
  <c r="AQ188" i="8"/>
  <c r="G189" i="8" s="1"/>
  <c r="O189" i="8"/>
  <c r="J266" i="10" l="1"/>
  <c r="G267" i="3"/>
  <c r="H267" i="3" s="1"/>
  <c r="T266" i="3"/>
  <c r="D302" i="3"/>
  <c r="G302" i="10"/>
  <c r="I302" i="2"/>
  <c r="AB266" i="3"/>
  <c r="L266" i="10" s="1"/>
  <c r="J189" i="8"/>
  <c r="AS188" i="8"/>
  <c r="M267" i="3"/>
  <c r="I267" i="3" l="1"/>
  <c r="L267" i="3" s="1"/>
  <c r="M302" i="2"/>
  <c r="J302" i="2"/>
  <c r="K189" i="8"/>
  <c r="N189" i="8"/>
  <c r="R189" i="8" s="1"/>
  <c r="J267" i="3"/>
  <c r="K267" i="3" s="1"/>
  <c r="Q267" i="3" l="1"/>
  <c r="C302" i="3"/>
  <c r="F302" i="10"/>
  <c r="D302" i="10"/>
  <c r="B303" i="2"/>
  <c r="L189" i="8"/>
  <c r="M189" i="8"/>
  <c r="AC267" i="3"/>
  <c r="M267" i="10" s="1"/>
  <c r="N267" i="3"/>
  <c r="U267" i="3"/>
  <c r="C303" i="10" l="1"/>
  <c r="K303" i="2"/>
  <c r="D303" i="2"/>
  <c r="AU189" i="8"/>
  <c r="X189" i="8"/>
  <c r="AI189" i="8"/>
  <c r="P189" i="8"/>
  <c r="Q189" i="8" s="1"/>
  <c r="V267" i="3"/>
  <c r="Y267" i="3" s="1"/>
  <c r="X267" i="3"/>
  <c r="O267" i="3"/>
  <c r="P267" i="3"/>
  <c r="L303" i="2" l="1"/>
  <c r="E303" i="2"/>
  <c r="W267" i="3"/>
  <c r="Z267" i="3" s="1"/>
  <c r="Y189" i="8"/>
  <c r="AA189" i="8" s="1"/>
  <c r="Z189" i="8"/>
  <c r="AB189" i="8" s="1"/>
  <c r="AJ189" i="8"/>
  <c r="S189" i="8"/>
  <c r="R267" i="3"/>
  <c r="S267" i="3" s="1"/>
  <c r="I267" i="10"/>
  <c r="F268" i="3"/>
  <c r="E268" i="3"/>
  <c r="H267" i="10"/>
  <c r="E303" i="10" l="1"/>
  <c r="B303" i="3"/>
  <c r="F303" i="2"/>
  <c r="G303" i="2"/>
  <c r="H303" i="2" s="1"/>
  <c r="G268" i="3"/>
  <c r="AA267" i="3"/>
  <c r="K267" i="10" s="1"/>
  <c r="J267" i="10"/>
  <c r="AC189" i="8"/>
  <c r="T267" i="3"/>
  <c r="AK189" i="8"/>
  <c r="T189" i="8"/>
  <c r="V189" i="8" s="1"/>
  <c r="I303" i="2" l="1"/>
  <c r="G303" i="10"/>
  <c r="D303" i="3"/>
  <c r="H268" i="3"/>
  <c r="AB267" i="3"/>
  <c r="L267" i="10" s="1"/>
  <c r="AD189" i="8"/>
  <c r="AT189" i="8"/>
  <c r="J303" i="2" l="1"/>
  <c r="M303" i="2"/>
  <c r="M268" i="3"/>
  <c r="I268" i="3"/>
  <c r="L268" i="3" s="1"/>
  <c r="AL189" i="8"/>
  <c r="AE189" i="8"/>
  <c r="Q268" i="3" l="1"/>
  <c r="J268" i="3"/>
  <c r="K268" i="3" s="1"/>
  <c r="B304" i="2"/>
  <c r="D303" i="10"/>
  <c r="C303" i="3"/>
  <c r="F303" i="10"/>
  <c r="AP189" i="8"/>
  <c r="F190" i="8" s="1"/>
  <c r="AF189" i="8"/>
  <c r="AM189" i="8" s="1"/>
  <c r="AQ189" i="8" s="1"/>
  <c r="G190" i="8" s="1"/>
  <c r="U268" i="3"/>
  <c r="AC268" i="3"/>
  <c r="M268" i="10" s="1"/>
  <c r="N268" i="3" l="1"/>
  <c r="C304" i="10"/>
  <c r="K304" i="2"/>
  <c r="D304" i="2"/>
  <c r="AG189" i="8"/>
  <c r="AH189" i="8" s="1"/>
  <c r="AN189" i="8" s="1"/>
  <c r="AR189" i="8" s="1"/>
  <c r="H190" i="8" s="1"/>
  <c r="X268" i="3"/>
  <c r="V268" i="3"/>
  <c r="Y268" i="3" s="1"/>
  <c r="O268" i="3" l="1"/>
  <c r="E304" i="2"/>
  <c r="F304" i="2" s="1"/>
  <c r="L304" i="2"/>
  <c r="I190" i="8"/>
  <c r="AO189" i="8"/>
  <c r="E269" i="3"/>
  <c r="H268" i="10"/>
  <c r="F269" i="3"/>
  <c r="W268" i="3"/>
  <c r="Z268" i="3" s="1"/>
  <c r="I268" i="10"/>
  <c r="R268" i="3" l="1"/>
  <c r="S268" i="3" s="1"/>
  <c r="P268" i="3"/>
  <c r="E304" i="10"/>
  <c r="B304" i="3"/>
  <c r="G304" i="2"/>
  <c r="H304" i="2" s="1"/>
  <c r="I304" i="2"/>
  <c r="D304" i="3"/>
  <c r="G304" i="10"/>
  <c r="J190" i="8"/>
  <c r="N190" i="8" s="1"/>
  <c r="R190" i="8" s="1"/>
  <c r="AS189" i="8"/>
  <c r="O190" i="8"/>
  <c r="G269" i="3"/>
  <c r="J268" i="10"/>
  <c r="AA268" i="3"/>
  <c r="K268" i="10" s="1"/>
  <c r="T268" i="3" l="1"/>
  <c r="J304" i="2"/>
  <c r="M304" i="2"/>
  <c r="K190" i="8"/>
  <c r="M190" i="8" s="1"/>
  <c r="H269" i="3"/>
  <c r="AB268" i="3" l="1"/>
  <c r="L268" i="10" s="1"/>
  <c r="M269" i="3"/>
  <c r="F304" i="10"/>
  <c r="D304" i="10"/>
  <c r="C304" i="3"/>
  <c r="B305" i="2"/>
  <c r="X190" i="8"/>
  <c r="AI190" i="8"/>
  <c r="P190" i="8"/>
  <c r="Q190" i="8" s="1"/>
  <c r="L190" i="8"/>
  <c r="I269" i="3"/>
  <c r="L269" i="3" s="1"/>
  <c r="D305" i="2" l="1"/>
  <c r="K305" i="2"/>
  <c r="C305" i="10"/>
  <c r="Y190" i="8"/>
  <c r="AA190" i="8" s="1"/>
  <c r="Z190" i="8"/>
  <c r="AB190" i="8" s="1"/>
  <c r="AJ190" i="8"/>
  <c r="S190" i="8"/>
  <c r="AU190" i="8"/>
  <c r="J269" i="3"/>
  <c r="K269" i="3" s="1"/>
  <c r="Q269" i="3"/>
  <c r="E305" i="2" l="1"/>
  <c r="L305" i="2"/>
  <c r="AC190" i="8"/>
  <c r="AK190" i="8"/>
  <c r="T190" i="8"/>
  <c r="V190" i="8" s="1"/>
  <c r="AT190" i="8" s="1"/>
  <c r="AC269" i="3"/>
  <c r="M269" i="10" s="1"/>
  <c r="U269" i="3"/>
  <c r="N269" i="3"/>
  <c r="F305" i="2" l="1"/>
  <c r="B305" i="3"/>
  <c r="E305" i="10"/>
  <c r="AD190" i="8"/>
  <c r="X269" i="3"/>
  <c r="V269" i="3"/>
  <c r="Y269" i="3" s="1"/>
  <c r="O269" i="3"/>
  <c r="G305" i="2" l="1"/>
  <c r="AL190" i="8"/>
  <c r="AP190" i="8" s="1"/>
  <c r="F191" i="8" s="1"/>
  <c r="AE190" i="8"/>
  <c r="H269" i="10"/>
  <c r="E270" i="3"/>
  <c r="I269" i="10"/>
  <c r="P269" i="3"/>
  <c r="F270" i="3"/>
  <c r="R269" i="3"/>
  <c r="S269" i="3" s="1"/>
  <c r="W269" i="3"/>
  <c r="Z269" i="3" s="1"/>
  <c r="I305" i="2" l="1"/>
  <c r="H305" i="2"/>
  <c r="AF190" i="8"/>
  <c r="AM190" i="8" s="1"/>
  <c r="AQ190" i="8" s="1"/>
  <c r="G191" i="8" s="1"/>
  <c r="AA269" i="3"/>
  <c r="K269" i="10" s="1"/>
  <c r="J269" i="10"/>
  <c r="G270" i="3"/>
  <c r="T269" i="3"/>
  <c r="M305" i="2" l="1"/>
  <c r="D305" i="3"/>
  <c r="J305" i="2"/>
  <c r="G305" i="10"/>
  <c r="AG190" i="8"/>
  <c r="AH190" i="8" s="1"/>
  <c r="AN190" i="8" s="1"/>
  <c r="AR190" i="8" s="1"/>
  <c r="H191" i="8" s="1"/>
  <c r="H270" i="3"/>
  <c r="AB269" i="3"/>
  <c r="L269" i="10" s="1"/>
  <c r="C305" i="3" l="1"/>
  <c r="B306" i="2"/>
  <c r="F305" i="10"/>
  <c r="D305" i="10"/>
  <c r="I191" i="8"/>
  <c r="AO190" i="8"/>
  <c r="I270" i="3"/>
  <c r="L270" i="3" s="1"/>
  <c r="M270" i="3"/>
  <c r="D306" i="2" l="1"/>
  <c r="K306" i="2"/>
  <c r="C306" i="10"/>
  <c r="J191" i="8"/>
  <c r="N191" i="8" s="1"/>
  <c r="R191" i="8" s="1"/>
  <c r="O191" i="8"/>
  <c r="AS190" i="8"/>
  <c r="J270" i="3"/>
  <c r="K270" i="3" s="1"/>
  <c r="Q270" i="3"/>
  <c r="E306" i="2" l="1"/>
  <c r="L306" i="2"/>
  <c r="AC270" i="3"/>
  <c r="M270" i="10" s="1"/>
  <c r="N270" i="3"/>
  <c r="K191" i="8"/>
  <c r="M191" i="8" s="1"/>
  <c r="U270" i="3"/>
  <c r="V270" i="3" s="1"/>
  <c r="Y270" i="3" s="1"/>
  <c r="O270" i="3"/>
  <c r="B306" i="3" l="1"/>
  <c r="E306" i="10"/>
  <c r="F306" i="2"/>
  <c r="P270" i="3"/>
  <c r="R270" i="3"/>
  <c r="S270" i="3" s="1"/>
  <c r="P191" i="8"/>
  <c r="Q191" i="8" s="1"/>
  <c r="X191" i="8"/>
  <c r="AI191" i="8"/>
  <c r="L191" i="8"/>
  <c r="AU191" i="8" s="1"/>
  <c r="X270" i="3"/>
  <c r="F271" i="3"/>
  <c r="I270" i="10"/>
  <c r="W270" i="3"/>
  <c r="G306" i="2" l="1"/>
  <c r="T270" i="3"/>
  <c r="AB270" i="3" s="1"/>
  <c r="L270" i="10" s="1"/>
  <c r="S191" i="8"/>
  <c r="Y191" i="8"/>
  <c r="AA191" i="8" s="1"/>
  <c r="Z191" i="8"/>
  <c r="AB191" i="8" s="1"/>
  <c r="AJ191" i="8"/>
  <c r="H306" i="2"/>
  <c r="E271" i="3"/>
  <c r="H270" i="10"/>
  <c r="AA270" i="3"/>
  <c r="K270" i="10" s="1"/>
  <c r="Z270" i="3"/>
  <c r="I306" i="2" l="1"/>
  <c r="G306" i="10"/>
  <c r="D306" i="3"/>
  <c r="M306" i="2"/>
  <c r="J306" i="2"/>
  <c r="J270" i="10"/>
  <c r="AC191" i="8"/>
  <c r="T191" i="8"/>
  <c r="V191" i="8" s="1"/>
  <c r="AK191" i="8"/>
  <c r="G271" i="3"/>
  <c r="C306" i="3" l="1"/>
  <c r="B307" i="2"/>
  <c r="F306" i="10"/>
  <c r="D306" i="10"/>
  <c r="AD191" i="8"/>
  <c r="AT191" i="8"/>
  <c r="H271" i="3"/>
  <c r="K307" i="2" l="1"/>
  <c r="D307" i="2"/>
  <c r="C307" i="10"/>
  <c r="AE191" i="8"/>
  <c r="AL191" i="8"/>
  <c r="I271" i="3"/>
  <c r="L271" i="3" s="1"/>
  <c r="M271" i="3"/>
  <c r="L307" i="2" l="1"/>
  <c r="E307" i="2"/>
  <c r="AF191" i="8"/>
  <c r="AM191" i="8" s="1"/>
  <c r="AP191" i="8"/>
  <c r="F192" i="8" s="1"/>
  <c r="Q271" i="3"/>
  <c r="J271" i="3"/>
  <c r="F307" i="2" l="1"/>
  <c r="B307" i="3"/>
  <c r="E307" i="10"/>
  <c r="AQ191" i="8"/>
  <c r="G192" i="8" s="1"/>
  <c r="AG191" i="8"/>
  <c r="AH191" i="8" s="1"/>
  <c r="AN191" i="8" s="1"/>
  <c r="AC271" i="3"/>
  <c r="M271" i="10" s="1"/>
  <c r="K271" i="3"/>
  <c r="G307" i="2" l="1"/>
  <c r="H307" i="2" s="1"/>
  <c r="N271" i="3"/>
  <c r="AO191" i="8"/>
  <c r="AR191" i="8"/>
  <c r="H192" i="8" s="1"/>
  <c r="U271" i="3"/>
  <c r="I307" i="2" l="1"/>
  <c r="G307" i="10"/>
  <c r="D307" i="3"/>
  <c r="V271" i="3"/>
  <c r="Y271" i="3" s="1"/>
  <c r="O271" i="3"/>
  <c r="I192" i="8"/>
  <c r="X271" i="3"/>
  <c r="AS191" i="8"/>
  <c r="M307" i="2" l="1"/>
  <c r="J307" i="2"/>
  <c r="W271" i="3"/>
  <c r="Z271" i="3" s="1"/>
  <c r="R271" i="3"/>
  <c r="S271" i="3" s="1"/>
  <c r="F272" i="3"/>
  <c r="I271" i="10"/>
  <c r="P271" i="3"/>
  <c r="J192" i="8"/>
  <c r="N192" i="8" s="1"/>
  <c r="R192" i="8" s="1"/>
  <c r="H271" i="10"/>
  <c r="E272" i="3"/>
  <c r="O192" i="8"/>
  <c r="F307" i="10" l="1"/>
  <c r="D307" i="10"/>
  <c r="B308" i="2"/>
  <c r="C307" i="3"/>
  <c r="G272" i="3"/>
  <c r="AA271" i="3"/>
  <c r="K271" i="10" s="1"/>
  <c r="J271" i="10"/>
  <c r="T271" i="3"/>
  <c r="K192" i="8"/>
  <c r="M192" i="8" s="1"/>
  <c r="C308" i="10"/>
  <c r="K308" i="2" l="1"/>
  <c r="H272" i="3"/>
  <c r="D308" i="2"/>
  <c r="AB271" i="3"/>
  <c r="L271" i="10" s="1"/>
  <c r="X192" i="8"/>
  <c r="P192" i="8"/>
  <c r="Q192" i="8" s="1"/>
  <c r="AI192" i="8"/>
  <c r="L192" i="8"/>
  <c r="AU192" i="8" s="1"/>
  <c r="I272" i="3"/>
  <c r="L272" i="3" s="1"/>
  <c r="M272" i="3" l="1"/>
  <c r="E308" i="2"/>
  <c r="L308" i="2"/>
  <c r="Z192" i="8"/>
  <c r="AB192" i="8" s="1"/>
  <c r="Y192" i="8"/>
  <c r="AA192" i="8" s="1"/>
  <c r="S192" i="8"/>
  <c r="AJ192" i="8"/>
  <c r="Q272" i="3"/>
  <c r="J272" i="3"/>
  <c r="K272" i="3" s="1"/>
  <c r="F308" i="2" l="1"/>
  <c r="B308" i="3"/>
  <c r="E308" i="10"/>
  <c r="AC192" i="8"/>
  <c r="T192" i="8"/>
  <c r="V192" i="8" s="1"/>
  <c r="AT192" i="8" s="1"/>
  <c r="AK192" i="8"/>
  <c r="AC272" i="3"/>
  <c r="M272" i="10" s="1"/>
  <c r="U272" i="3"/>
  <c r="N272" i="3"/>
  <c r="O272" i="3"/>
  <c r="G308" i="2" l="1"/>
  <c r="AD192" i="8"/>
  <c r="AL192" i="8" s="1"/>
  <c r="X272" i="3"/>
  <c r="V272" i="3"/>
  <c r="Y272" i="3" s="1"/>
  <c r="P272" i="3"/>
  <c r="R272" i="3"/>
  <c r="S272" i="3" s="1"/>
  <c r="I308" i="2" l="1"/>
  <c r="H308" i="2"/>
  <c r="AP192" i="8"/>
  <c r="F193" i="8" s="1"/>
  <c r="AE192" i="8"/>
  <c r="H272" i="10"/>
  <c r="E273" i="3"/>
  <c r="I272" i="10"/>
  <c r="F273" i="3"/>
  <c r="W272" i="3"/>
  <c r="Z272" i="3" s="1"/>
  <c r="T272" i="3"/>
  <c r="M308" i="2" l="1"/>
  <c r="J308" i="2"/>
  <c r="D308" i="3"/>
  <c r="G308" i="10"/>
  <c r="AF192" i="8"/>
  <c r="AM192" i="8" s="1"/>
  <c r="F308" i="10"/>
  <c r="C308" i="3"/>
  <c r="D308" i="10"/>
  <c r="B309" i="2"/>
  <c r="G273" i="3"/>
  <c r="J272" i="10"/>
  <c r="AB272" i="3"/>
  <c r="L272" i="10" s="1"/>
  <c r="AA272" i="3"/>
  <c r="K272" i="10" s="1"/>
  <c r="AQ192" i="8" l="1"/>
  <c r="G193" i="8" s="1"/>
  <c r="AG192" i="8"/>
  <c r="AH192" i="8" s="1"/>
  <c r="AN192" i="8" s="1"/>
  <c r="AR192" i="8" s="1"/>
  <c r="H193" i="8" s="1"/>
  <c r="D309" i="2"/>
  <c r="C309" i="10"/>
  <c r="K309" i="2"/>
  <c r="H273" i="3"/>
  <c r="E309" i="2" l="1"/>
  <c r="I193" i="8"/>
  <c r="AO192" i="8"/>
  <c r="L309" i="2"/>
  <c r="I273" i="3"/>
  <c r="L273" i="3" s="1"/>
  <c r="M273" i="3"/>
  <c r="F309" i="2" l="1"/>
  <c r="O193" i="8"/>
  <c r="AS192" i="8"/>
  <c r="J193" i="8"/>
  <c r="N193" i="8" s="1"/>
  <c r="R193" i="8" s="1"/>
  <c r="E309" i="10"/>
  <c r="B309" i="3"/>
  <c r="Q273" i="3"/>
  <c r="J273" i="3"/>
  <c r="K273" i="3" s="1"/>
  <c r="G309" i="2" l="1"/>
  <c r="H309" i="2" s="1"/>
  <c r="K193" i="8"/>
  <c r="M193" i="8" s="1"/>
  <c r="N273" i="3"/>
  <c r="O273" i="3" s="1"/>
  <c r="U273" i="3"/>
  <c r="V273" i="3" s="1"/>
  <c r="Y273" i="3" s="1"/>
  <c r="AC273" i="3"/>
  <c r="M273" i="10" s="1"/>
  <c r="I309" i="2" l="1"/>
  <c r="G309" i="10"/>
  <c r="D309" i="3"/>
  <c r="L193" i="8"/>
  <c r="P193" i="8"/>
  <c r="Q193" i="8" s="1"/>
  <c r="AI193" i="8"/>
  <c r="X193" i="8"/>
  <c r="X273" i="3"/>
  <c r="P273" i="3"/>
  <c r="F274" i="3"/>
  <c r="I273" i="10"/>
  <c r="R273" i="3"/>
  <c r="S273" i="3" s="1"/>
  <c r="W273" i="3"/>
  <c r="J309" i="2" l="1"/>
  <c r="M309" i="2"/>
  <c r="AU193" i="8"/>
  <c r="S193" i="8"/>
  <c r="AJ193" i="8"/>
  <c r="Y193" i="8"/>
  <c r="AA193" i="8" s="1"/>
  <c r="Z193" i="8"/>
  <c r="AB193" i="8" s="1"/>
  <c r="E274" i="3"/>
  <c r="H273" i="10"/>
  <c r="Z273" i="3"/>
  <c r="T273" i="3"/>
  <c r="AB273" i="3" s="1"/>
  <c r="L273" i="10" s="1"/>
  <c r="AA273" i="3"/>
  <c r="K273" i="10" s="1"/>
  <c r="D309" i="10" l="1"/>
  <c r="F309" i="10"/>
  <c r="C309" i="3"/>
  <c r="B310" i="2"/>
  <c r="C310" i="10"/>
  <c r="K310" i="2"/>
  <c r="T193" i="8"/>
  <c r="V193" i="8" s="1"/>
  <c r="AC193" i="8"/>
  <c r="AK193" i="8"/>
  <c r="G274" i="3"/>
  <c r="J273" i="10"/>
  <c r="D310" i="2" l="1"/>
  <c r="AT193" i="8"/>
  <c r="AD193" i="8"/>
  <c r="H274" i="3"/>
  <c r="E310" i="2" l="1"/>
  <c r="F310" i="2" s="1"/>
  <c r="L310" i="2"/>
  <c r="E310" i="10"/>
  <c r="B310" i="3"/>
  <c r="AL193" i="8"/>
  <c r="AE193" i="8"/>
  <c r="AF193" i="8"/>
  <c r="AM193" i="8" s="1"/>
  <c r="AQ193" i="8" s="1"/>
  <c r="G194" i="8" s="1"/>
  <c r="I274" i="3"/>
  <c r="L274" i="3" s="1"/>
  <c r="M274" i="3"/>
  <c r="G310" i="2" l="1"/>
  <c r="AP193" i="8"/>
  <c r="F194" i="8" s="1"/>
  <c r="AG193" i="8"/>
  <c r="AH193" i="8" s="1"/>
  <c r="AN193" i="8" s="1"/>
  <c r="J274" i="3"/>
  <c r="K274" i="3" s="1"/>
  <c r="Q274" i="3"/>
  <c r="I310" i="2" l="1"/>
  <c r="H310" i="2"/>
  <c r="M310" i="2"/>
  <c r="J310" i="2"/>
  <c r="D310" i="3"/>
  <c r="G310" i="10"/>
  <c r="AO193" i="8"/>
  <c r="AS193" i="8" s="1"/>
  <c r="AR193" i="8"/>
  <c r="H194" i="8" s="1"/>
  <c r="AC274" i="3"/>
  <c r="M274" i="10" s="1"/>
  <c r="U274" i="3"/>
  <c r="V274" i="3" s="1"/>
  <c r="Y274" i="3" s="1"/>
  <c r="N274" i="3"/>
  <c r="C310" i="3" l="1"/>
  <c r="B311" i="2"/>
  <c r="F310" i="10"/>
  <c r="D310" i="10"/>
  <c r="I194" i="8"/>
  <c r="W274" i="3"/>
  <c r="Z274" i="3" s="1"/>
  <c r="X274" i="3"/>
  <c r="O274" i="3"/>
  <c r="F275" i="3"/>
  <c r="I274" i="10"/>
  <c r="D311" i="2"/>
  <c r="K311" i="2" l="1"/>
  <c r="C311" i="10"/>
  <c r="H274" i="10"/>
  <c r="E275" i="3"/>
  <c r="O194" i="8"/>
  <c r="J194" i="8"/>
  <c r="N194" i="8" s="1"/>
  <c r="R194" i="8" s="1"/>
  <c r="P274" i="3"/>
  <c r="R274" i="3"/>
  <c r="S274" i="3" s="1"/>
  <c r="G275" i="3"/>
  <c r="H275" i="3" s="1"/>
  <c r="J274" i="10"/>
  <c r="AA274" i="3"/>
  <c r="K274" i="10" s="1"/>
  <c r="E311" i="2"/>
  <c r="L311" i="2"/>
  <c r="K194" i="8" l="1"/>
  <c r="M194" i="8" s="1"/>
  <c r="T274" i="3"/>
  <c r="I275" i="3"/>
  <c r="L275" i="3" s="1"/>
  <c r="M275" i="3"/>
  <c r="F311" i="2"/>
  <c r="B311" i="3"/>
  <c r="E311" i="10"/>
  <c r="L194" i="8" l="1"/>
  <c r="AI194" i="8"/>
  <c r="P194" i="8"/>
  <c r="Q194" i="8" s="1"/>
  <c r="X194" i="8"/>
  <c r="AB274" i="3"/>
  <c r="L274" i="10" s="1"/>
  <c r="Q275" i="3"/>
  <c r="J275" i="3"/>
  <c r="K275" i="3" s="1"/>
  <c r="G311" i="2"/>
  <c r="H311" i="2" s="1"/>
  <c r="AU194" i="8" l="1"/>
  <c r="AJ194" i="8"/>
  <c r="S194" i="8"/>
  <c r="Y194" i="8"/>
  <c r="AA194" i="8" s="1"/>
  <c r="Z194" i="8"/>
  <c r="AB194" i="8" s="1"/>
  <c r="U275" i="3"/>
  <c r="N275" i="3"/>
  <c r="AC275" i="3"/>
  <c r="M275" i="10" s="1"/>
  <c r="D311" i="3"/>
  <c r="G311" i="10"/>
  <c r="I311" i="2"/>
  <c r="AC194" i="8" l="1"/>
  <c r="AK194" i="8"/>
  <c r="T194" i="8"/>
  <c r="V194" i="8" s="1"/>
  <c r="X275" i="3"/>
  <c r="V275" i="3"/>
  <c r="O275" i="3"/>
  <c r="R275" i="3" s="1"/>
  <c r="S275" i="3" s="1"/>
  <c r="J311" i="2"/>
  <c r="M311" i="2"/>
  <c r="AD194" i="8" l="1"/>
  <c r="AT194" i="8"/>
  <c r="T275" i="3"/>
  <c r="H275" i="10"/>
  <c r="E276" i="3"/>
  <c r="W275" i="3"/>
  <c r="Y275" i="3"/>
  <c r="P275" i="3"/>
  <c r="D311" i="10"/>
  <c r="B312" i="2"/>
  <c r="F311" i="10"/>
  <c r="C311" i="3"/>
  <c r="AB275" i="3" l="1"/>
  <c r="L275" i="10" s="1"/>
  <c r="AE194" i="8"/>
  <c r="AL194" i="8"/>
  <c r="AA275" i="3"/>
  <c r="K275" i="10" s="1"/>
  <c r="Z275" i="3"/>
  <c r="I275" i="10"/>
  <c r="F276" i="3"/>
  <c r="D312" i="2"/>
  <c r="K312" i="2"/>
  <c r="C312" i="10"/>
  <c r="AF194" i="8" l="1"/>
  <c r="AM194" i="8" s="1"/>
  <c r="AQ194" i="8" s="1"/>
  <c r="G195" i="8" s="1"/>
  <c r="AP194" i="8"/>
  <c r="F195" i="8" s="1"/>
  <c r="J275" i="10"/>
  <c r="G276" i="3"/>
  <c r="E312" i="2"/>
  <c r="L312" i="2"/>
  <c r="AG194" i="8" l="1"/>
  <c r="AH194" i="8" s="1"/>
  <c r="AN194" i="8" s="1"/>
  <c r="AR194" i="8" s="1"/>
  <c r="H195" i="8" s="1"/>
  <c r="H276" i="3"/>
  <c r="F312" i="2"/>
  <c r="B312" i="3"/>
  <c r="E312" i="10"/>
  <c r="I195" i="8" l="1"/>
  <c r="AO194" i="8"/>
  <c r="AS194" i="8" s="1"/>
  <c r="I276" i="3"/>
  <c r="L276" i="3" s="1"/>
  <c r="Q276" i="3" s="1"/>
  <c r="M276" i="3"/>
  <c r="G312" i="2"/>
  <c r="J195" i="8" l="1"/>
  <c r="N195" i="8" s="1"/>
  <c r="R195" i="8" s="1"/>
  <c r="O195" i="8"/>
  <c r="J276" i="3"/>
  <c r="I312" i="2"/>
  <c r="H312" i="2"/>
  <c r="K195" i="8" l="1"/>
  <c r="L195" i="8"/>
  <c r="AC276" i="3"/>
  <c r="M276" i="10" s="1"/>
  <c r="K276" i="3"/>
  <c r="M312" i="2"/>
  <c r="J312" i="2"/>
  <c r="D312" i="3"/>
  <c r="G312" i="10"/>
  <c r="M195" i="8" l="1"/>
  <c r="X195" i="8"/>
  <c r="P195" i="8"/>
  <c r="Q195" i="8" s="1"/>
  <c r="AI195" i="8"/>
  <c r="AU195" i="8"/>
  <c r="N276" i="3"/>
  <c r="U276" i="3"/>
  <c r="F312" i="10"/>
  <c r="C312" i="3"/>
  <c r="D312" i="10"/>
  <c r="B313" i="2"/>
  <c r="Y195" i="8" l="1"/>
  <c r="AA195" i="8" s="1"/>
  <c r="Z195" i="8"/>
  <c r="AB195" i="8" s="1"/>
  <c r="S195" i="8"/>
  <c r="AJ195" i="8"/>
  <c r="X276" i="3"/>
  <c r="O276" i="3"/>
  <c r="V276" i="3"/>
  <c r="Y276" i="3" s="1"/>
  <c r="D313" i="2"/>
  <c r="K313" i="2"/>
  <c r="C313" i="10"/>
  <c r="AC195" i="8" l="1"/>
  <c r="T195" i="8"/>
  <c r="V195" i="8" s="1"/>
  <c r="AK195" i="8"/>
  <c r="H276" i="10"/>
  <c r="E277" i="3"/>
  <c r="R276" i="3"/>
  <c r="S276" i="3" s="1"/>
  <c r="F277" i="3"/>
  <c r="I276" i="10"/>
  <c r="P276" i="3"/>
  <c r="W276" i="3"/>
  <c r="Z276" i="3" s="1"/>
  <c r="E313" i="2"/>
  <c r="L313" i="2"/>
  <c r="AD195" i="8" l="1"/>
  <c r="AT195" i="8"/>
  <c r="J276" i="10"/>
  <c r="G277" i="3"/>
  <c r="T276" i="3"/>
  <c r="AA276" i="3"/>
  <c r="K276" i="10" s="1"/>
  <c r="F313" i="2"/>
  <c r="B313" i="3"/>
  <c r="E313" i="10"/>
  <c r="AL195" i="8" l="1"/>
  <c r="AE195" i="8"/>
  <c r="H277" i="3"/>
  <c r="AB276" i="3"/>
  <c r="L276" i="10" s="1"/>
  <c r="G313" i="2"/>
  <c r="AP195" i="8" l="1"/>
  <c r="F196" i="8" s="1"/>
  <c r="AF195" i="8"/>
  <c r="AM195" i="8" s="1"/>
  <c r="AQ195" i="8" s="1"/>
  <c r="G196" i="8" s="1"/>
  <c r="I277" i="3"/>
  <c r="L277" i="3" s="1"/>
  <c r="Q277" i="3" s="1"/>
  <c r="M277" i="3"/>
  <c r="I313" i="2"/>
  <c r="H313" i="2"/>
  <c r="AG195" i="8" l="1"/>
  <c r="AH195" i="8" s="1"/>
  <c r="AN195" i="8" s="1"/>
  <c r="J277" i="3"/>
  <c r="K277" i="3" s="1"/>
  <c r="M313" i="2"/>
  <c r="J313" i="2"/>
  <c r="D313" i="3"/>
  <c r="G313" i="10"/>
  <c r="AO195" i="8" l="1"/>
  <c r="AR195" i="8"/>
  <c r="H196" i="8" s="1"/>
  <c r="N277" i="3"/>
  <c r="U277" i="3"/>
  <c r="AC277" i="3"/>
  <c r="M277" i="10" s="1"/>
  <c r="F313" i="10"/>
  <c r="C313" i="3"/>
  <c r="D313" i="10"/>
  <c r="B314" i="2"/>
  <c r="I196" i="8" l="1"/>
  <c r="AS195" i="8"/>
  <c r="O277" i="3"/>
  <c r="V277" i="3"/>
  <c r="Y277" i="3" s="1"/>
  <c r="X277" i="3"/>
  <c r="D314" i="2"/>
  <c r="K314" i="2"/>
  <c r="C314" i="10"/>
  <c r="J196" i="8" l="1"/>
  <c r="N196" i="8" s="1"/>
  <c r="R196" i="8" s="1"/>
  <c r="O196" i="8"/>
  <c r="R277" i="3"/>
  <c r="S277" i="3" s="1"/>
  <c r="F278" i="3"/>
  <c r="I277" i="10"/>
  <c r="H277" i="10"/>
  <c r="E278" i="3"/>
  <c r="W277" i="3"/>
  <c r="Z277" i="3" s="1"/>
  <c r="P277" i="3"/>
  <c r="E314" i="2"/>
  <c r="L314" i="2"/>
  <c r="K196" i="8" l="1"/>
  <c r="M196" i="8" s="1"/>
  <c r="G278" i="3"/>
  <c r="J277" i="10"/>
  <c r="AA277" i="3"/>
  <c r="K277" i="10" s="1"/>
  <c r="T277" i="3"/>
  <c r="F314" i="2"/>
  <c r="B314" i="3"/>
  <c r="E314" i="10"/>
  <c r="AI196" i="8" l="1"/>
  <c r="P196" i="8"/>
  <c r="Q196" i="8" s="1"/>
  <c r="X196" i="8"/>
  <c r="L196" i="8"/>
  <c r="AB277" i="3"/>
  <c r="L277" i="10" s="1"/>
  <c r="H278" i="3"/>
  <c r="G314" i="2"/>
  <c r="M278" i="3" l="1"/>
  <c r="AJ196" i="8"/>
  <c r="S196" i="8"/>
  <c r="Y196" i="8"/>
  <c r="AA196" i="8" s="1"/>
  <c r="Z196" i="8"/>
  <c r="AB196" i="8" s="1"/>
  <c r="AU196" i="8"/>
  <c r="I278" i="3"/>
  <c r="L278" i="3" s="1"/>
  <c r="Q278" i="3" s="1"/>
  <c r="I314" i="2"/>
  <c r="H314" i="2"/>
  <c r="T196" i="8" l="1"/>
  <c r="V196" i="8" s="1"/>
  <c r="AC196" i="8"/>
  <c r="AK196" i="8"/>
  <c r="J278" i="3"/>
  <c r="M314" i="2"/>
  <c r="J314" i="2"/>
  <c r="D314" i="3"/>
  <c r="G314" i="10"/>
  <c r="AT196" i="8" l="1"/>
  <c r="AD196" i="8"/>
  <c r="AC278" i="3"/>
  <c r="M278" i="10" s="1"/>
  <c r="K278" i="3"/>
  <c r="F314" i="10"/>
  <c r="C314" i="3"/>
  <c r="D314" i="10"/>
  <c r="B315" i="2"/>
  <c r="AE196" i="8" l="1"/>
  <c r="AL196" i="8"/>
  <c r="U278" i="3"/>
  <c r="N278" i="3"/>
  <c r="D315" i="2"/>
  <c r="K315" i="2"/>
  <c r="C315" i="10"/>
  <c r="AF196" i="8" l="1"/>
  <c r="AM196" i="8" s="1"/>
  <c r="AQ196" i="8" s="1"/>
  <c r="G197" i="8" s="1"/>
  <c r="AP196" i="8"/>
  <c r="F197" i="8" s="1"/>
  <c r="X278" i="3"/>
  <c r="V278" i="3"/>
  <c r="Y278" i="3" s="1"/>
  <c r="O278" i="3"/>
  <c r="E315" i="2"/>
  <c r="L315" i="2"/>
  <c r="AG196" i="8" l="1"/>
  <c r="AH196" i="8" s="1"/>
  <c r="AN196" i="8" s="1"/>
  <c r="H278" i="10"/>
  <c r="E279" i="3"/>
  <c r="I278" i="10"/>
  <c r="F279" i="3"/>
  <c r="R278" i="3"/>
  <c r="S278" i="3" s="1"/>
  <c r="W278" i="3"/>
  <c r="Z278" i="3" s="1"/>
  <c r="P278" i="3"/>
  <c r="F315" i="2"/>
  <c r="B315" i="3"/>
  <c r="E315" i="10"/>
  <c r="AO196" i="8" l="1"/>
  <c r="AR196" i="8"/>
  <c r="H197" i="8" s="1"/>
  <c r="AA278" i="3"/>
  <c r="K278" i="10" s="1"/>
  <c r="G279" i="3"/>
  <c r="J278" i="10"/>
  <c r="T278" i="3"/>
  <c r="G315" i="2"/>
  <c r="AS196" i="8" l="1"/>
  <c r="I197" i="8"/>
  <c r="H279" i="3"/>
  <c r="AB278" i="3"/>
  <c r="L278" i="10" s="1"/>
  <c r="I315" i="2"/>
  <c r="H315" i="2"/>
  <c r="O197" i="8" l="1"/>
  <c r="J197" i="8"/>
  <c r="N197" i="8" s="1"/>
  <c r="I279" i="3"/>
  <c r="L279" i="3" s="1"/>
  <c r="Q279" i="3" s="1"/>
  <c r="M279" i="3"/>
  <c r="M315" i="2"/>
  <c r="J315" i="2"/>
  <c r="D315" i="3"/>
  <c r="G315" i="10"/>
  <c r="K197" i="8" l="1"/>
  <c r="M197" i="8" s="1"/>
  <c r="R197" i="8"/>
  <c r="J279" i="3"/>
  <c r="K279" i="3" s="1"/>
  <c r="F315" i="10"/>
  <c r="C315" i="3"/>
  <c r="D315" i="10"/>
  <c r="B316" i="2"/>
  <c r="P197" i="8" l="1"/>
  <c r="Q197" i="8" s="1"/>
  <c r="X197" i="8"/>
  <c r="AI197" i="8"/>
  <c r="L197" i="8"/>
  <c r="AU197" i="8" s="1"/>
  <c r="Y197" i="8"/>
  <c r="AA197" i="8" s="1"/>
  <c r="Z197" i="8"/>
  <c r="AB197" i="8" s="1"/>
  <c r="U279" i="3"/>
  <c r="N279" i="3"/>
  <c r="AC279" i="3"/>
  <c r="M279" i="10" s="1"/>
  <c r="D316" i="2"/>
  <c r="K316" i="2"/>
  <c r="C316" i="10"/>
  <c r="S197" i="8" l="1"/>
  <c r="AJ197" i="8"/>
  <c r="AC197" i="8"/>
  <c r="V279" i="3"/>
  <c r="Y279" i="3" s="1"/>
  <c r="O279" i="3"/>
  <c r="X279" i="3"/>
  <c r="E316" i="2"/>
  <c r="L316" i="2"/>
  <c r="P279" i="3" l="1"/>
  <c r="AK197" i="8"/>
  <c r="T197" i="8"/>
  <c r="V197" i="8" s="1"/>
  <c r="AD197" i="8"/>
  <c r="W279" i="3"/>
  <c r="Z279" i="3" s="1"/>
  <c r="F280" i="3"/>
  <c r="I279" i="10"/>
  <c r="R279" i="3"/>
  <c r="S279" i="3" s="1"/>
  <c r="E280" i="3"/>
  <c r="H279" i="10"/>
  <c r="F316" i="2"/>
  <c r="B316" i="3"/>
  <c r="E316" i="10"/>
  <c r="AT197" i="8" l="1"/>
  <c r="AE197" i="8"/>
  <c r="AL197" i="8"/>
  <c r="G280" i="3"/>
  <c r="J279" i="10"/>
  <c r="T279" i="3"/>
  <c r="AA279" i="3"/>
  <c r="K279" i="10" s="1"/>
  <c r="G316" i="2"/>
  <c r="AF197" i="8" l="1"/>
  <c r="AM197" i="8" s="1"/>
  <c r="AQ197" i="8" s="1"/>
  <c r="G198" i="8" s="1"/>
  <c r="AP197" i="8"/>
  <c r="F198" i="8" s="1"/>
  <c r="H280" i="3"/>
  <c r="AB279" i="3"/>
  <c r="L279" i="10" s="1"/>
  <c r="I316" i="2"/>
  <c r="H316" i="2"/>
  <c r="M280" i="3" l="1"/>
  <c r="I280" i="3"/>
  <c r="L280" i="3" s="1"/>
  <c r="Q280" i="3" s="1"/>
  <c r="AG197" i="8"/>
  <c r="AH197" i="8" s="1"/>
  <c r="AN197" i="8" s="1"/>
  <c r="M316" i="2"/>
  <c r="J316" i="2"/>
  <c r="D316" i="3"/>
  <c r="G316" i="10"/>
  <c r="J280" i="3" l="1"/>
  <c r="K280" i="3" s="1"/>
  <c r="AO197" i="8"/>
  <c r="AS197" i="8" s="1"/>
  <c r="AR197" i="8"/>
  <c r="H198" i="8" s="1"/>
  <c r="F316" i="10"/>
  <c r="C316" i="3"/>
  <c r="D316" i="10"/>
  <c r="B317" i="2"/>
  <c r="N280" i="3" l="1"/>
  <c r="U280" i="3"/>
  <c r="AC280" i="3"/>
  <c r="M280" i="10" s="1"/>
  <c r="I198" i="8"/>
  <c r="D317" i="2"/>
  <c r="K317" i="2"/>
  <c r="C317" i="10"/>
  <c r="O280" i="3" l="1"/>
  <c r="V280" i="3"/>
  <c r="Y280" i="3" s="1"/>
  <c r="X280" i="3"/>
  <c r="O198" i="8"/>
  <c r="J198" i="8"/>
  <c r="N198" i="8" s="1"/>
  <c r="R280" i="3"/>
  <c r="S280" i="3" s="1"/>
  <c r="E317" i="2"/>
  <c r="L317" i="2"/>
  <c r="I280" i="10" l="1"/>
  <c r="F281" i="3"/>
  <c r="P280" i="3"/>
  <c r="W280" i="3"/>
  <c r="Z280" i="3" s="1"/>
  <c r="H280" i="10"/>
  <c r="E281" i="3"/>
  <c r="R198" i="8"/>
  <c r="K198" i="8"/>
  <c r="M198" i="8" s="1"/>
  <c r="T280" i="3"/>
  <c r="AB280" i="3" s="1"/>
  <c r="L280" i="10" s="1"/>
  <c r="F317" i="2"/>
  <c r="B317" i="3"/>
  <c r="E317" i="10"/>
  <c r="J280" i="10" l="1"/>
  <c r="G281" i="3"/>
  <c r="AA280" i="3"/>
  <c r="K280" i="10" s="1"/>
  <c r="P198" i="8"/>
  <c r="Q198" i="8" s="1"/>
  <c r="X198" i="8"/>
  <c r="AI198" i="8"/>
  <c r="L198" i="8"/>
  <c r="G317" i="2"/>
  <c r="H281" i="3" l="1"/>
  <c r="S198" i="8"/>
  <c r="Z198" i="8"/>
  <c r="AB198" i="8" s="1"/>
  <c r="Y198" i="8"/>
  <c r="AA198" i="8" s="1"/>
  <c r="AJ198" i="8"/>
  <c r="AU198" i="8"/>
  <c r="I317" i="2"/>
  <c r="H317" i="2"/>
  <c r="I281" i="3" l="1"/>
  <c r="L281" i="3" s="1"/>
  <c r="Q281" i="3" s="1"/>
  <c r="M281" i="3"/>
  <c r="T198" i="8"/>
  <c r="V198" i="8" s="1"/>
  <c r="AC198" i="8"/>
  <c r="AK198" i="8"/>
  <c r="M317" i="2"/>
  <c r="J317" i="2"/>
  <c r="D317" i="3"/>
  <c r="G317" i="10"/>
  <c r="J281" i="3" l="1"/>
  <c r="K281" i="3" s="1"/>
  <c r="AT198" i="8"/>
  <c r="N281" i="3"/>
  <c r="U281" i="3"/>
  <c r="AD198" i="8"/>
  <c r="F317" i="10"/>
  <c r="C317" i="3"/>
  <c r="D317" i="10"/>
  <c r="B318" i="2"/>
  <c r="AC281" i="3" l="1"/>
  <c r="M281" i="10" s="1"/>
  <c r="AE198" i="8"/>
  <c r="AL198" i="8"/>
  <c r="X281" i="3"/>
  <c r="O281" i="3"/>
  <c r="V281" i="3"/>
  <c r="Y281" i="3" s="1"/>
  <c r="W281" i="3"/>
  <c r="D318" i="2"/>
  <c r="K318" i="2"/>
  <c r="C318" i="10"/>
  <c r="H281" i="10" l="1"/>
  <c r="E282" i="3"/>
  <c r="R281" i="3"/>
  <c r="S281" i="3" s="1"/>
  <c r="F282" i="3"/>
  <c r="I281" i="10"/>
  <c r="P281" i="3"/>
  <c r="AF198" i="8"/>
  <c r="AM198" i="8" s="1"/>
  <c r="AQ198" i="8" s="1"/>
  <c r="G199" i="8" s="1"/>
  <c r="AP198" i="8"/>
  <c r="F199" i="8" s="1"/>
  <c r="AA281" i="3"/>
  <c r="K281" i="10" s="1"/>
  <c r="Z281" i="3"/>
  <c r="E318" i="2"/>
  <c r="L318" i="2"/>
  <c r="T281" i="3" l="1"/>
  <c r="AG198" i="8"/>
  <c r="AH198" i="8" s="1"/>
  <c r="AN198" i="8" s="1"/>
  <c r="J281" i="10"/>
  <c r="G282" i="3"/>
  <c r="F318" i="2"/>
  <c r="B318" i="3"/>
  <c r="E318" i="10"/>
  <c r="AB281" i="3" l="1"/>
  <c r="L281" i="10" s="1"/>
  <c r="G318" i="2"/>
  <c r="H318" i="2" s="1"/>
  <c r="AO198" i="8"/>
  <c r="AR198" i="8"/>
  <c r="H199" i="8" s="1"/>
  <c r="H282" i="3"/>
  <c r="G318" i="10" l="1"/>
  <c r="I318" i="2"/>
  <c r="D318" i="3"/>
  <c r="I199" i="8"/>
  <c r="AS198" i="8"/>
  <c r="I282" i="3"/>
  <c r="L282" i="3" s="1"/>
  <c r="Q282" i="3" s="1"/>
  <c r="M282" i="3"/>
  <c r="J318" i="2" l="1"/>
  <c r="M318" i="2"/>
  <c r="J199" i="8"/>
  <c r="N199" i="8" s="1"/>
  <c r="O199" i="8"/>
  <c r="J282" i="3"/>
  <c r="K282" i="3" s="1"/>
  <c r="F318" i="10" l="1"/>
  <c r="C318" i="3"/>
  <c r="B319" i="2"/>
  <c r="D318" i="10"/>
  <c r="R199" i="8"/>
  <c r="K199" i="8"/>
  <c r="M199" i="8" s="1"/>
  <c r="U282" i="3"/>
  <c r="N282" i="3"/>
  <c r="AC282" i="3"/>
  <c r="M282" i="10" s="1"/>
  <c r="D319" i="2" l="1"/>
  <c r="K319" i="2"/>
  <c r="C319" i="10"/>
  <c r="AI199" i="8"/>
  <c r="X199" i="8"/>
  <c r="P199" i="8"/>
  <c r="Q199" i="8" s="1"/>
  <c r="L199" i="8"/>
  <c r="AU199" i="8" s="1"/>
  <c r="V282" i="3"/>
  <c r="Y282" i="3" s="1"/>
  <c r="O282" i="3"/>
  <c r="X282" i="3"/>
  <c r="E319" i="2" l="1"/>
  <c r="L319" i="2"/>
  <c r="AJ199" i="8"/>
  <c r="Y199" i="8"/>
  <c r="AA199" i="8" s="1"/>
  <c r="Z199" i="8"/>
  <c r="AB199" i="8" s="1"/>
  <c r="S199" i="8"/>
  <c r="W282" i="3"/>
  <c r="Z282" i="3" s="1"/>
  <c r="I282" i="10"/>
  <c r="F283" i="3"/>
  <c r="R282" i="3"/>
  <c r="S282" i="3" s="1"/>
  <c r="E283" i="3"/>
  <c r="H282" i="10"/>
  <c r="P282" i="3"/>
  <c r="F319" i="2" l="1"/>
  <c r="B319" i="3"/>
  <c r="E319" i="10"/>
  <c r="AC199" i="8"/>
  <c r="T199" i="8"/>
  <c r="V199" i="8" s="1"/>
  <c r="AT199" i="8" s="1"/>
  <c r="AK199" i="8"/>
  <c r="J282" i="10"/>
  <c r="G283" i="3"/>
  <c r="AA282" i="3"/>
  <c r="K282" i="10" s="1"/>
  <c r="T282" i="3"/>
  <c r="G319" i="2" l="1"/>
  <c r="AD199" i="8"/>
  <c r="H283" i="3"/>
  <c r="AB282" i="3"/>
  <c r="L282" i="10" s="1"/>
  <c r="H319" i="2" l="1"/>
  <c r="I319" i="2"/>
  <c r="AL199" i="8"/>
  <c r="AE199" i="8"/>
  <c r="AP199" i="8"/>
  <c r="F200" i="8" s="1"/>
  <c r="I283" i="3"/>
  <c r="L283" i="3" s="1"/>
  <c r="Q283" i="3" s="1"/>
  <c r="M283" i="3"/>
  <c r="D319" i="3" l="1"/>
  <c r="M319" i="2"/>
  <c r="J319" i="2"/>
  <c r="G319" i="10"/>
  <c r="AF199" i="8"/>
  <c r="AM199" i="8" s="1"/>
  <c r="J283" i="3"/>
  <c r="K283" i="3" s="1"/>
  <c r="F319" i="10" l="1"/>
  <c r="D319" i="10"/>
  <c r="C319" i="3"/>
  <c r="B320" i="2"/>
  <c r="AQ199" i="8"/>
  <c r="G200" i="8" s="1"/>
  <c r="AG199" i="8"/>
  <c r="AH199" i="8" s="1"/>
  <c r="AN199" i="8" s="1"/>
  <c r="AR199" i="8" s="1"/>
  <c r="H200" i="8" s="1"/>
  <c r="U283" i="3"/>
  <c r="AC283" i="3"/>
  <c r="M283" i="10" s="1"/>
  <c r="N283" i="3"/>
  <c r="C320" i="10"/>
  <c r="D320" i="2" l="1"/>
  <c r="K320" i="2"/>
  <c r="I200" i="8"/>
  <c r="AO199" i="8"/>
  <c r="J200" i="8"/>
  <c r="N200" i="8" s="1"/>
  <c r="X283" i="3"/>
  <c r="H283" i="10" s="1"/>
  <c r="V283" i="3"/>
  <c r="Y283" i="3" s="1"/>
  <c r="O283" i="3"/>
  <c r="F284" i="3" l="1"/>
  <c r="L320" i="2"/>
  <c r="E320" i="2"/>
  <c r="O200" i="8"/>
  <c r="AS199" i="8"/>
  <c r="E284" i="3"/>
  <c r="W283" i="3"/>
  <c r="Z283" i="3" s="1"/>
  <c r="R200" i="8"/>
  <c r="K200" i="8"/>
  <c r="M200" i="8" s="1"/>
  <c r="R283" i="3"/>
  <c r="S283" i="3" s="1"/>
  <c r="I283" i="10"/>
  <c r="P283" i="3"/>
  <c r="F320" i="2" l="1"/>
  <c r="B320" i="3"/>
  <c r="E320" i="10"/>
  <c r="G284" i="3"/>
  <c r="J283" i="10"/>
  <c r="AA283" i="3"/>
  <c r="K283" i="10" s="1"/>
  <c r="X200" i="8"/>
  <c r="AI200" i="8"/>
  <c r="P200" i="8"/>
  <c r="Q200" i="8" s="1"/>
  <c r="L200" i="8"/>
  <c r="AU200" i="8" s="1"/>
  <c r="T283" i="3"/>
  <c r="G320" i="2" l="1"/>
  <c r="H284" i="3"/>
  <c r="Y200" i="8"/>
  <c r="AA200" i="8" s="1"/>
  <c r="Z200" i="8"/>
  <c r="AB200" i="8" s="1"/>
  <c r="AJ200" i="8"/>
  <c r="S200" i="8"/>
  <c r="AB283" i="3"/>
  <c r="L283" i="10" s="1"/>
  <c r="I320" i="2" l="1"/>
  <c r="H320" i="2"/>
  <c r="I284" i="3"/>
  <c r="L284" i="3" s="1"/>
  <c r="Q284" i="3" s="1"/>
  <c r="M284" i="3"/>
  <c r="AC200" i="8"/>
  <c r="T200" i="8"/>
  <c r="V200" i="8" s="1"/>
  <c r="AK200" i="8"/>
  <c r="J284" i="3"/>
  <c r="K284" i="3" s="1"/>
  <c r="M320" i="2" l="1"/>
  <c r="J320" i="2"/>
  <c r="D320" i="3"/>
  <c r="G320" i="10"/>
  <c r="AD200" i="8"/>
  <c r="AL200" i="8" s="1"/>
  <c r="AT200" i="8"/>
  <c r="N284" i="3"/>
  <c r="AC284" i="3"/>
  <c r="M284" i="10" s="1"/>
  <c r="U284" i="3"/>
  <c r="F320" i="10" l="1"/>
  <c r="C320" i="3"/>
  <c r="D320" i="10"/>
  <c r="B321" i="2"/>
  <c r="V284" i="3"/>
  <c r="Y284" i="3" s="1"/>
  <c r="AP200" i="8"/>
  <c r="F201" i="8" s="1"/>
  <c r="AE200" i="8"/>
  <c r="O284" i="3"/>
  <c r="X284" i="3"/>
  <c r="D321" i="2" l="1"/>
  <c r="K321" i="2"/>
  <c r="C321" i="10"/>
  <c r="W284" i="3"/>
  <c r="Z284" i="3" s="1"/>
  <c r="F285" i="3"/>
  <c r="I284" i="10"/>
  <c r="AF200" i="8"/>
  <c r="AM200" i="8" s="1"/>
  <c r="R284" i="3"/>
  <c r="S284" i="3" s="1"/>
  <c r="P284" i="3"/>
  <c r="H284" i="10"/>
  <c r="E285" i="3"/>
  <c r="E321" i="2" l="1"/>
  <c r="L321" i="2"/>
  <c r="J284" i="10"/>
  <c r="G285" i="3"/>
  <c r="AA284" i="3"/>
  <c r="K284" i="10" s="1"/>
  <c r="AQ200" i="8"/>
  <c r="G201" i="8" s="1"/>
  <c r="AG200" i="8"/>
  <c r="AH200" i="8" s="1"/>
  <c r="AN200" i="8" s="1"/>
  <c r="AR200" i="8" s="1"/>
  <c r="H201" i="8" s="1"/>
  <c r="T284" i="3"/>
  <c r="F321" i="2" l="1"/>
  <c r="B321" i="3"/>
  <c r="E321" i="10"/>
  <c r="H285" i="3"/>
  <c r="I285" i="3" s="1"/>
  <c r="L285" i="3" s="1"/>
  <c r="I201" i="8"/>
  <c r="O201" i="8"/>
  <c r="AO200" i="8"/>
  <c r="AB284" i="3"/>
  <c r="L284" i="10" s="1"/>
  <c r="G321" i="2" l="1"/>
  <c r="H321" i="2" s="1"/>
  <c r="M285" i="3"/>
  <c r="J285" i="3"/>
  <c r="K285" i="3" s="1"/>
  <c r="N285" i="3" s="1"/>
  <c r="Q285" i="3"/>
  <c r="J201" i="8"/>
  <c r="N201" i="8" s="1"/>
  <c r="AS200" i="8"/>
  <c r="I321" i="2" l="1"/>
  <c r="G321" i="10"/>
  <c r="D321" i="3"/>
  <c r="AC285" i="3"/>
  <c r="M285" i="10" s="1"/>
  <c r="U285" i="3"/>
  <c r="V285" i="3" s="1"/>
  <c r="Y285" i="3" s="1"/>
  <c r="O285" i="3"/>
  <c r="R285" i="3" s="1"/>
  <c r="S285" i="3" s="1"/>
  <c r="R201" i="8"/>
  <c r="K201" i="8"/>
  <c r="M201" i="8" s="1"/>
  <c r="M321" i="2" l="1"/>
  <c r="J321" i="2"/>
  <c r="T285" i="3"/>
  <c r="P285" i="3"/>
  <c r="W285" i="3"/>
  <c r="Z285" i="3" s="1"/>
  <c r="X285" i="3"/>
  <c r="I285" i="10"/>
  <c r="F286" i="3"/>
  <c r="X201" i="8"/>
  <c r="P201" i="8"/>
  <c r="Q201" i="8" s="1"/>
  <c r="AI201" i="8"/>
  <c r="L201" i="8"/>
  <c r="AB285" i="3" l="1"/>
  <c r="L285" i="10" s="1"/>
  <c r="F321" i="10"/>
  <c r="D321" i="10"/>
  <c r="B322" i="2"/>
  <c r="C321" i="3"/>
  <c r="J285" i="10"/>
  <c r="G286" i="3"/>
  <c r="AA285" i="3"/>
  <c r="K285" i="10" s="1"/>
  <c r="E286" i="3"/>
  <c r="H285" i="10"/>
  <c r="Y201" i="8"/>
  <c r="AA201" i="8" s="1"/>
  <c r="Z201" i="8"/>
  <c r="AB201" i="8" s="1"/>
  <c r="S201" i="8"/>
  <c r="AJ201" i="8"/>
  <c r="AU201" i="8"/>
  <c r="D322" i="2" l="1"/>
  <c r="C322" i="10"/>
  <c r="K322" i="2"/>
  <c r="H286" i="3"/>
  <c r="I286" i="3" s="1"/>
  <c r="L286" i="3" s="1"/>
  <c r="AC201" i="8"/>
  <c r="T201" i="8"/>
  <c r="V201" i="8" s="1"/>
  <c r="AK201" i="8"/>
  <c r="E322" i="2" l="1"/>
  <c r="L322" i="2"/>
  <c r="M286" i="3"/>
  <c r="Q286" i="3"/>
  <c r="J286" i="3"/>
  <c r="F322" i="2"/>
  <c r="AT201" i="8"/>
  <c r="AD201" i="8"/>
  <c r="E322" i="10" l="1"/>
  <c r="AC286" i="3"/>
  <c r="M286" i="10" s="1"/>
  <c r="B322" i="3"/>
  <c r="K286" i="3"/>
  <c r="G322" i="2"/>
  <c r="H322" i="2" s="1"/>
  <c r="AE201" i="8"/>
  <c r="AL201" i="8"/>
  <c r="N286" i="3" l="1"/>
  <c r="U286" i="3"/>
  <c r="D322" i="3"/>
  <c r="G322" i="10"/>
  <c r="I322" i="2"/>
  <c r="O286" i="3"/>
  <c r="AF201" i="8"/>
  <c r="AM201" i="8" s="1"/>
  <c r="AQ201" i="8" s="1"/>
  <c r="G202" i="8" s="1"/>
  <c r="AP201" i="8"/>
  <c r="F202" i="8" s="1"/>
  <c r="X286" i="3" l="1"/>
  <c r="V286" i="3"/>
  <c r="Y286" i="3" s="1"/>
  <c r="P286" i="3"/>
  <c r="M322" i="2"/>
  <c r="J322" i="2"/>
  <c r="H286" i="10"/>
  <c r="E287" i="3"/>
  <c r="R286" i="3"/>
  <c r="AG201" i="8"/>
  <c r="AH201" i="8" s="1"/>
  <c r="AN201" i="8" s="1"/>
  <c r="AR201" i="8" s="1"/>
  <c r="H202" i="8" s="1"/>
  <c r="I286" i="10" l="1"/>
  <c r="F287" i="3"/>
  <c r="W286" i="3"/>
  <c r="C322" i="3"/>
  <c r="B323" i="2"/>
  <c r="D322" i="10"/>
  <c r="F322" i="10"/>
  <c r="T286" i="3"/>
  <c r="AB286" i="3" s="1"/>
  <c r="L286" i="10" s="1"/>
  <c r="S286" i="3"/>
  <c r="I202" i="8"/>
  <c r="AO201" i="8"/>
  <c r="K323" i="2" l="1"/>
  <c r="C323" i="10"/>
  <c r="D323" i="2"/>
  <c r="AA286" i="3"/>
  <c r="K286" i="10" s="1"/>
  <c r="Z286" i="3"/>
  <c r="AS201" i="8"/>
  <c r="J202" i="8"/>
  <c r="N202" i="8" s="1"/>
  <c r="O202" i="8"/>
  <c r="E323" i="2" l="1"/>
  <c r="L323" i="2"/>
  <c r="B323" i="3" s="1"/>
  <c r="J286" i="10"/>
  <c r="G287" i="3"/>
  <c r="H287" i="3" s="1"/>
  <c r="R202" i="8"/>
  <c r="K202" i="8"/>
  <c r="M202" i="8" s="1"/>
  <c r="F323" i="2" l="1"/>
  <c r="E323" i="10"/>
  <c r="I287" i="3"/>
  <c r="L287" i="3" s="1"/>
  <c r="M287" i="3"/>
  <c r="G323" i="2"/>
  <c r="P202" i="8"/>
  <c r="Q202" i="8" s="1"/>
  <c r="AI202" i="8"/>
  <c r="X202" i="8"/>
  <c r="L202" i="8"/>
  <c r="AU202" i="8" s="1"/>
  <c r="J287" i="3" l="1"/>
  <c r="K287" i="3" s="1"/>
  <c r="Q287" i="3"/>
  <c r="I323" i="2"/>
  <c r="H323" i="2"/>
  <c r="S202" i="8"/>
  <c r="AJ202" i="8"/>
  <c r="Z202" i="8"/>
  <c r="AB202" i="8" s="1"/>
  <c r="Y202" i="8"/>
  <c r="AA202" i="8" s="1"/>
  <c r="N287" i="3"/>
  <c r="U287" i="3"/>
  <c r="AC287" i="3" l="1"/>
  <c r="M287" i="10" s="1"/>
  <c r="M323" i="2"/>
  <c r="J323" i="2"/>
  <c r="D323" i="3"/>
  <c r="G323" i="10"/>
  <c r="AC202" i="8"/>
  <c r="T202" i="8"/>
  <c r="V202" i="8" s="1"/>
  <c r="AK202" i="8"/>
  <c r="O287" i="3"/>
  <c r="V287" i="3"/>
  <c r="Y287" i="3" s="1"/>
  <c r="X287" i="3"/>
  <c r="F323" i="10" l="1"/>
  <c r="C323" i="3"/>
  <c r="D323" i="10"/>
  <c r="B324" i="2"/>
  <c r="P287" i="3"/>
  <c r="R287" i="3"/>
  <c r="S287" i="3" s="1"/>
  <c r="AD202" i="8"/>
  <c r="AT202" i="8"/>
  <c r="I287" i="10"/>
  <c r="W287" i="3"/>
  <c r="Z287" i="3" s="1"/>
  <c r="F288" i="3"/>
  <c r="E288" i="3"/>
  <c r="H287" i="10"/>
  <c r="K324" i="2" l="1"/>
  <c r="D324" i="2"/>
  <c r="C324" i="10"/>
  <c r="T287" i="3"/>
  <c r="AB287" i="3" s="1"/>
  <c r="L287" i="10" s="1"/>
  <c r="AE202" i="8"/>
  <c r="AL202" i="8"/>
  <c r="G288" i="3"/>
  <c r="J287" i="10"/>
  <c r="AA287" i="3"/>
  <c r="K287" i="10" s="1"/>
  <c r="E324" i="2" l="1"/>
  <c r="L324" i="2"/>
  <c r="AF202" i="8"/>
  <c r="AM202" i="8" s="1"/>
  <c r="AQ202" i="8" s="1"/>
  <c r="G203" i="8" s="1"/>
  <c r="AP202" i="8"/>
  <c r="F203" i="8" s="1"/>
  <c r="H288" i="3"/>
  <c r="F324" i="2" l="1"/>
  <c r="B324" i="3"/>
  <c r="E324" i="10"/>
  <c r="AG202" i="8"/>
  <c r="AH202" i="8" s="1"/>
  <c r="AN202" i="8" s="1"/>
  <c r="AR202" i="8" s="1"/>
  <c r="H203" i="8" s="1"/>
  <c r="M288" i="3"/>
  <c r="I288" i="3"/>
  <c r="L288" i="3" s="1"/>
  <c r="G324" i="2" l="1"/>
  <c r="H324" i="2" s="1"/>
  <c r="AO202" i="8"/>
  <c r="I203" i="8"/>
  <c r="J288" i="3"/>
  <c r="K288" i="3" s="1"/>
  <c r="Q288" i="3"/>
  <c r="O203" i="8" l="1"/>
  <c r="AS202" i="8"/>
  <c r="J203" i="8"/>
  <c r="N203" i="8" s="1"/>
  <c r="D324" i="3"/>
  <c r="G324" i="10"/>
  <c r="I324" i="2"/>
  <c r="U288" i="3"/>
  <c r="N288" i="3"/>
  <c r="AC288" i="3"/>
  <c r="M288" i="10" s="1"/>
  <c r="M324" i="2"/>
  <c r="K203" i="8" l="1"/>
  <c r="M203" i="8" s="1"/>
  <c r="R203" i="8"/>
  <c r="J324" i="2"/>
  <c r="X288" i="3"/>
  <c r="H288" i="10" s="1"/>
  <c r="V288" i="3"/>
  <c r="Y288" i="3" s="1"/>
  <c r="O288" i="3"/>
  <c r="D324" i="10"/>
  <c r="B325" i="2"/>
  <c r="F324" i="10"/>
  <c r="C324" i="3"/>
  <c r="P203" i="8" l="1"/>
  <c r="Q203" i="8" s="1"/>
  <c r="AI203" i="8"/>
  <c r="X203" i="8"/>
  <c r="L203" i="8"/>
  <c r="S203" i="8"/>
  <c r="E289" i="3"/>
  <c r="P288" i="3"/>
  <c r="R288" i="3"/>
  <c r="S288" i="3" s="1"/>
  <c r="AJ203" i="8"/>
  <c r="F289" i="3"/>
  <c r="I288" i="10"/>
  <c r="W288" i="3"/>
  <c r="Z288" i="3" s="1"/>
  <c r="D325" i="2"/>
  <c r="K325" i="2"/>
  <c r="C325" i="10"/>
  <c r="Z203" i="8" l="1"/>
  <c r="AB203" i="8" s="1"/>
  <c r="Y203" i="8"/>
  <c r="AA203" i="8" s="1"/>
  <c r="AU203" i="8"/>
  <c r="AC203" i="8"/>
  <c r="T203" i="8"/>
  <c r="V203" i="8" s="1"/>
  <c r="AT203" i="8" s="1"/>
  <c r="AK203" i="8"/>
  <c r="J288" i="10"/>
  <c r="G289" i="3"/>
  <c r="T288" i="3"/>
  <c r="AA288" i="3"/>
  <c r="K288" i="10" s="1"/>
  <c r="E325" i="2"/>
  <c r="L325" i="2"/>
  <c r="AD203" i="8" l="1"/>
  <c r="H289" i="3"/>
  <c r="AB288" i="3"/>
  <c r="L288" i="10" s="1"/>
  <c r="F325" i="2"/>
  <c r="B325" i="3"/>
  <c r="E325" i="10"/>
  <c r="AE203" i="8" l="1"/>
  <c r="AL203" i="8"/>
  <c r="M289" i="3"/>
  <c r="I289" i="3"/>
  <c r="L289" i="3" s="1"/>
  <c r="G325" i="2"/>
  <c r="H325" i="2" s="1"/>
  <c r="AF203" i="8" l="1"/>
  <c r="AM203" i="8" s="1"/>
  <c r="AQ203" i="8" s="1"/>
  <c r="G204" i="8" s="1"/>
  <c r="AP203" i="8"/>
  <c r="F204" i="8" s="1"/>
  <c r="Q289" i="3"/>
  <c r="J289" i="3"/>
  <c r="K289" i="3" s="1"/>
  <c r="D325" i="3"/>
  <c r="G325" i="10"/>
  <c r="I325" i="2"/>
  <c r="AG203" i="8" l="1"/>
  <c r="AH203" i="8" s="1"/>
  <c r="AN203" i="8" s="1"/>
  <c r="AR203" i="8" s="1"/>
  <c r="H204" i="8" s="1"/>
  <c r="AC289" i="3"/>
  <c r="M289" i="10" s="1"/>
  <c r="U289" i="3"/>
  <c r="N289" i="3"/>
  <c r="J325" i="2"/>
  <c r="M325" i="2"/>
  <c r="AO203" i="8" l="1"/>
  <c r="I204" i="8"/>
  <c r="V289" i="3"/>
  <c r="Y289" i="3" s="1"/>
  <c r="O289" i="3"/>
  <c r="X289" i="3"/>
  <c r="D325" i="10"/>
  <c r="B326" i="2"/>
  <c r="F325" i="10"/>
  <c r="C325" i="3"/>
  <c r="AS203" i="8" l="1"/>
  <c r="J204" i="8"/>
  <c r="O204" i="8"/>
  <c r="N204" i="8"/>
  <c r="R204" i="8" s="1"/>
  <c r="W289" i="3"/>
  <c r="Z289" i="3" s="1"/>
  <c r="P289" i="3"/>
  <c r="F290" i="3"/>
  <c r="I289" i="10"/>
  <c r="R289" i="3"/>
  <c r="S289" i="3" s="1"/>
  <c r="E290" i="3"/>
  <c r="H289" i="10"/>
  <c r="D326" i="2"/>
  <c r="K326" i="2"/>
  <c r="C326" i="10"/>
  <c r="T289" i="3"/>
  <c r="AB289" i="3" s="1"/>
  <c r="L289" i="10" s="1"/>
  <c r="K204" i="8" l="1"/>
  <c r="J289" i="10"/>
  <c r="G290" i="3"/>
  <c r="AA289" i="3"/>
  <c r="K289" i="10" s="1"/>
  <c r="E326" i="2"/>
  <c r="L326" i="2"/>
  <c r="M204" i="8" l="1"/>
  <c r="L204" i="8"/>
  <c r="AU204" i="8"/>
  <c r="H290" i="3"/>
  <c r="P204" i="8"/>
  <c r="Q204" i="8" s="1"/>
  <c r="F326" i="2"/>
  <c r="B326" i="3"/>
  <c r="E326" i="10"/>
  <c r="X204" i="8" l="1"/>
  <c r="AI204" i="8"/>
  <c r="M290" i="3"/>
  <c r="I290" i="3"/>
  <c r="L290" i="3" s="1"/>
  <c r="S204" i="8"/>
  <c r="G326" i="2"/>
  <c r="Y204" i="8" l="1"/>
  <c r="AA204" i="8" s="1"/>
  <c r="Z204" i="8"/>
  <c r="AB204" i="8" s="1"/>
  <c r="AJ204" i="8"/>
  <c r="Q290" i="3"/>
  <c r="J290" i="3"/>
  <c r="K290" i="3" s="1"/>
  <c r="N290" i="3" s="1"/>
  <c r="AK204" i="8"/>
  <c r="AC204" i="8"/>
  <c r="AD204" i="8"/>
  <c r="T204" i="8"/>
  <c r="V204" i="8" s="1"/>
  <c r="AT204" i="8" s="1"/>
  <c r="I326" i="2"/>
  <c r="H326" i="2"/>
  <c r="U290" i="3" l="1"/>
  <c r="O290" i="3"/>
  <c r="AC290" i="3"/>
  <c r="M290" i="10" s="1"/>
  <c r="V290" i="3"/>
  <c r="Y290" i="3" s="1"/>
  <c r="AL204" i="8"/>
  <c r="AP204" i="8" s="1"/>
  <c r="F205" i="8" s="1"/>
  <c r="AE204" i="8"/>
  <c r="M326" i="2"/>
  <c r="J326" i="2"/>
  <c r="D326" i="3"/>
  <c r="G326" i="10"/>
  <c r="P290" i="3" l="1"/>
  <c r="R290" i="3"/>
  <c r="S290" i="3" s="1"/>
  <c r="X290" i="3"/>
  <c r="F291" i="3"/>
  <c r="I290" i="10"/>
  <c r="W290" i="3"/>
  <c r="Z290" i="3" s="1"/>
  <c r="AF204" i="8"/>
  <c r="AM204" i="8" s="1"/>
  <c r="F326" i="10"/>
  <c r="C326" i="3"/>
  <c r="D326" i="10"/>
  <c r="B327" i="2"/>
  <c r="E291" i="3" l="1"/>
  <c r="H290" i="10"/>
  <c r="G291" i="3"/>
  <c r="J290" i="10"/>
  <c r="T290" i="3"/>
  <c r="AA290" i="3"/>
  <c r="K290" i="10" s="1"/>
  <c r="AQ204" i="8"/>
  <c r="G205" i="8" s="1"/>
  <c r="AG204" i="8"/>
  <c r="AH204" i="8" s="1"/>
  <c r="AN204" i="8" s="1"/>
  <c r="D327" i="2"/>
  <c r="K327" i="2"/>
  <c r="C327" i="10"/>
  <c r="AB290" i="3" l="1"/>
  <c r="L290" i="10" s="1"/>
  <c r="H291" i="3"/>
  <c r="AO204" i="8"/>
  <c r="AR204" i="8"/>
  <c r="H205" i="8" s="1"/>
  <c r="E327" i="2"/>
  <c r="L327" i="2"/>
  <c r="I291" i="3" l="1"/>
  <c r="L291" i="3" s="1"/>
  <c r="M291" i="3"/>
  <c r="AS204" i="8"/>
  <c r="I205" i="8"/>
  <c r="J291" i="3"/>
  <c r="K291" i="3" s="1"/>
  <c r="F327" i="2"/>
  <c r="B327" i="3"/>
  <c r="E327" i="10"/>
  <c r="Q291" i="3" l="1"/>
  <c r="J205" i="8"/>
  <c r="N205" i="8" s="1"/>
  <c r="R205" i="8" s="1"/>
  <c r="O205" i="8"/>
  <c r="N291" i="3"/>
  <c r="U291" i="3"/>
  <c r="AC291" i="3"/>
  <c r="M291" i="10" s="1"/>
  <c r="G327" i="2"/>
  <c r="K205" i="8" l="1"/>
  <c r="O291" i="3"/>
  <c r="X291" i="3"/>
  <c r="V291" i="3"/>
  <c r="Y291" i="3" s="1"/>
  <c r="I327" i="2"/>
  <c r="H327" i="2"/>
  <c r="L205" i="8" l="1"/>
  <c r="AU205" i="8"/>
  <c r="M205" i="8"/>
  <c r="P291" i="3"/>
  <c r="R291" i="3"/>
  <c r="S291" i="3" s="1"/>
  <c r="I291" i="10"/>
  <c r="F292" i="3"/>
  <c r="H291" i="10"/>
  <c r="E292" i="3"/>
  <c r="W291" i="3"/>
  <c r="Z291" i="3" s="1"/>
  <c r="M327" i="2"/>
  <c r="J327" i="2"/>
  <c r="D327" i="3"/>
  <c r="G327" i="10"/>
  <c r="X205" i="8" l="1"/>
  <c r="AI205" i="8"/>
  <c r="P205" i="8"/>
  <c r="Q205" i="8" s="1"/>
  <c r="T291" i="3"/>
  <c r="G292" i="3"/>
  <c r="J291" i="10"/>
  <c r="AA291" i="3"/>
  <c r="K291" i="10" s="1"/>
  <c r="F327" i="10"/>
  <c r="C327" i="3"/>
  <c r="D327" i="10"/>
  <c r="B328" i="2"/>
  <c r="Z205" i="8" l="1"/>
  <c r="AB205" i="8" s="1"/>
  <c r="Y205" i="8"/>
  <c r="AA205" i="8" s="1"/>
  <c r="AJ205" i="8"/>
  <c r="S205" i="8"/>
  <c r="H292" i="3"/>
  <c r="AB291" i="3"/>
  <c r="L291" i="10" s="1"/>
  <c r="D328" i="2"/>
  <c r="K328" i="2"/>
  <c r="C328" i="10"/>
  <c r="M292" i="3" l="1"/>
  <c r="I292" i="3"/>
  <c r="L292" i="3" s="1"/>
  <c r="AC205" i="8"/>
  <c r="AK205" i="8"/>
  <c r="T205" i="8"/>
  <c r="V205" i="8" s="1"/>
  <c r="E328" i="2"/>
  <c r="L328" i="2"/>
  <c r="AT205" i="8" l="1"/>
  <c r="Q292" i="3"/>
  <c r="J292" i="3"/>
  <c r="AD205" i="8"/>
  <c r="F328" i="2"/>
  <c r="B328" i="3"/>
  <c r="E328" i="10"/>
  <c r="AC292" i="3" l="1"/>
  <c r="M292" i="10" s="1"/>
  <c r="K292" i="3"/>
  <c r="AE205" i="8"/>
  <c r="AL205" i="8"/>
  <c r="G328" i="2"/>
  <c r="U292" i="3" l="1"/>
  <c r="N292" i="3"/>
  <c r="AF205" i="8"/>
  <c r="AM205" i="8" s="1"/>
  <c r="AQ205" i="8" s="1"/>
  <c r="G206" i="8" s="1"/>
  <c r="AP205" i="8"/>
  <c r="F206" i="8" s="1"/>
  <c r="I328" i="2"/>
  <c r="H328" i="2"/>
  <c r="O292" i="3" l="1"/>
  <c r="X292" i="3"/>
  <c r="V292" i="3"/>
  <c r="Y292" i="3" s="1"/>
  <c r="AG205" i="8"/>
  <c r="AH205" i="8" s="1"/>
  <c r="AN205" i="8" s="1"/>
  <c r="AR205" i="8" s="1"/>
  <c r="H206" i="8" s="1"/>
  <c r="H292" i="10"/>
  <c r="M328" i="2"/>
  <c r="J328" i="2"/>
  <c r="D328" i="3"/>
  <c r="G328" i="10"/>
  <c r="P292" i="3" l="1"/>
  <c r="E293" i="3"/>
  <c r="F293" i="3"/>
  <c r="I292" i="10"/>
  <c r="R292" i="3"/>
  <c r="S292" i="3" s="1"/>
  <c r="W292" i="3"/>
  <c r="Z292" i="3" s="1"/>
  <c r="I206" i="8"/>
  <c r="AO205" i="8"/>
  <c r="F328" i="10"/>
  <c r="C328" i="3"/>
  <c r="D328" i="10"/>
  <c r="B329" i="2"/>
  <c r="J292" i="10"/>
  <c r="G293" i="3"/>
  <c r="T292" i="3" l="1"/>
  <c r="AA292" i="3"/>
  <c r="K292" i="10" s="1"/>
  <c r="O206" i="8"/>
  <c r="AS205" i="8"/>
  <c r="J206" i="8"/>
  <c r="N206" i="8" s="1"/>
  <c r="R206" i="8" s="1"/>
  <c r="D329" i="2"/>
  <c r="K329" i="2"/>
  <c r="C329" i="10"/>
  <c r="H293" i="3"/>
  <c r="AB292" i="3" l="1"/>
  <c r="L292" i="10" s="1"/>
  <c r="K206" i="8"/>
  <c r="M206" i="8" s="1"/>
  <c r="M293" i="3"/>
  <c r="E329" i="2"/>
  <c r="L329" i="2"/>
  <c r="I293" i="3"/>
  <c r="L293" i="3" s="1"/>
  <c r="P206" i="8" l="1"/>
  <c r="Q206" i="8" s="1"/>
  <c r="X206" i="8"/>
  <c r="AI206" i="8"/>
  <c r="L206" i="8"/>
  <c r="F329" i="2"/>
  <c r="B329" i="3"/>
  <c r="E329" i="10"/>
  <c r="Q293" i="3"/>
  <c r="J293" i="3"/>
  <c r="K293" i="3" s="1"/>
  <c r="S206" i="8" l="1"/>
  <c r="Z206" i="8"/>
  <c r="AB206" i="8" s="1"/>
  <c r="Y206" i="8"/>
  <c r="AA206" i="8" s="1"/>
  <c r="AJ206" i="8"/>
  <c r="AU206" i="8"/>
  <c r="U293" i="3"/>
  <c r="N293" i="3"/>
  <c r="G329" i="2"/>
  <c r="AC293" i="3"/>
  <c r="M293" i="10" s="1"/>
  <c r="AC206" i="8" l="1"/>
  <c r="AK206" i="8"/>
  <c r="T206" i="8"/>
  <c r="V206" i="8" s="1"/>
  <c r="V293" i="3"/>
  <c r="Y293" i="3" s="1"/>
  <c r="O293" i="3"/>
  <c r="I329" i="2"/>
  <c r="H329" i="2"/>
  <c r="X293" i="3"/>
  <c r="AD206" i="8" l="1"/>
  <c r="AT206" i="8"/>
  <c r="P293" i="3"/>
  <c r="F294" i="3"/>
  <c r="I293" i="10"/>
  <c r="R293" i="3"/>
  <c r="S293" i="3" s="1"/>
  <c r="M329" i="2"/>
  <c r="J329" i="2"/>
  <c r="D329" i="3"/>
  <c r="G329" i="10"/>
  <c r="E294" i="3"/>
  <c r="H293" i="10"/>
  <c r="W293" i="3"/>
  <c r="AL206" i="8" l="1"/>
  <c r="AE206" i="8"/>
  <c r="F329" i="10"/>
  <c r="C329" i="3"/>
  <c r="D329" i="10"/>
  <c r="B330" i="2"/>
  <c r="AA293" i="3"/>
  <c r="K293" i="10" s="1"/>
  <c r="Z293" i="3"/>
  <c r="T293" i="3"/>
  <c r="AP206" i="8" l="1"/>
  <c r="F207" i="8" s="1"/>
  <c r="AF206" i="8"/>
  <c r="AM206" i="8" s="1"/>
  <c r="AQ206" i="8" s="1"/>
  <c r="G207" i="8" s="1"/>
  <c r="AB293" i="3"/>
  <c r="L293" i="10" s="1"/>
  <c r="D330" i="2"/>
  <c r="K330" i="2"/>
  <c r="C330" i="10"/>
  <c r="J293" i="10"/>
  <c r="G294" i="3"/>
  <c r="AG206" i="8" l="1"/>
  <c r="AH206" i="8" s="1"/>
  <c r="AN206" i="8" s="1"/>
  <c r="AR206" i="8" s="1"/>
  <c r="H207" i="8" s="1"/>
  <c r="E330" i="2"/>
  <c r="L330" i="2"/>
  <c r="H294" i="3"/>
  <c r="I207" i="8" l="1"/>
  <c r="AO206" i="8"/>
  <c r="M294" i="3"/>
  <c r="F330" i="2"/>
  <c r="B330" i="3"/>
  <c r="E330" i="10"/>
  <c r="I294" i="3"/>
  <c r="L294" i="3" s="1"/>
  <c r="O207" i="8" l="1"/>
  <c r="J207" i="8"/>
  <c r="N207" i="8" s="1"/>
  <c r="R207" i="8" s="1"/>
  <c r="AS206" i="8"/>
  <c r="G330" i="2"/>
  <c r="H330" i="2" s="1"/>
  <c r="Q294" i="3"/>
  <c r="J294" i="3"/>
  <c r="K294" i="3" s="1"/>
  <c r="K207" i="8" l="1"/>
  <c r="M207" i="8" s="1"/>
  <c r="D330" i="3"/>
  <c r="I330" i="2"/>
  <c r="G330" i="10"/>
  <c r="AC294" i="3"/>
  <c r="M294" i="10" s="1"/>
  <c r="U294" i="3"/>
  <c r="N294" i="3"/>
  <c r="X207" i="8" l="1"/>
  <c r="P207" i="8"/>
  <c r="Q207" i="8" s="1"/>
  <c r="AI207" i="8"/>
  <c r="L207" i="8"/>
  <c r="M330" i="2"/>
  <c r="J330" i="2"/>
  <c r="X294" i="3"/>
  <c r="V294" i="3"/>
  <c r="Y294" i="3" s="1"/>
  <c r="O294" i="3"/>
  <c r="F330" i="10" l="1"/>
  <c r="C330" i="3"/>
  <c r="Z207" i="8"/>
  <c r="AB207" i="8" s="1"/>
  <c r="Y207" i="8"/>
  <c r="AA207" i="8" s="1"/>
  <c r="S207" i="8"/>
  <c r="AJ207" i="8"/>
  <c r="AU207" i="8"/>
  <c r="B331" i="2"/>
  <c r="D330" i="10"/>
  <c r="E295" i="3"/>
  <c r="H294" i="10"/>
  <c r="P294" i="3"/>
  <c r="I294" i="10"/>
  <c r="F295" i="3"/>
  <c r="R294" i="3"/>
  <c r="S294" i="3" s="1"/>
  <c r="W294" i="3"/>
  <c r="Z294" i="3" s="1"/>
  <c r="AC207" i="8" l="1"/>
  <c r="T207" i="8"/>
  <c r="V207" i="8" s="1"/>
  <c r="AK207" i="8"/>
  <c r="D331" i="2"/>
  <c r="K331" i="2"/>
  <c r="C331" i="10"/>
  <c r="J294" i="10"/>
  <c r="G295" i="3"/>
  <c r="T294" i="3"/>
  <c r="AA294" i="3"/>
  <c r="K294" i="10" s="1"/>
  <c r="E331" i="2" l="1"/>
  <c r="L331" i="2"/>
  <c r="AD207" i="8"/>
  <c r="AT207" i="8"/>
  <c r="H295" i="3"/>
  <c r="AB294" i="3"/>
  <c r="L294" i="10" s="1"/>
  <c r="E331" i="10" l="1"/>
  <c r="F331" i="2"/>
  <c r="B331" i="3"/>
  <c r="AE207" i="8"/>
  <c r="AL207" i="8"/>
  <c r="M295" i="3"/>
  <c r="I295" i="3"/>
  <c r="L295" i="3" s="1"/>
  <c r="AP207" i="8" l="1"/>
  <c r="F208" i="8" s="1"/>
  <c r="AF207" i="8"/>
  <c r="AM207" i="8" s="1"/>
  <c r="AQ207" i="8" s="1"/>
  <c r="G208" i="8" s="1"/>
  <c r="G331" i="2"/>
  <c r="H331" i="2" s="1"/>
  <c r="Q295" i="3"/>
  <c r="J295" i="3"/>
  <c r="K295" i="3" s="1"/>
  <c r="G331" i="10" l="1"/>
  <c r="D331" i="3"/>
  <c r="I331" i="2"/>
  <c r="AG207" i="8"/>
  <c r="AH207" i="8" s="1"/>
  <c r="AN207" i="8" s="1"/>
  <c r="U295" i="3"/>
  <c r="N295" i="3"/>
  <c r="AC295" i="3"/>
  <c r="M295" i="10" s="1"/>
  <c r="M331" i="2" l="1"/>
  <c r="J331" i="2"/>
  <c r="F331" i="10"/>
  <c r="AO207" i="8"/>
  <c r="AR207" i="8"/>
  <c r="H208" i="8" s="1"/>
  <c r="C331" i="3"/>
  <c r="AS207" i="8"/>
  <c r="I208" i="8"/>
  <c r="O208" i="8"/>
  <c r="D331" i="10"/>
  <c r="B332" i="2"/>
  <c r="X295" i="3"/>
  <c r="V295" i="3"/>
  <c r="Y295" i="3" s="1"/>
  <c r="O295" i="3"/>
  <c r="J208" i="8" l="1"/>
  <c r="N208" i="8" s="1"/>
  <c r="R208" i="8" s="1"/>
  <c r="D332" i="2"/>
  <c r="K332" i="2"/>
  <c r="C332" i="10"/>
  <c r="H295" i="10"/>
  <c r="E296" i="3"/>
  <c r="P295" i="3"/>
  <c r="I295" i="10"/>
  <c r="F296" i="3"/>
  <c r="R295" i="3"/>
  <c r="S295" i="3" s="1"/>
  <c r="W295" i="3"/>
  <c r="Z295" i="3" s="1"/>
  <c r="E332" i="2" l="1"/>
  <c r="L332" i="2"/>
  <c r="K208" i="8"/>
  <c r="M208" i="8" s="1"/>
  <c r="T295" i="3"/>
  <c r="J295" i="10"/>
  <c r="G296" i="3"/>
  <c r="AA295" i="3"/>
  <c r="K295" i="10" s="1"/>
  <c r="F332" i="2" l="1"/>
  <c r="B332" i="3"/>
  <c r="E332" i="10"/>
  <c r="AB295" i="3"/>
  <c r="L295" i="10" s="1"/>
  <c r="AI208" i="8"/>
  <c r="P208" i="8"/>
  <c r="Q208" i="8" s="1"/>
  <c r="X208" i="8"/>
  <c r="L208" i="8"/>
  <c r="H296" i="3"/>
  <c r="G332" i="2" l="1"/>
  <c r="AJ208" i="8"/>
  <c r="S208" i="8"/>
  <c r="Y208" i="8"/>
  <c r="AA208" i="8" s="1"/>
  <c r="Z208" i="8"/>
  <c r="AB208" i="8" s="1"/>
  <c r="AU208" i="8"/>
  <c r="M296" i="3"/>
  <c r="I296" i="3"/>
  <c r="L296" i="3" s="1"/>
  <c r="I332" i="2" l="1"/>
  <c r="H332" i="2"/>
  <c r="AC208" i="8"/>
  <c r="AK208" i="8"/>
  <c r="T208" i="8"/>
  <c r="V208" i="8" s="1"/>
  <c r="Q296" i="3"/>
  <c r="M332" i="2"/>
  <c r="D332" i="3"/>
  <c r="G332" i="10"/>
  <c r="J296" i="3"/>
  <c r="K296" i="3" s="1"/>
  <c r="J332" i="2" l="1"/>
  <c r="AD208" i="8"/>
  <c r="AL208" i="8" s="1"/>
  <c r="AP208" i="8" s="1"/>
  <c r="F209" i="8" s="1"/>
  <c r="AT208" i="8"/>
  <c r="F332" i="10"/>
  <c r="C332" i="3"/>
  <c r="D332" i="10"/>
  <c r="B333" i="2"/>
  <c r="U296" i="3"/>
  <c r="N296" i="3"/>
  <c r="AC296" i="3"/>
  <c r="M296" i="10" s="1"/>
  <c r="AE208" i="8" l="1"/>
  <c r="X296" i="3"/>
  <c r="D333" i="2"/>
  <c r="K333" i="2"/>
  <c r="C333" i="10"/>
  <c r="V296" i="3"/>
  <c r="Y296" i="3" s="1"/>
  <c r="O296" i="3"/>
  <c r="P296" i="3" l="1"/>
  <c r="AF208" i="8"/>
  <c r="AM208" i="8" s="1"/>
  <c r="E297" i="3"/>
  <c r="H296" i="10"/>
  <c r="E333" i="2"/>
  <c r="L333" i="2"/>
  <c r="I296" i="10"/>
  <c r="F297" i="3"/>
  <c r="R296" i="3"/>
  <c r="S296" i="3" s="1"/>
  <c r="W296" i="3"/>
  <c r="AG208" i="8" l="1"/>
  <c r="AH208" i="8" s="1"/>
  <c r="AN208" i="8" s="1"/>
  <c r="AR208" i="8" s="1"/>
  <c r="H209" i="8" s="1"/>
  <c r="AQ208" i="8"/>
  <c r="G209" i="8" s="1"/>
  <c r="T296" i="3"/>
  <c r="AB296" i="3"/>
  <c r="L296" i="10" s="1"/>
  <c r="F333" i="2"/>
  <c r="B333" i="3"/>
  <c r="E333" i="10"/>
  <c r="AA296" i="3"/>
  <c r="K296" i="10" s="1"/>
  <c r="Z296" i="3"/>
  <c r="I209" i="8" l="1"/>
  <c r="AO208" i="8"/>
  <c r="J296" i="10"/>
  <c r="G297" i="3"/>
  <c r="G333" i="2"/>
  <c r="H333" i="2" s="1"/>
  <c r="J209" i="8" l="1"/>
  <c r="N209" i="8" s="1"/>
  <c r="R209" i="8" s="1"/>
  <c r="AS208" i="8"/>
  <c r="O209" i="8"/>
  <c r="H297" i="3"/>
  <c r="D333" i="3"/>
  <c r="G333" i="10"/>
  <c r="I333" i="2"/>
  <c r="K209" i="8" l="1"/>
  <c r="M209" i="8" s="1"/>
  <c r="L209" i="8"/>
  <c r="M297" i="3"/>
  <c r="I297" i="3"/>
  <c r="L297" i="3" s="1"/>
  <c r="J333" i="2"/>
  <c r="M333" i="2"/>
  <c r="X209" i="8" l="1"/>
  <c r="P209" i="8"/>
  <c r="Q209" i="8" s="1"/>
  <c r="AI209" i="8"/>
  <c r="AU209" i="8"/>
  <c r="Q297" i="3"/>
  <c r="D333" i="10"/>
  <c r="B334" i="2"/>
  <c r="F333" i="10"/>
  <c r="C333" i="3"/>
  <c r="J297" i="3"/>
  <c r="Z209" i="8" l="1"/>
  <c r="AB209" i="8" s="1"/>
  <c r="Y209" i="8"/>
  <c r="AA209" i="8" s="1"/>
  <c r="S209" i="8"/>
  <c r="AJ209" i="8"/>
  <c r="D334" i="2"/>
  <c r="K334" i="2"/>
  <c r="C334" i="10"/>
  <c r="AC297" i="3"/>
  <c r="M297" i="10" s="1"/>
  <c r="K297" i="3"/>
  <c r="AC209" i="8" l="1"/>
  <c r="AK209" i="8"/>
  <c r="T209" i="8"/>
  <c r="V209" i="8" s="1"/>
  <c r="E334" i="2"/>
  <c r="L334" i="2"/>
  <c r="U297" i="3"/>
  <c r="N297" i="3"/>
  <c r="AT209" i="8" l="1"/>
  <c r="AD209" i="8"/>
  <c r="X297" i="3"/>
  <c r="F334" i="2"/>
  <c r="B334" i="3"/>
  <c r="E334" i="10"/>
  <c r="V297" i="3"/>
  <c r="Y297" i="3" s="1"/>
  <c r="O297" i="3"/>
  <c r="AL209" i="8" l="1"/>
  <c r="AE209" i="8"/>
  <c r="E298" i="3"/>
  <c r="H297" i="10"/>
  <c r="I297" i="10"/>
  <c r="F298" i="3"/>
  <c r="R297" i="3"/>
  <c r="S297" i="3" s="1"/>
  <c r="G334" i="2"/>
  <c r="H334" i="2" s="1"/>
  <c r="W297" i="3"/>
  <c r="Z297" i="3" s="1"/>
  <c r="P297" i="3"/>
  <c r="AP209" i="8" l="1"/>
  <c r="F210" i="8" s="1"/>
  <c r="AG209" i="8"/>
  <c r="AH209" i="8" s="1"/>
  <c r="AN209" i="8" s="1"/>
  <c r="AR209" i="8" s="1"/>
  <c r="H210" i="8" s="1"/>
  <c r="I210" i="8" s="1"/>
  <c r="AF209" i="8"/>
  <c r="AM209" i="8" s="1"/>
  <c r="AQ209" i="8" s="1"/>
  <c r="G210" i="8" s="1"/>
  <c r="D334" i="3"/>
  <c r="G334" i="10"/>
  <c r="G298" i="3"/>
  <c r="J297" i="10"/>
  <c r="T297" i="3"/>
  <c r="AA297" i="3"/>
  <c r="K297" i="10" s="1"/>
  <c r="I334" i="2"/>
  <c r="AO209" i="8" l="1"/>
  <c r="O210" i="8"/>
  <c r="J210" i="8"/>
  <c r="N210" i="8" s="1"/>
  <c r="H298" i="3"/>
  <c r="J334" i="2"/>
  <c r="M334" i="2"/>
  <c r="AB297" i="3"/>
  <c r="L297" i="10" s="1"/>
  <c r="R210" i="8" l="1"/>
  <c r="AS209" i="8"/>
  <c r="K210" i="8"/>
  <c r="M210" i="8" s="1"/>
  <c r="P210" i="8"/>
  <c r="Q210" i="8" s="1"/>
  <c r="X210" i="8"/>
  <c r="I298" i="3"/>
  <c r="L298" i="3" s="1"/>
  <c r="D334" i="10"/>
  <c r="B335" i="2"/>
  <c r="F334" i="10"/>
  <c r="C334" i="3"/>
  <c r="M298" i="3"/>
  <c r="AI210" i="8" l="1"/>
  <c r="L210" i="8"/>
  <c r="S210" i="8"/>
  <c r="Y210" i="8"/>
  <c r="AA210" i="8" s="1"/>
  <c r="Z210" i="8"/>
  <c r="AB210" i="8" s="1"/>
  <c r="Q298" i="3"/>
  <c r="D335" i="2"/>
  <c r="K335" i="2"/>
  <c r="C335" i="10"/>
  <c r="J298" i="3"/>
  <c r="K298" i="3" s="1"/>
  <c r="AJ210" i="8" l="1"/>
  <c r="AU210" i="8"/>
  <c r="AC210" i="8"/>
  <c r="T210" i="8"/>
  <c r="V210" i="8" s="1"/>
  <c r="AK210" i="8"/>
  <c r="E335" i="2"/>
  <c r="L335" i="2"/>
  <c r="U298" i="3"/>
  <c r="N298" i="3"/>
  <c r="AC298" i="3"/>
  <c r="M298" i="10" s="1"/>
  <c r="AT210" i="8" l="1"/>
  <c r="AD210" i="8"/>
  <c r="X298" i="3"/>
  <c r="F335" i="2"/>
  <c r="B335" i="3"/>
  <c r="E335" i="10"/>
  <c r="V298" i="3"/>
  <c r="Y298" i="3" s="1"/>
  <c r="O298" i="3"/>
  <c r="AL210" i="8" l="1"/>
  <c r="AE210" i="8"/>
  <c r="E299" i="3"/>
  <c r="P298" i="3"/>
  <c r="H298" i="10"/>
  <c r="I298" i="10"/>
  <c r="F299" i="3"/>
  <c r="R298" i="3"/>
  <c r="S298" i="3" s="1"/>
  <c r="G335" i="2"/>
  <c r="W298" i="3"/>
  <c r="Z298" i="3" s="1"/>
  <c r="AP210" i="8" l="1"/>
  <c r="F211" i="8" s="1"/>
  <c r="AF210" i="8"/>
  <c r="AM210" i="8" s="1"/>
  <c r="AQ210" i="8" s="1"/>
  <c r="G211" i="8" s="1"/>
  <c r="I335" i="2"/>
  <c r="H335" i="2"/>
  <c r="G299" i="3"/>
  <c r="J298" i="10"/>
  <c r="AA298" i="3"/>
  <c r="K298" i="10" s="1"/>
  <c r="T298" i="3"/>
  <c r="AG210" i="8" l="1"/>
  <c r="AH210" i="8" s="1"/>
  <c r="AN210" i="8" s="1"/>
  <c r="AR210" i="8" s="1"/>
  <c r="H211" i="8" s="1"/>
  <c r="M335" i="2"/>
  <c r="J335" i="2"/>
  <c r="D335" i="3"/>
  <c r="G335" i="10"/>
  <c r="H299" i="3"/>
  <c r="AB298" i="3"/>
  <c r="L298" i="10" s="1"/>
  <c r="I211" i="8" l="1"/>
  <c r="AO210" i="8"/>
  <c r="M299" i="3"/>
  <c r="F335" i="10"/>
  <c r="C335" i="3"/>
  <c r="D335" i="10"/>
  <c r="B336" i="2"/>
  <c r="I299" i="3"/>
  <c r="L299" i="3" s="1"/>
  <c r="O211" i="8" l="1"/>
  <c r="J211" i="8"/>
  <c r="N211" i="8" s="1"/>
  <c r="AS210" i="8"/>
  <c r="D336" i="2"/>
  <c r="K336" i="2"/>
  <c r="C336" i="10"/>
  <c r="Q299" i="3"/>
  <c r="J299" i="3"/>
  <c r="K299" i="3" s="1"/>
  <c r="R211" i="8" l="1"/>
  <c r="K211" i="8"/>
  <c r="M211" i="8" s="1"/>
  <c r="E336" i="2"/>
  <c r="L336" i="2"/>
  <c r="U299" i="3"/>
  <c r="N299" i="3"/>
  <c r="AC299" i="3"/>
  <c r="M299" i="10" s="1"/>
  <c r="P211" i="8" l="1"/>
  <c r="Q211" i="8" s="1"/>
  <c r="AI211" i="8"/>
  <c r="X211" i="8"/>
  <c r="L211" i="8"/>
  <c r="F336" i="2"/>
  <c r="B336" i="3"/>
  <c r="E336" i="10"/>
  <c r="V299" i="3"/>
  <c r="Y299" i="3" s="1"/>
  <c r="O299" i="3"/>
  <c r="X299" i="3"/>
  <c r="AU211" i="8" l="1"/>
  <c r="S211" i="8"/>
  <c r="AJ211" i="8"/>
  <c r="Y211" i="8"/>
  <c r="AA211" i="8" s="1"/>
  <c r="Z211" i="8"/>
  <c r="AB211" i="8" s="1"/>
  <c r="W299" i="3"/>
  <c r="Z299" i="3" s="1"/>
  <c r="P299" i="3"/>
  <c r="I299" i="10"/>
  <c r="F300" i="3"/>
  <c r="R299" i="3"/>
  <c r="S299" i="3" s="1"/>
  <c r="E300" i="3"/>
  <c r="H299" i="10"/>
  <c r="G336" i="2"/>
  <c r="AC211" i="8" l="1"/>
  <c r="T211" i="8"/>
  <c r="V211" i="8" s="1"/>
  <c r="AT211" i="8" s="1"/>
  <c r="AK211" i="8"/>
  <c r="J299" i="10"/>
  <c r="G300" i="3"/>
  <c r="AA299" i="3"/>
  <c r="K299" i="10" s="1"/>
  <c r="T299" i="3"/>
  <c r="I336" i="2"/>
  <c r="H336" i="2"/>
  <c r="AD211" i="8" l="1"/>
  <c r="AL211" i="8"/>
  <c r="H300" i="3"/>
  <c r="AB299" i="3"/>
  <c r="L299" i="10" s="1"/>
  <c r="M336" i="2"/>
  <c r="J336" i="2"/>
  <c r="D336" i="3"/>
  <c r="G336" i="10"/>
  <c r="AE211" i="8" l="1"/>
  <c r="AP211" i="8"/>
  <c r="F212" i="8" s="1"/>
  <c r="M300" i="3"/>
  <c r="I300" i="3"/>
  <c r="L300" i="3" s="1"/>
  <c r="F336" i="10"/>
  <c r="C336" i="3"/>
  <c r="D336" i="10"/>
  <c r="B337" i="2"/>
  <c r="AF211" i="8" l="1"/>
  <c r="AM211" i="8" s="1"/>
  <c r="AQ211" i="8" s="1"/>
  <c r="G212" i="8" s="1"/>
  <c r="Q300" i="3"/>
  <c r="J300" i="3"/>
  <c r="K300" i="3" s="1"/>
  <c r="D337" i="2"/>
  <c r="K337" i="2"/>
  <c r="C337" i="10"/>
  <c r="AG211" i="8" l="1"/>
  <c r="AH211" i="8" s="1"/>
  <c r="AN211" i="8" s="1"/>
  <c r="AR211" i="8" s="1"/>
  <c r="H212" i="8" s="1"/>
  <c r="U300" i="3"/>
  <c r="N300" i="3"/>
  <c r="AC300" i="3"/>
  <c r="M300" i="10" s="1"/>
  <c r="E337" i="2"/>
  <c r="L337" i="2"/>
  <c r="I212" i="8" l="1"/>
  <c r="AO211" i="8"/>
  <c r="J212" i="8"/>
  <c r="N212" i="8" s="1"/>
  <c r="O212" i="8"/>
  <c r="AS211" i="8"/>
  <c r="O300" i="3"/>
  <c r="X300" i="3"/>
  <c r="V300" i="3"/>
  <c r="Y300" i="3" s="1"/>
  <c r="F337" i="2"/>
  <c r="B337" i="3"/>
  <c r="E337" i="10"/>
  <c r="E301" i="3" l="1"/>
  <c r="H300" i="10"/>
  <c r="R212" i="8"/>
  <c r="K212" i="8"/>
  <c r="P300" i="3"/>
  <c r="F301" i="3"/>
  <c r="R300" i="3"/>
  <c r="S300" i="3" s="1"/>
  <c r="W300" i="3"/>
  <c r="Z300" i="3" s="1"/>
  <c r="I300" i="10"/>
  <c r="G337" i="2"/>
  <c r="T300" i="3" l="1"/>
  <c r="L212" i="8"/>
  <c r="M212" i="8"/>
  <c r="AA300" i="3"/>
  <c r="K300" i="10" s="1"/>
  <c r="J300" i="10"/>
  <c r="G301" i="3"/>
  <c r="I337" i="2"/>
  <c r="H337" i="2"/>
  <c r="H301" i="3" l="1"/>
  <c r="AB300" i="3"/>
  <c r="L300" i="10" s="1"/>
  <c r="AI212" i="8"/>
  <c r="P212" i="8"/>
  <c r="Q212" i="8" s="1"/>
  <c r="X212" i="8"/>
  <c r="AU212" i="8"/>
  <c r="M337" i="2"/>
  <c r="J337" i="2"/>
  <c r="D337" i="3"/>
  <c r="G337" i="10"/>
  <c r="I301" i="3" l="1"/>
  <c r="L301" i="3" s="1"/>
  <c r="M301" i="3"/>
  <c r="AJ212" i="8"/>
  <c r="S212" i="8"/>
  <c r="Y212" i="8"/>
  <c r="AA212" i="8" s="1"/>
  <c r="Z212" i="8"/>
  <c r="AB212" i="8" s="1"/>
  <c r="F337" i="10"/>
  <c r="C337" i="3"/>
  <c r="D337" i="10"/>
  <c r="B338" i="2"/>
  <c r="Q301" i="3" l="1"/>
  <c r="J301" i="3"/>
  <c r="AC212" i="8"/>
  <c r="AK212" i="8"/>
  <c r="T212" i="8"/>
  <c r="V212" i="8" s="1"/>
  <c r="AC301" i="3"/>
  <c r="M301" i="10" s="1"/>
  <c r="K301" i="3"/>
  <c r="D338" i="2"/>
  <c r="K338" i="2"/>
  <c r="C338" i="10"/>
  <c r="AT212" i="8" l="1"/>
  <c r="AD212" i="8"/>
  <c r="U301" i="3"/>
  <c r="N301" i="3"/>
  <c r="E338" i="2"/>
  <c r="L338" i="2"/>
  <c r="AE212" i="8" l="1"/>
  <c r="AL212" i="8"/>
  <c r="X301" i="3"/>
  <c r="V301" i="3"/>
  <c r="Y301" i="3" s="1"/>
  <c r="O301" i="3"/>
  <c r="F338" i="2"/>
  <c r="B338" i="3"/>
  <c r="E338" i="10"/>
  <c r="AF212" i="8" l="1"/>
  <c r="AM212" i="8" s="1"/>
  <c r="AQ212" i="8" s="1"/>
  <c r="G213" i="8" s="1"/>
  <c r="AP212" i="8"/>
  <c r="F213" i="8" s="1"/>
  <c r="R301" i="3"/>
  <c r="S301" i="3" s="1"/>
  <c r="P301" i="3"/>
  <c r="E302" i="3"/>
  <c r="H301" i="10"/>
  <c r="I301" i="10"/>
  <c r="W301" i="3"/>
  <c r="Z301" i="3" s="1"/>
  <c r="F302" i="3"/>
  <c r="G338" i="2"/>
  <c r="AG212" i="8" l="1"/>
  <c r="AH212" i="8" s="1"/>
  <c r="AN212" i="8" s="1"/>
  <c r="AR212" i="8" s="1"/>
  <c r="H213" i="8" s="1"/>
  <c r="AA301" i="3"/>
  <c r="K301" i="10" s="1"/>
  <c r="J301" i="10"/>
  <c r="G302" i="3"/>
  <c r="T301" i="3"/>
  <c r="I338" i="2"/>
  <c r="H338" i="2"/>
  <c r="I213" i="8" l="1"/>
  <c r="O213" i="8"/>
  <c r="AO212" i="8"/>
  <c r="AS212" i="8"/>
  <c r="H302" i="3"/>
  <c r="AB301" i="3"/>
  <c r="L301" i="10" s="1"/>
  <c r="M338" i="2"/>
  <c r="J338" i="2"/>
  <c r="D338" i="3"/>
  <c r="G338" i="10"/>
  <c r="J213" i="8" l="1"/>
  <c r="N213" i="8" s="1"/>
  <c r="M302" i="3"/>
  <c r="I302" i="3"/>
  <c r="L302" i="3" s="1"/>
  <c r="F338" i="10"/>
  <c r="C338" i="3"/>
  <c r="D338" i="10"/>
  <c r="B339" i="2"/>
  <c r="R213" i="8" l="1"/>
  <c r="K213" i="8"/>
  <c r="M213" i="8" s="1"/>
  <c r="J302" i="3"/>
  <c r="Q302" i="3"/>
  <c r="D339" i="2"/>
  <c r="K339" i="2"/>
  <c r="C339" i="10"/>
  <c r="P213" i="8" l="1"/>
  <c r="Q213" i="8" s="1"/>
  <c r="X213" i="8"/>
  <c r="AI213" i="8"/>
  <c r="L213" i="8"/>
  <c r="AC302" i="3"/>
  <c r="M302" i="10" s="1"/>
  <c r="K302" i="3"/>
  <c r="E339" i="2"/>
  <c r="L339" i="2"/>
  <c r="U302" i="3" l="1"/>
  <c r="V302" i="3" s="1"/>
  <c r="Y302" i="3" s="1"/>
  <c r="N302" i="3"/>
  <c r="S213" i="8"/>
  <c r="Z213" i="8"/>
  <c r="AB213" i="8" s="1"/>
  <c r="Y213" i="8"/>
  <c r="AA213" i="8" s="1"/>
  <c r="AJ213" i="8"/>
  <c r="AU213" i="8"/>
  <c r="F339" i="2"/>
  <c r="B339" i="3"/>
  <c r="E339" i="10"/>
  <c r="X302" i="3" l="1"/>
  <c r="I302" i="10"/>
  <c r="W302" i="3"/>
  <c r="Z302" i="3" s="1"/>
  <c r="O302" i="3"/>
  <c r="F303" i="3"/>
  <c r="AC213" i="8"/>
  <c r="T213" i="8"/>
  <c r="V213" i="8" s="1"/>
  <c r="AK213" i="8"/>
  <c r="G339" i="2"/>
  <c r="H302" i="10" l="1"/>
  <c r="E303" i="3"/>
  <c r="J302" i="10"/>
  <c r="AA302" i="3"/>
  <c r="K302" i="10" s="1"/>
  <c r="R302" i="3"/>
  <c r="S302" i="3" s="1"/>
  <c r="P302" i="3"/>
  <c r="G303" i="3"/>
  <c r="AD213" i="8"/>
  <c r="AT213" i="8"/>
  <c r="I339" i="2"/>
  <c r="H339" i="2"/>
  <c r="H303" i="3" l="1"/>
  <c r="T302" i="3"/>
  <c r="AE213" i="8"/>
  <c r="AL213" i="8"/>
  <c r="M303" i="3"/>
  <c r="I303" i="3"/>
  <c r="L303" i="3" s="1"/>
  <c r="AB302" i="3"/>
  <c r="L302" i="10" s="1"/>
  <c r="M339" i="2"/>
  <c r="J339" i="2"/>
  <c r="D339" i="3"/>
  <c r="G339" i="10"/>
  <c r="AF213" i="8" l="1"/>
  <c r="AM213" i="8" s="1"/>
  <c r="AQ213" i="8" s="1"/>
  <c r="G214" i="8" s="1"/>
  <c r="AP213" i="8"/>
  <c r="F214" i="8" s="1"/>
  <c r="J303" i="3"/>
  <c r="K303" i="3" s="1"/>
  <c r="Q303" i="3"/>
  <c r="F339" i="10"/>
  <c r="C339" i="3"/>
  <c r="D339" i="10"/>
  <c r="B340" i="2"/>
  <c r="AG213" i="8" l="1"/>
  <c r="AH213" i="8" s="1"/>
  <c r="AN213" i="8" s="1"/>
  <c r="AR213" i="8" s="1"/>
  <c r="H214" i="8" s="1"/>
  <c r="AC303" i="3"/>
  <c r="M303" i="10" s="1"/>
  <c r="U303" i="3"/>
  <c r="V303" i="3" s="1"/>
  <c r="Y303" i="3" s="1"/>
  <c r="N303" i="3"/>
  <c r="O303" i="3" s="1"/>
  <c r="D340" i="2"/>
  <c r="K340" i="2"/>
  <c r="C340" i="10"/>
  <c r="AO213" i="8" l="1"/>
  <c r="I214" i="8"/>
  <c r="X303" i="3"/>
  <c r="R303" i="3"/>
  <c r="S303" i="3" s="1"/>
  <c r="F304" i="3"/>
  <c r="W303" i="3"/>
  <c r="Z303" i="3" s="1"/>
  <c r="I303" i="10"/>
  <c r="P303" i="3"/>
  <c r="E340" i="2"/>
  <c r="L340" i="2"/>
  <c r="AS213" i="8" l="1"/>
  <c r="O214" i="8"/>
  <c r="J214" i="8"/>
  <c r="N214" i="8" s="1"/>
  <c r="H303" i="10"/>
  <c r="E304" i="3"/>
  <c r="J303" i="10"/>
  <c r="G304" i="3"/>
  <c r="AA303" i="3"/>
  <c r="K303" i="10" s="1"/>
  <c r="T303" i="3"/>
  <c r="AB303" i="3"/>
  <c r="L303" i="10" s="1"/>
  <c r="F340" i="2"/>
  <c r="B340" i="3"/>
  <c r="E340" i="10"/>
  <c r="R214" i="8" l="1"/>
  <c r="K214" i="8"/>
  <c r="H304" i="3"/>
  <c r="G340" i="2"/>
  <c r="H340" i="2" s="1"/>
  <c r="L214" i="8" l="1"/>
  <c r="M214" i="8"/>
  <c r="M304" i="3"/>
  <c r="I304" i="3"/>
  <c r="L304" i="3" s="1"/>
  <c r="I340" i="2"/>
  <c r="D340" i="3"/>
  <c r="G340" i="10"/>
  <c r="AU214" i="8" l="1"/>
  <c r="P214" i="8"/>
  <c r="Q214" i="8" s="1"/>
  <c r="AI214" i="8"/>
  <c r="X214" i="8"/>
  <c r="J304" i="3"/>
  <c r="K304" i="3" s="1"/>
  <c r="Q304" i="3"/>
  <c r="M340" i="2"/>
  <c r="J340" i="2"/>
  <c r="D340" i="10" l="1"/>
  <c r="B341" i="2"/>
  <c r="S214" i="8"/>
  <c r="AJ214" i="8"/>
  <c r="Y214" i="8"/>
  <c r="AA214" i="8" s="1"/>
  <c r="Z214" i="8"/>
  <c r="AB214" i="8" s="1"/>
  <c r="C340" i="3"/>
  <c r="AC304" i="3"/>
  <c r="M304" i="10" s="1"/>
  <c r="F340" i="10"/>
  <c r="U304" i="3"/>
  <c r="N304" i="3"/>
  <c r="O304" i="3" s="1"/>
  <c r="D341" i="2" l="1"/>
  <c r="K341" i="2"/>
  <c r="C341" i="10"/>
  <c r="AC214" i="8"/>
  <c r="T214" i="8"/>
  <c r="V214" i="8" s="1"/>
  <c r="AT214" i="8" s="1"/>
  <c r="AK214" i="8"/>
  <c r="X304" i="3"/>
  <c r="V304" i="3"/>
  <c r="Y304" i="3" s="1"/>
  <c r="R304" i="3"/>
  <c r="S304" i="3" s="1"/>
  <c r="P304" i="3"/>
  <c r="E341" i="2" l="1"/>
  <c r="L341" i="2"/>
  <c r="AD214" i="8"/>
  <c r="AL214" i="8" s="1"/>
  <c r="T304" i="3"/>
  <c r="E305" i="3"/>
  <c r="H304" i="10"/>
  <c r="I304" i="10"/>
  <c r="F305" i="3"/>
  <c r="W304" i="3"/>
  <c r="B341" i="3"/>
  <c r="E341" i="10"/>
  <c r="F341" i="2" l="1"/>
  <c r="AB304" i="3"/>
  <c r="L304" i="10" s="1"/>
  <c r="AP214" i="8"/>
  <c r="F215" i="8" s="1"/>
  <c r="AE214" i="8"/>
  <c r="AA304" i="3"/>
  <c r="K304" i="10" s="1"/>
  <c r="Z304" i="3"/>
  <c r="G341" i="2" l="1"/>
  <c r="AF214" i="8"/>
  <c r="AM214" i="8" s="1"/>
  <c r="G305" i="3"/>
  <c r="H305" i="3" s="1"/>
  <c r="J304" i="10"/>
  <c r="I341" i="2" l="1"/>
  <c r="H341" i="2"/>
  <c r="AQ214" i="8"/>
  <c r="G215" i="8" s="1"/>
  <c r="AG214" i="8"/>
  <c r="AH214" i="8" s="1"/>
  <c r="AN214" i="8" s="1"/>
  <c r="AR214" i="8" s="1"/>
  <c r="H215" i="8" s="1"/>
  <c r="I305" i="3"/>
  <c r="L305" i="3" s="1"/>
  <c r="M305" i="3"/>
  <c r="J305" i="3"/>
  <c r="K305" i="3" s="1"/>
  <c r="M341" i="2" l="1"/>
  <c r="J341" i="2"/>
  <c r="D341" i="3"/>
  <c r="G341" i="10"/>
  <c r="Q305" i="3"/>
  <c r="I215" i="8"/>
  <c r="AO214" i="8"/>
  <c r="D341" i="10"/>
  <c r="B342" i="2"/>
  <c r="U305" i="3"/>
  <c r="N305" i="3"/>
  <c r="AC305" i="3"/>
  <c r="M305" i="10" s="1"/>
  <c r="F341" i="10" l="1"/>
  <c r="C341" i="3"/>
  <c r="AS214" i="8"/>
  <c r="O215" i="8"/>
  <c r="J215" i="8"/>
  <c r="N215" i="8" s="1"/>
  <c r="R215" i="8"/>
  <c r="K215" i="8"/>
  <c r="M215" i="8" s="1"/>
  <c r="X305" i="3"/>
  <c r="D342" i="2"/>
  <c r="K342" i="2"/>
  <c r="C342" i="10"/>
  <c r="V305" i="3"/>
  <c r="Y305" i="3" s="1"/>
  <c r="O305" i="3"/>
  <c r="P305" i="3" l="1"/>
  <c r="X215" i="8"/>
  <c r="AI215" i="8"/>
  <c r="P215" i="8"/>
  <c r="Q215" i="8" s="1"/>
  <c r="L215" i="8"/>
  <c r="E306" i="3"/>
  <c r="H305" i="10"/>
  <c r="E342" i="2"/>
  <c r="L342" i="2"/>
  <c r="I305" i="10"/>
  <c r="F306" i="3"/>
  <c r="R305" i="3"/>
  <c r="S305" i="3" s="1"/>
  <c r="W305" i="3"/>
  <c r="Z305" i="3" s="1"/>
  <c r="Y215" i="8" l="1"/>
  <c r="AA215" i="8" s="1"/>
  <c r="Z215" i="8"/>
  <c r="AB215" i="8" s="1"/>
  <c r="AJ215" i="8"/>
  <c r="S215" i="8"/>
  <c r="AU215" i="8"/>
  <c r="T305" i="3"/>
  <c r="F342" i="2"/>
  <c r="B342" i="3"/>
  <c r="E342" i="10"/>
  <c r="G306" i="3"/>
  <c r="J305" i="10"/>
  <c r="AA305" i="3"/>
  <c r="K305" i="10" s="1"/>
  <c r="AC215" i="8" l="1"/>
  <c r="AK215" i="8"/>
  <c r="T215" i="8"/>
  <c r="V215" i="8" s="1"/>
  <c r="AB305" i="3"/>
  <c r="L305" i="10" s="1"/>
  <c r="H306" i="3"/>
  <c r="G342" i="2"/>
  <c r="AD215" i="8" l="1"/>
  <c r="AT215" i="8"/>
  <c r="M306" i="3"/>
  <c r="I306" i="3"/>
  <c r="L306" i="3" s="1"/>
  <c r="I342" i="2"/>
  <c r="H342" i="2"/>
  <c r="AL215" i="8" l="1"/>
  <c r="AE215" i="8"/>
  <c r="AF215" i="8"/>
  <c r="AM215" i="8" s="1"/>
  <c r="AQ215" i="8" s="1"/>
  <c r="G216" i="8" s="1"/>
  <c r="Q306" i="3"/>
  <c r="M342" i="2"/>
  <c r="J342" i="2"/>
  <c r="D342" i="3"/>
  <c r="G342" i="10"/>
  <c r="J306" i="3"/>
  <c r="K306" i="3" s="1"/>
  <c r="AP215" i="8" l="1"/>
  <c r="F216" i="8" s="1"/>
  <c r="AG215" i="8"/>
  <c r="AH215" i="8" s="1"/>
  <c r="AN215" i="8" s="1"/>
  <c r="F342" i="10"/>
  <c r="C342" i="3"/>
  <c r="D342" i="10"/>
  <c r="B343" i="2"/>
  <c r="U306" i="3"/>
  <c r="N306" i="3"/>
  <c r="AC306" i="3"/>
  <c r="M306" i="10" s="1"/>
  <c r="AO215" i="8" l="1"/>
  <c r="AR215" i="8"/>
  <c r="H216" i="8" s="1"/>
  <c r="X306" i="3"/>
  <c r="D343" i="2"/>
  <c r="K343" i="2"/>
  <c r="C343" i="10"/>
  <c r="V306" i="3"/>
  <c r="Y306" i="3" s="1"/>
  <c r="O306" i="3"/>
  <c r="I216" i="8" l="1"/>
  <c r="AS215" i="8"/>
  <c r="E307" i="3"/>
  <c r="H306" i="10"/>
  <c r="W306" i="3"/>
  <c r="Z306" i="3" s="1"/>
  <c r="P306" i="3"/>
  <c r="E343" i="2"/>
  <c r="L343" i="2"/>
  <c r="I306" i="10"/>
  <c r="F307" i="3"/>
  <c r="R306" i="3"/>
  <c r="S306" i="3" s="1"/>
  <c r="O216" i="8" l="1"/>
  <c r="J216" i="8"/>
  <c r="N216" i="8" s="1"/>
  <c r="AA306" i="3"/>
  <c r="K306" i="10" s="1"/>
  <c r="T306" i="3"/>
  <c r="G307" i="3"/>
  <c r="J306" i="10"/>
  <c r="F343" i="2"/>
  <c r="B343" i="3"/>
  <c r="E343" i="10"/>
  <c r="R216" i="8" l="1"/>
  <c r="K216" i="8"/>
  <c r="M216" i="8" s="1"/>
  <c r="AB306" i="3"/>
  <c r="L306" i="10" s="1"/>
  <c r="H307" i="3"/>
  <c r="G343" i="2"/>
  <c r="AI216" i="8" l="1"/>
  <c r="P216" i="8"/>
  <c r="Q216" i="8" s="1"/>
  <c r="X216" i="8"/>
  <c r="L216" i="8"/>
  <c r="M307" i="3"/>
  <c r="I307" i="3"/>
  <c r="L307" i="3" s="1"/>
  <c r="I343" i="2"/>
  <c r="H343" i="2"/>
  <c r="AJ216" i="8" l="1"/>
  <c r="S216" i="8"/>
  <c r="Y216" i="8"/>
  <c r="AA216" i="8" s="1"/>
  <c r="Z216" i="8"/>
  <c r="AB216" i="8" s="1"/>
  <c r="AU216" i="8"/>
  <c r="J307" i="3"/>
  <c r="K307" i="3" s="1"/>
  <c r="Q307" i="3"/>
  <c r="M343" i="2"/>
  <c r="J343" i="2"/>
  <c r="D343" i="3"/>
  <c r="G343" i="10"/>
  <c r="AC216" i="8" l="1"/>
  <c r="T216" i="8"/>
  <c r="V216" i="8" s="1"/>
  <c r="AT216" i="8" s="1"/>
  <c r="AK216" i="8"/>
  <c r="AC307" i="3"/>
  <c r="M307" i="10" s="1"/>
  <c r="U307" i="3"/>
  <c r="N307" i="3"/>
  <c r="F343" i="10"/>
  <c r="C343" i="3"/>
  <c r="D343" i="10"/>
  <c r="B344" i="2"/>
  <c r="O307" i="3" l="1"/>
  <c r="AD216" i="8"/>
  <c r="X307" i="3"/>
  <c r="V307" i="3"/>
  <c r="Y307" i="3" s="1"/>
  <c r="D344" i="2"/>
  <c r="K344" i="2"/>
  <c r="C344" i="10"/>
  <c r="P307" i="3" l="1"/>
  <c r="R307" i="3"/>
  <c r="S307" i="3" s="1"/>
  <c r="AE216" i="8"/>
  <c r="AL216" i="8"/>
  <c r="H307" i="10"/>
  <c r="E308" i="3"/>
  <c r="I307" i="10"/>
  <c r="F308" i="3"/>
  <c r="W307" i="3"/>
  <c r="E344" i="2"/>
  <c r="L344" i="2"/>
  <c r="T307" i="3" l="1"/>
  <c r="AF216" i="8"/>
  <c r="AM216" i="8" s="1"/>
  <c r="AQ216" i="8" s="1"/>
  <c r="G217" i="8" s="1"/>
  <c r="AP216" i="8"/>
  <c r="F217" i="8" s="1"/>
  <c r="AA307" i="3"/>
  <c r="K307" i="10" s="1"/>
  <c r="Z307" i="3"/>
  <c r="F344" i="2"/>
  <c r="B344" i="3"/>
  <c r="E344" i="10"/>
  <c r="AB307" i="3" l="1"/>
  <c r="L307" i="10" s="1"/>
  <c r="AG216" i="8"/>
  <c r="AH216" i="8" s="1"/>
  <c r="AN216" i="8" s="1"/>
  <c r="AR216" i="8" s="1"/>
  <c r="H217" i="8" s="1"/>
  <c r="G308" i="3"/>
  <c r="J307" i="10"/>
  <c r="G344" i="2"/>
  <c r="H344" i="2" s="1"/>
  <c r="I217" i="8" l="1"/>
  <c r="AO216" i="8"/>
  <c r="I344" i="2"/>
  <c r="H308" i="3"/>
  <c r="D344" i="3"/>
  <c r="G344" i="10"/>
  <c r="O217" i="8" l="1"/>
  <c r="J217" i="8"/>
  <c r="N217" i="8" s="1"/>
  <c r="R217" i="8" s="1"/>
  <c r="AS216" i="8"/>
  <c r="I308" i="3"/>
  <c r="L308" i="3" s="1"/>
  <c r="J344" i="2"/>
  <c r="M344" i="2"/>
  <c r="M308" i="3"/>
  <c r="K217" i="8" l="1"/>
  <c r="M217" i="8" s="1"/>
  <c r="J308" i="3"/>
  <c r="K308" i="3" s="1"/>
  <c r="Q308" i="3"/>
  <c r="F344" i="10"/>
  <c r="C344" i="3"/>
  <c r="D344" i="10"/>
  <c r="B345" i="2"/>
  <c r="AI217" i="8" l="1"/>
  <c r="P217" i="8"/>
  <c r="Q217" i="8" s="1"/>
  <c r="X217" i="8"/>
  <c r="N308" i="3"/>
  <c r="U308" i="3"/>
  <c r="L217" i="8"/>
  <c r="AC308" i="3"/>
  <c r="M308" i="10" s="1"/>
  <c r="D345" i="2"/>
  <c r="K345" i="2"/>
  <c r="C345" i="10"/>
  <c r="O308" i="3" l="1"/>
  <c r="AJ217" i="8"/>
  <c r="S217" i="8"/>
  <c r="Y217" i="8"/>
  <c r="AA217" i="8" s="1"/>
  <c r="Z217" i="8"/>
  <c r="AB217" i="8" s="1"/>
  <c r="AU217" i="8"/>
  <c r="V308" i="3"/>
  <c r="Y308" i="3" s="1"/>
  <c r="X308" i="3"/>
  <c r="E345" i="2"/>
  <c r="L345" i="2"/>
  <c r="P308" i="3" l="1"/>
  <c r="R308" i="3"/>
  <c r="S308" i="3" s="1"/>
  <c r="AC217" i="8"/>
  <c r="AK217" i="8"/>
  <c r="T217" i="8"/>
  <c r="V217" i="8" s="1"/>
  <c r="AT217" i="8" s="1"/>
  <c r="H308" i="10"/>
  <c r="I308" i="10"/>
  <c r="F309" i="3"/>
  <c r="E309" i="3"/>
  <c r="W308" i="3"/>
  <c r="F345" i="2"/>
  <c r="E345" i="10"/>
  <c r="B345" i="3"/>
  <c r="AA308" i="3" l="1"/>
  <c r="K308" i="10" s="1"/>
  <c r="Z308" i="3"/>
  <c r="T308" i="3"/>
  <c r="AB308" i="3" s="1"/>
  <c r="L308" i="10" s="1"/>
  <c r="AD217" i="8"/>
  <c r="G345" i="2"/>
  <c r="H345" i="2" s="1"/>
  <c r="J308" i="10" l="1"/>
  <c r="G309" i="3"/>
  <c r="AE217" i="8"/>
  <c r="AL217" i="8"/>
  <c r="I345" i="2"/>
  <c r="D345" i="3"/>
  <c r="G345" i="10"/>
  <c r="H309" i="3" l="1"/>
  <c r="AF217" i="8"/>
  <c r="AM217" i="8" s="1"/>
  <c r="AQ217" i="8" s="1"/>
  <c r="G218" i="8" s="1"/>
  <c r="AP217" i="8"/>
  <c r="F218" i="8" s="1"/>
  <c r="I309" i="3"/>
  <c r="L309" i="3" s="1"/>
  <c r="M309" i="3"/>
  <c r="M345" i="2"/>
  <c r="C345" i="3" s="1"/>
  <c r="J345" i="2"/>
  <c r="AG217" i="8" l="1"/>
  <c r="AH217" i="8" s="1"/>
  <c r="AN217" i="8" s="1"/>
  <c r="AR217" i="8" s="1"/>
  <c r="H218" i="8" s="1"/>
  <c r="F345" i="10"/>
  <c r="Q309" i="3"/>
  <c r="J309" i="3"/>
  <c r="K309" i="3" s="1"/>
  <c r="B346" i="2"/>
  <c r="D345" i="10"/>
  <c r="I218" i="8" l="1"/>
  <c r="AO217" i="8"/>
  <c r="J218" i="8"/>
  <c r="N218" i="8" s="1"/>
  <c r="R218" i="8" s="1"/>
  <c r="U309" i="3"/>
  <c r="N309" i="3"/>
  <c r="AC309" i="3"/>
  <c r="M309" i="10" s="1"/>
  <c r="C346" i="10"/>
  <c r="K346" i="2"/>
  <c r="D346" i="2"/>
  <c r="AS217" i="8" l="1"/>
  <c r="O218" i="8"/>
  <c r="K218" i="8"/>
  <c r="X309" i="3"/>
  <c r="V309" i="3"/>
  <c r="Y309" i="3" s="1"/>
  <c r="O309" i="3"/>
  <c r="L346" i="2"/>
  <c r="E346" i="2"/>
  <c r="F346" i="2" s="1"/>
  <c r="L218" i="8" l="1"/>
  <c r="M218" i="8"/>
  <c r="I309" i="10"/>
  <c r="H309" i="10"/>
  <c r="P309" i="3"/>
  <c r="E310" i="3"/>
  <c r="F310" i="3"/>
  <c r="R309" i="3"/>
  <c r="S309" i="3" s="1"/>
  <c r="W309" i="3"/>
  <c r="Z309" i="3" s="1"/>
  <c r="E346" i="10"/>
  <c r="B346" i="3"/>
  <c r="G346" i="2"/>
  <c r="J309" i="10" l="1"/>
  <c r="G310" i="3"/>
  <c r="AU218" i="8"/>
  <c r="X218" i="8"/>
  <c r="P218" i="8"/>
  <c r="Q218" i="8" s="1"/>
  <c r="AI218" i="8"/>
  <c r="AA309" i="3"/>
  <c r="K309" i="10" s="1"/>
  <c r="T309" i="3"/>
  <c r="I346" i="2"/>
  <c r="H346" i="2"/>
  <c r="H310" i="3" l="1"/>
  <c r="Y218" i="8"/>
  <c r="AA218" i="8" s="1"/>
  <c r="Z218" i="8"/>
  <c r="AB218" i="8" s="1"/>
  <c r="S218" i="8"/>
  <c r="AJ218" i="8"/>
  <c r="AB309" i="3"/>
  <c r="L309" i="10" s="1"/>
  <c r="M346" i="2"/>
  <c r="D346" i="3"/>
  <c r="G346" i="10"/>
  <c r="J346" i="2"/>
  <c r="I310" i="3" l="1"/>
  <c r="L310" i="3" s="1"/>
  <c r="M310" i="3"/>
  <c r="AC218" i="8"/>
  <c r="T218" i="8"/>
  <c r="V218" i="8" s="1"/>
  <c r="AK218" i="8"/>
  <c r="F346" i="10"/>
  <c r="C346" i="3"/>
  <c r="B347" i="2"/>
  <c r="D346" i="10"/>
  <c r="Q310" i="3" l="1"/>
  <c r="J310" i="3"/>
  <c r="K310" i="3" s="1"/>
  <c r="AD218" i="8"/>
  <c r="AT218" i="8"/>
  <c r="D347" i="2"/>
  <c r="K347" i="2"/>
  <c r="C347" i="10"/>
  <c r="U310" i="3" l="1"/>
  <c r="N310" i="3"/>
  <c r="AC310" i="3"/>
  <c r="M310" i="10" s="1"/>
  <c r="AE218" i="8"/>
  <c r="AL218" i="8"/>
  <c r="E347" i="2"/>
  <c r="L347" i="2"/>
  <c r="V310" i="3"/>
  <c r="Y310" i="3" s="1"/>
  <c r="O310" i="3" l="1"/>
  <c r="X310" i="3"/>
  <c r="AF218" i="8"/>
  <c r="AM218" i="8" s="1"/>
  <c r="AQ218" i="8" s="1"/>
  <c r="G219" i="8" s="1"/>
  <c r="AP218" i="8"/>
  <c r="F219" i="8" s="1"/>
  <c r="F347" i="2"/>
  <c r="B347" i="3"/>
  <c r="E347" i="10"/>
  <c r="W310" i="3"/>
  <c r="Z310" i="3" s="1"/>
  <c r="I310" i="10"/>
  <c r="F311" i="3"/>
  <c r="R310" i="3" l="1"/>
  <c r="S310" i="3" s="1"/>
  <c r="P310" i="3"/>
  <c r="H310" i="10"/>
  <c r="E311" i="3"/>
  <c r="AG218" i="8"/>
  <c r="AH218" i="8" s="1"/>
  <c r="AN218" i="8" s="1"/>
  <c r="G347" i="2"/>
  <c r="AA310" i="3"/>
  <c r="K310" i="10" s="1"/>
  <c r="J310" i="10"/>
  <c r="G311" i="3"/>
  <c r="T310" i="3" l="1"/>
  <c r="AO218" i="8"/>
  <c r="AR218" i="8"/>
  <c r="H219" i="8" s="1"/>
  <c r="I347" i="2"/>
  <c r="H347" i="2"/>
  <c r="H311" i="3"/>
  <c r="AB310" i="3" l="1"/>
  <c r="L310" i="10" s="1"/>
  <c r="AS218" i="8"/>
  <c r="I219" i="8"/>
  <c r="M347" i="2"/>
  <c r="J347" i="2"/>
  <c r="D347" i="3"/>
  <c r="G347" i="10"/>
  <c r="I311" i="3"/>
  <c r="L311" i="3" s="1"/>
  <c r="M311" i="3"/>
  <c r="J219" i="8" l="1"/>
  <c r="N219" i="8" s="1"/>
  <c r="O219" i="8"/>
  <c r="F347" i="10"/>
  <c r="C347" i="3"/>
  <c r="D347" i="10"/>
  <c r="B348" i="2"/>
  <c r="J311" i="3"/>
  <c r="Q311" i="3"/>
  <c r="R219" i="8" l="1"/>
  <c r="K219" i="8"/>
  <c r="M219" i="8" s="1"/>
  <c r="D348" i="2"/>
  <c r="K348" i="2"/>
  <c r="C348" i="10"/>
  <c r="AC311" i="3"/>
  <c r="M311" i="10" s="1"/>
  <c r="K311" i="3"/>
  <c r="AI219" i="8" l="1"/>
  <c r="X219" i="8"/>
  <c r="P219" i="8"/>
  <c r="Q219" i="8" s="1"/>
  <c r="L219" i="8"/>
  <c r="E348" i="2"/>
  <c r="L348" i="2"/>
  <c r="U311" i="3"/>
  <c r="N311" i="3"/>
  <c r="AU219" i="8" l="1"/>
  <c r="AJ219" i="8"/>
  <c r="Y219" i="8"/>
  <c r="AA219" i="8" s="1"/>
  <c r="Z219" i="8"/>
  <c r="AB219" i="8" s="1"/>
  <c r="S219" i="8"/>
  <c r="X311" i="3"/>
  <c r="F348" i="2"/>
  <c r="B348" i="3"/>
  <c r="E348" i="10"/>
  <c r="V311" i="3"/>
  <c r="Y311" i="3" s="1"/>
  <c r="O311" i="3"/>
  <c r="AC219" i="8" l="1"/>
  <c r="T219" i="8"/>
  <c r="V219" i="8" s="1"/>
  <c r="P311" i="3"/>
  <c r="R311" i="3"/>
  <c r="S311" i="3" s="1"/>
  <c r="AK219" i="8"/>
  <c r="E312" i="3"/>
  <c r="H311" i="10"/>
  <c r="I311" i="10"/>
  <c r="F312" i="3"/>
  <c r="W311" i="3"/>
  <c r="Z311" i="3" s="1"/>
  <c r="G348" i="2"/>
  <c r="H348" i="2" s="1"/>
  <c r="G312" i="3" l="1"/>
  <c r="J311" i="10"/>
  <c r="T311" i="3"/>
  <c r="AA311" i="3"/>
  <c r="K311" i="10" s="1"/>
  <c r="AD219" i="8"/>
  <c r="AT219" i="8"/>
  <c r="I348" i="2"/>
  <c r="G348" i="10"/>
  <c r="D348" i="3"/>
  <c r="H312" i="3" l="1"/>
  <c r="AB311" i="3"/>
  <c r="L311" i="10" s="1"/>
  <c r="J348" i="2"/>
  <c r="AE219" i="8"/>
  <c r="AL219" i="8"/>
  <c r="M348" i="2"/>
  <c r="M312" i="3" l="1"/>
  <c r="I312" i="3"/>
  <c r="L312" i="3" s="1"/>
  <c r="D348" i="10"/>
  <c r="B349" i="2"/>
  <c r="D349" i="2" s="1"/>
  <c r="AF219" i="8"/>
  <c r="AM219" i="8" s="1"/>
  <c r="AQ219" i="8" s="1"/>
  <c r="G220" i="8" s="1"/>
  <c r="AP219" i="8"/>
  <c r="F220" i="8" s="1"/>
  <c r="F348" i="10"/>
  <c r="C348" i="3"/>
  <c r="Q312" i="3" l="1"/>
  <c r="J312" i="3"/>
  <c r="K312" i="3" s="1"/>
  <c r="K349" i="2"/>
  <c r="C349" i="10"/>
  <c r="E349" i="2"/>
  <c r="AG219" i="8"/>
  <c r="AH219" i="8" s="1"/>
  <c r="AN219" i="8" s="1"/>
  <c r="AR219" i="8" s="1"/>
  <c r="H220" i="8" s="1"/>
  <c r="U312" i="3"/>
  <c r="N312" i="3"/>
  <c r="AC312" i="3" l="1"/>
  <c r="M312" i="10" s="1"/>
  <c r="AO219" i="8"/>
  <c r="L349" i="2"/>
  <c r="B349" i="3" s="1"/>
  <c r="F349" i="2"/>
  <c r="I220" i="8"/>
  <c r="X312" i="3"/>
  <c r="V312" i="3"/>
  <c r="Y312" i="3" s="1"/>
  <c r="O312" i="3"/>
  <c r="AS219" i="8" l="1"/>
  <c r="E349" i="10"/>
  <c r="G349" i="2"/>
  <c r="J220" i="8"/>
  <c r="N220" i="8" s="1"/>
  <c r="O220" i="8"/>
  <c r="P312" i="3"/>
  <c r="E313" i="3"/>
  <c r="H312" i="10"/>
  <c r="W312" i="3"/>
  <c r="Z312" i="3" s="1"/>
  <c r="I312" i="10"/>
  <c r="F313" i="3"/>
  <c r="R312" i="3"/>
  <c r="S312" i="3" s="1"/>
  <c r="I349" i="2" l="1"/>
  <c r="H349" i="2"/>
  <c r="R220" i="8"/>
  <c r="K220" i="8"/>
  <c r="M220" i="8" s="1"/>
  <c r="J312" i="10"/>
  <c r="G313" i="3"/>
  <c r="AA312" i="3"/>
  <c r="K312" i="10" s="1"/>
  <c r="T312" i="3"/>
  <c r="AB312" i="3" s="1"/>
  <c r="L312" i="10" s="1"/>
  <c r="M349" i="2" l="1"/>
  <c r="J349" i="2"/>
  <c r="D349" i="3"/>
  <c r="G349" i="10"/>
  <c r="P220" i="8"/>
  <c r="Q220" i="8" s="1"/>
  <c r="X220" i="8"/>
  <c r="AI220" i="8"/>
  <c r="L220" i="8"/>
  <c r="H313" i="3"/>
  <c r="F349" i="10" l="1"/>
  <c r="C349" i="3"/>
  <c r="D349" i="10"/>
  <c r="B350" i="2"/>
  <c r="S220" i="8"/>
  <c r="Z220" i="8"/>
  <c r="AB220" i="8" s="1"/>
  <c r="Y220" i="8"/>
  <c r="AA220" i="8" s="1"/>
  <c r="AJ220" i="8"/>
  <c r="AU220" i="8"/>
  <c r="K350" i="2"/>
  <c r="C350" i="10"/>
  <c r="I313" i="3"/>
  <c r="L313" i="3" s="1"/>
  <c r="M313" i="3"/>
  <c r="D350" i="2" l="1"/>
  <c r="AC220" i="8"/>
  <c r="AK220" i="8"/>
  <c r="T220" i="8"/>
  <c r="V220" i="8" s="1"/>
  <c r="AT220" i="8" s="1"/>
  <c r="Q313" i="3"/>
  <c r="J313" i="3"/>
  <c r="E350" i="2" l="1"/>
  <c r="L350" i="2"/>
  <c r="AD220" i="8"/>
  <c r="AC313" i="3"/>
  <c r="M313" i="10" s="1"/>
  <c r="K313" i="3"/>
  <c r="F350" i="2" l="1"/>
  <c r="B350" i="3"/>
  <c r="E350" i="10"/>
  <c r="AL220" i="8"/>
  <c r="AE220" i="8"/>
  <c r="U313" i="3"/>
  <c r="N313" i="3"/>
  <c r="G350" i="2" l="1"/>
  <c r="H350" i="2" s="1"/>
  <c r="AP220" i="8"/>
  <c r="F221" i="8" s="1"/>
  <c r="AF220" i="8"/>
  <c r="AM220" i="8" s="1"/>
  <c r="AQ220" i="8" s="1"/>
  <c r="G221" i="8" s="1"/>
  <c r="V313" i="3"/>
  <c r="Y313" i="3" s="1"/>
  <c r="X313" i="3"/>
  <c r="O313" i="3"/>
  <c r="G350" i="10" l="1"/>
  <c r="D350" i="3"/>
  <c r="I350" i="2"/>
  <c r="AG220" i="8"/>
  <c r="AH220" i="8" s="1"/>
  <c r="AN220" i="8" s="1"/>
  <c r="AR220" i="8" s="1"/>
  <c r="H221" i="8" s="1"/>
  <c r="H313" i="10"/>
  <c r="E314" i="3"/>
  <c r="F314" i="3"/>
  <c r="W313" i="3"/>
  <c r="Z313" i="3" s="1"/>
  <c r="I313" i="10"/>
  <c r="R313" i="3"/>
  <c r="S313" i="3" s="1"/>
  <c r="P313" i="3"/>
  <c r="M350" i="2" l="1"/>
  <c r="J350" i="2"/>
  <c r="D350" i="10"/>
  <c r="I221" i="8"/>
  <c r="B351" i="2"/>
  <c r="J313" i="10"/>
  <c r="AO220" i="8"/>
  <c r="AS220" i="8"/>
  <c r="AA313" i="3"/>
  <c r="K313" i="10" s="1"/>
  <c r="G314" i="3"/>
  <c r="T313" i="3"/>
  <c r="C350" i="3" l="1"/>
  <c r="F350" i="10"/>
  <c r="O221" i="8"/>
  <c r="D351" i="2"/>
  <c r="J221" i="8"/>
  <c r="N221" i="8" s="1"/>
  <c r="K351" i="2"/>
  <c r="C351" i="10"/>
  <c r="AB313" i="3"/>
  <c r="L313" i="10" s="1"/>
  <c r="H314" i="3"/>
  <c r="E351" i="2" l="1"/>
  <c r="M314" i="3"/>
  <c r="R221" i="8"/>
  <c r="L351" i="2"/>
  <c r="K221" i="8"/>
  <c r="M221" i="8" s="1"/>
  <c r="I314" i="3"/>
  <c r="L314" i="3" s="1"/>
  <c r="F351" i="2" l="1"/>
  <c r="X221" i="8"/>
  <c r="AI221" i="8"/>
  <c r="P221" i="8"/>
  <c r="Q221" i="8" s="1"/>
  <c r="B351" i="3"/>
  <c r="E351" i="10"/>
  <c r="L221" i="8"/>
  <c r="J314" i="3"/>
  <c r="K314" i="3" s="1"/>
  <c r="Q314" i="3"/>
  <c r="G351" i="2" l="1"/>
  <c r="Z221" i="8"/>
  <c r="AB221" i="8" s="1"/>
  <c r="Y221" i="8"/>
  <c r="AA221" i="8" s="1"/>
  <c r="AJ221" i="8"/>
  <c r="S221" i="8"/>
  <c r="AU221" i="8"/>
  <c r="U314" i="3"/>
  <c r="V314" i="3" s="1"/>
  <c r="Y314" i="3" s="1"/>
  <c r="N314" i="3"/>
  <c r="O314" i="3" s="1"/>
  <c r="AC314" i="3"/>
  <c r="M314" i="10" s="1"/>
  <c r="I351" i="2" l="1"/>
  <c r="H351" i="2"/>
  <c r="AC221" i="8"/>
  <c r="X314" i="3"/>
  <c r="AK221" i="8"/>
  <c r="T221" i="8"/>
  <c r="V221" i="8" s="1"/>
  <c r="R314" i="3"/>
  <c r="S314" i="3" s="1"/>
  <c r="I314" i="10"/>
  <c r="F315" i="3"/>
  <c r="W314" i="3"/>
  <c r="Z314" i="3" s="1"/>
  <c r="P314" i="3"/>
  <c r="E315" i="3" l="1"/>
  <c r="H314" i="10"/>
  <c r="J351" i="2"/>
  <c r="G351" i="10"/>
  <c r="D351" i="3"/>
  <c r="M351" i="2"/>
  <c r="AD221" i="8"/>
  <c r="AT221" i="8"/>
  <c r="J314" i="10"/>
  <c r="G315" i="3"/>
  <c r="AA314" i="3"/>
  <c r="K314" i="10" s="1"/>
  <c r="T314" i="3"/>
  <c r="F351" i="10" l="1"/>
  <c r="C351" i="3"/>
  <c r="D351" i="10"/>
  <c r="B352" i="2"/>
  <c r="AE221" i="8"/>
  <c r="AL221" i="8"/>
  <c r="AB314" i="3"/>
  <c r="L314" i="10" s="1"/>
  <c r="H315" i="3"/>
  <c r="D352" i="2" l="1"/>
  <c r="K352" i="2"/>
  <c r="C352" i="10"/>
  <c r="AF221" i="8"/>
  <c r="AM221" i="8" s="1"/>
  <c r="AQ221" i="8" s="1"/>
  <c r="G222" i="8" s="1"/>
  <c r="AP221" i="8"/>
  <c r="F222" i="8" s="1"/>
  <c r="I315" i="3"/>
  <c r="L315" i="3" s="1"/>
  <c r="M315" i="3"/>
  <c r="E352" i="2" l="1"/>
  <c r="L352" i="2"/>
  <c r="Q315" i="3"/>
  <c r="J315" i="3"/>
  <c r="K315" i="3" s="1"/>
  <c r="AG221" i="8"/>
  <c r="AH221" i="8" s="1"/>
  <c r="AN221" i="8" s="1"/>
  <c r="F352" i="2" l="1"/>
  <c r="B352" i="3"/>
  <c r="E352" i="10"/>
  <c r="N315" i="3"/>
  <c r="AC315" i="3"/>
  <c r="M315" i="10" s="1"/>
  <c r="U315" i="3"/>
  <c r="AR221" i="8"/>
  <c r="H222" i="8" s="1"/>
  <c r="AO221" i="8"/>
  <c r="X315" i="3" l="1"/>
  <c r="V315" i="3"/>
  <c r="G352" i="2"/>
  <c r="O315" i="3"/>
  <c r="I222" i="8"/>
  <c r="AS221" i="8"/>
  <c r="E316" i="3" l="1"/>
  <c r="H315" i="10"/>
  <c r="W315" i="3"/>
  <c r="Z315" i="3" s="1"/>
  <c r="Y315" i="3"/>
  <c r="I352" i="2"/>
  <c r="H352" i="2"/>
  <c r="R315" i="3"/>
  <c r="S315" i="3" s="1"/>
  <c r="O222" i="8"/>
  <c r="P315" i="3"/>
  <c r="J222" i="8"/>
  <c r="N222" i="8" s="1"/>
  <c r="G316" i="3" l="1"/>
  <c r="J315" i="10"/>
  <c r="F316" i="3"/>
  <c r="I315" i="10"/>
  <c r="AA315" i="3"/>
  <c r="K315" i="10" s="1"/>
  <c r="G352" i="10"/>
  <c r="D352" i="3"/>
  <c r="M352" i="2"/>
  <c r="J352" i="2"/>
  <c r="T315" i="3"/>
  <c r="D352" i="10"/>
  <c r="B353" i="2"/>
  <c r="R222" i="8"/>
  <c r="K222" i="8"/>
  <c r="M222" i="8" s="1"/>
  <c r="F352" i="10" l="1"/>
  <c r="H316" i="3"/>
  <c r="L222" i="8"/>
  <c r="AU222" i="8" s="1"/>
  <c r="C352" i="3"/>
  <c r="AB315" i="3"/>
  <c r="L315" i="10" s="1"/>
  <c r="D353" i="2"/>
  <c r="K353" i="2"/>
  <c r="C353" i="10"/>
  <c r="P222" i="8"/>
  <c r="Q222" i="8" s="1"/>
  <c r="AI222" i="8"/>
  <c r="X222" i="8"/>
  <c r="I316" i="3" l="1"/>
  <c r="L316" i="3" s="1"/>
  <c r="M316" i="3"/>
  <c r="E353" i="2"/>
  <c r="L353" i="2"/>
  <c r="S222" i="8"/>
  <c r="AJ222" i="8"/>
  <c r="Y222" i="8"/>
  <c r="AA222" i="8" s="1"/>
  <c r="Z222" i="8"/>
  <c r="AB222" i="8" s="1"/>
  <c r="J316" i="3" l="1"/>
  <c r="K316" i="3" s="1"/>
  <c r="Q316" i="3"/>
  <c r="AC316" i="3"/>
  <c r="M316" i="10" s="1"/>
  <c r="U316" i="3"/>
  <c r="F353" i="2"/>
  <c r="B353" i="3"/>
  <c r="E353" i="10"/>
  <c r="T222" i="8"/>
  <c r="V222" i="8" s="1"/>
  <c r="AC222" i="8"/>
  <c r="AK222" i="8"/>
  <c r="N316" i="3" l="1"/>
  <c r="V316" i="3"/>
  <c r="Y316" i="3" s="1"/>
  <c r="AT222" i="8"/>
  <c r="O316" i="3"/>
  <c r="X316" i="3"/>
  <c r="G353" i="2"/>
  <c r="H353" i="2" s="1"/>
  <c r="AD222" i="8"/>
  <c r="H316" i="10"/>
  <c r="P316" i="3" l="1"/>
  <c r="AL222" i="8"/>
  <c r="AP222" i="8" s="1"/>
  <c r="F223" i="8" s="1"/>
  <c r="E317" i="3"/>
  <c r="R316" i="3"/>
  <c r="S316" i="3" s="1"/>
  <c r="T316" i="3"/>
  <c r="W316" i="3"/>
  <c r="Z316" i="3" s="1"/>
  <c r="I316" i="10"/>
  <c r="F317" i="3"/>
  <c r="AE222" i="8"/>
  <c r="D353" i="3"/>
  <c r="I353" i="2"/>
  <c r="G353" i="10"/>
  <c r="AF222" i="8" l="1"/>
  <c r="AM222" i="8" s="1"/>
  <c r="J353" i="2"/>
  <c r="M353" i="2"/>
  <c r="AB316" i="3"/>
  <c r="L316" i="10" s="1"/>
  <c r="G317" i="3"/>
  <c r="J316" i="10"/>
  <c r="AA316" i="3"/>
  <c r="K316" i="10" s="1"/>
  <c r="AG222" i="8"/>
  <c r="AH222" i="8" s="1"/>
  <c r="AN222" i="8" s="1"/>
  <c r="AR222" i="8" s="1"/>
  <c r="H223" i="8" s="1"/>
  <c r="AQ222" i="8" l="1"/>
  <c r="G223" i="8" s="1"/>
  <c r="B354" i="2"/>
  <c r="D353" i="10"/>
  <c r="C353" i="3"/>
  <c r="F353" i="10"/>
  <c r="H317" i="3"/>
  <c r="I317" i="3" s="1"/>
  <c r="L317" i="3" s="1"/>
  <c r="I223" i="8"/>
  <c r="AO222" i="8"/>
  <c r="C354" i="10"/>
  <c r="K354" i="2"/>
  <c r="D354" i="2"/>
  <c r="J223" i="8" l="1"/>
  <c r="N223" i="8" s="1"/>
  <c r="O223" i="8"/>
  <c r="Q317" i="3"/>
  <c r="J317" i="3"/>
  <c r="K317" i="3" s="1"/>
  <c r="M317" i="3"/>
  <c r="AS222" i="8"/>
  <c r="L354" i="2"/>
  <c r="E354" i="2"/>
  <c r="F354" i="2" s="1"/>
  <c r="K223" i="8" l="1"/>
  <c r="AC317" i="3"/>
  <c r="M317" i="10" s="1"/>
  <c r="R223" i="8"/>
  <c r="U317" i="3"/>
  <c r="N317" i="3"/>
  <c r="L223" i="8"/>
  <c r="M223" i="8"/>
  <c r="B354" i="3"/>
  <c r="E354" i="10"/>
  <c r="G354" i="2"/>
  <c r="AU223" i="8" l="1"/>
  <c r="X317" i="3"/>
  <c r="V317" i="3"/>
  <c r="Y317" i="3" s="1"/>
  <c r="O317" i="3"/>
  <c r="P223" i="8"/>
  <c r="Q223" i="8" s="1"/>
  <c r="AI223" i="8"/>
  <c r="X223" i="8"/>
  <c r="I354" i="2"/>
  <c r="H354" i="2"/>
  <c r="H317" i="10" l="1"/>
  <c r="E318" i="3"/>
  <c r="F318" i="3"/>
  <c r="I317" i="10"/>
  <c r="W317" i="3"/>
  <c r="Z317" i="3" s="1"/>
  <c r="P317" i="3"/>
  <c r="R317" i="3"/>
  <c r="S317" i="3" s="1"/>
  <c r="S223" i="8"/>
  <c r="AJ223" i="8"/>
  <c r="Y223" i="8"/>
  <c r="AA223" i="8" s="1"/>
  <c r="Z223" i="8"/>
  <c r="AB223" i="8" s="1"/>
  <c r="M354" i="2"/>
  <c r="J354" i="2"/>
  <c r="D354" i="3"/>
  <c r="G354" i="10"/>
  <c r="G318" i="3" l="1"/>
  <c r="J317" i="10"/>
  <c r="AA317" i="3"/>
  <c r="K317" i="10" s="1"/>
  <c r="T317" i="3"/>
  <c r="AC223" i="8"/>
  <c r="AK223" i="8"/>
  <c r="T223" i="8"/>
  <c r="V223" i="8" s="1"/>
  <c r="F354" i="10"/>
  <c r="C354" i="3"/>
  <c r="D354" i="10"/>
  <c r="B355" i="2"/>
  <c r="H318" i="3" l="1"/>
  <c r="M318" i="3" s="1"/>
  <c r="AB317" i="3"/>
  <c r="L317" i="10" s="1"/>
  <c r="AD223" i="8"/>
  <c r="AL223" i="8"/>
  <c r="AP223" i="8"/>
  <c r="F224" i="8" s="1"/>
  <c r="AE223" i="8"/>
  <c r="AT223" i="8"/>
  <c r="D355" i="2"/>
  <c r="C355" i="10"/>
  <c r="K355" i="2"/>
  <c r="I318" i="3"/>
  <c r="L318" i="3" s="1"/>
  <c r="AF223" i="8" l="1"/>
  <c r="AM223" i="8" s="1"/>
  <c r="L355" i="2"/>
  <c r="E355" i="2"/>
  <c r="J318" i="3"/>
  <c r="K318" i="3" s="1"/>
  <c r="Q318" i="3"/>
  <c r="AQ223" i="8" l="1"/>
  <c r="G224" i="8" s="1"/>
  <c r="AG223" i="8"/>
  <c r="AH223" i="8" s="1"/>
  <c r="AN223" i="8" s="1"/>
  <c r="AR223" i="8" s="1"/>
  <c r="H224" i="8" s="1"/>
  <c r="AC318" i="3"/>
  <c r="M318" i="10" s="1"/>
  <c r="F355" i="2"/>
  <c r="B355" i="3"/>
  <c r="E355" i="10"/>
  <c r="U318" i="3"/>
  <c r="N318" i="3"/>
  <c r="O318" i="3" s="1"/>
  <c r="I224" i="8" l="1"/>
  <c r="AO223" i="8"/>
  <c r="AS223" i="8"/>
  <c r="G355" i="2"/>
  <c r="H355" i="2" s="1"/>
  <c r="V318" i="3"/>
  <c r="Y318" i="3" s="1"/>
  <c r="X318" i="3"/>
  <c r="P318" i="3"/>
  <c r="R318" i="3"/>
  <c r="S318" i="3" s="1"/>
  <c r="O224" i="8" l="1"/>
  <c r="T318" i="3"/>
  <c r="J224" i="8"/>
  <c r="N224" i="8" s="1"/>
  <c r="W318" i="3"/>
  <c r="Z318" i="3" s="1"/>
  <c r="I318" i="10"/>
  <c r="F319" i="3"/>
  <c r="D355" i="3"/>
  <c r="G355" i="10"/>
  <c r="I355" i="2"/>
  <c r="H318" i="10"/>
  <c r="E319" i="3"/>
  <c r="AB318" i="3" l="1"/>
  <c r="L318" i="10" s="1"/>
  <c r="R224" i="8"/>
  <c r="K224" i="8"/>
  <c r="M224" i="8" s="1"/>
  <c r="G319" i="3"/>
  <c r="J318" i="10"/>
  <c r="AA318" i="3"/>
  <c r="K318" i="10" s="1"/>
  <c r="M355" i="2"/>
  <c r="J355" i="2"/>
  <c r="X224" i="8" l="1"/>
  <c r="AI224" i="8"/>
  <c r="P224" i="8"/>
  <c r="Q224" i="8" s="1"/>
  <c r="L224" i="8"/>
  <c r="H319" i="3"/>
  <c r="D355" i="10"/>
  <c r="B356" i="2"/>
  <c r="F355" i="10"/>
  <c r="C355" i="3"/>
  <c r="M319" i="3" l="1"/>
  <c r="I319" i="3"/>
  <c r="L319" i="3" s="1"/>
  <c r="Z224" i="8"/>
  <c r="AB224" i="8" s="1"/>
  <c r="Y224" i="8"/>
  <c r="AA224" i="8" s="1"/>
  <c r="AJ224" i="8"/>
  <c r="S224" i="8"/>
  <c r="AU224" i="8"/>
  <c r="D356" i="2"/>
  <c r="K356" i="2"/>
  <c r="C356" i="10"/>
  <c r="J319" i="3" l="1"/>
  <c r="Q319" i="3"/>
  <c r="AC224" i="8"/>
  <c r="AK224" i="8"/>
  <c r="T224" i="8"/>
  <c r="V224" i="8" s="1"/>
  <c r="L356" i="2"/>
  <c r="E356" i="2"/>
  <c r="K319" i="3" l="1"/>
  <c r="AC319" i="3"/>
  <c r="M319" i="10" s="1"/>
  <c r="AT224" i="8"/>
  <c r="AD224" i="8"/>
  <c r="F356" i="2"/>
  <c r="B356" i="3"/>
  <c r="E356" i="10"/>
  <c r="U319" i="3" l="1"/>
  <c r="N319" i="3"/>
  <c r="AE224" i="8"/>
  <c r="AL224" i="8"/>
  <c r="G356" i="2"/>
  <c r="O319" i="3" l="1"/>
  <c r="X319" i="3"/>
  <c r="V319" i="3"/>
  <c r="Y319" i="3" s="1"/>
  <c r="AF224" i="8"/>
  <c r="AM224" i="8" s="1"/>
  <c r="AQ224" i="8" s="1"/>
  <c r="G225" i="8" s="1"/>
  <c r="AP224" i="8"/>
  <c r="F225" i="8" s="1"/>
  <c r="P319" i="3"/>
  <c r="R319" i="3"/>
  <c r="S319" i="3" s="1"/>
  <c r="I356" i="2"/>
  <c r="H356" i="2"/>
  <c r="E320" i="3" l="1"/>
  <c r="H319" i="10"/>
  <c r="W319" i="3"/>
  <c r="Z319" i="3" s="1"/>
  <c r="J319" i="10" s="1"/>
  <c r="I319" i="10"/>
  <c r="F320" i="3"/>
  <c r="AG224" i="8"/>
  <c r="AH224" i="8" s="1"/>
  <c r="AN224" i="8" s="1"/>
  <c r="M356" i="2"/>
  <c r="D356" i="3"/>
  <c r="G356" i="10"/>
  <c r="J356" i="2"/>
  <c r="T319" i="3"/>
  <c r="AB319" i="3" s="1"/>
  <c r="L319" i="10" s="1"/>
  <c r="AA319" i="3" l="1"/>
  <c r="K319" i="10" s="1"/>
  <c r="G320" i="3"/>
  <c r="H320" i="3" s="1"/>
  <c r="AO224" i="8"/>
  <c r="AR224" i="8"/>
  <c r="H225" i="8" s="1"/>
  <c r="D356" i="10"/>
  <c r="B357" i="2"/>
  <c r="C356" i="3"/>
  <c r="F356" i="10"/>
  <c r="M320" i="3" l="1"/>
  <c r="I320" i="3"/>
  <c r="L320" i="3" s="1"/>
  <c r="D357" i="2"/>
  <c r="I225" i="8"/>
  <c r="AS224" i="8"/>
  <c r="K357" i="2"/>
  <c r="C357" i="10"/>
  <c r="Q320" i="3" l="1"/>
  <c r="J320" i="3"/>
  <c r="K320" i="3" s="1"/>
  <c r="E357" i="2"/>
  <c r="L357" i="2"/>
  <c r="J225" i="8"/>
  <c r="N225" i="8" s="1"/>
  <c r="O225" i="8"/>
  <c r="U320" i="3" l="1"/>
  <c r="N320" i="3"/>
  <c r="AC320" i="3"/>
  <c r="M320" i="10" s="1"/>
  <c r="F357" i="2"/>
  <c r="B357" i="3"/>
  <c r="E357" i="10"/>
  <c r="R225" i="8"/>
  <c r="K225" i="8"/>
  <c r="M225" i="8" s="1"/>
  <c r="X320" i="3" l="1"/>
  <c r="V320" i="3"/>
  <c r="Y320" i="3" s="1"/>
  <c r="O320" i="3"/>
  <c r="G357" i="2"/>
  <c r="H357" i="2" s="1"/>
  <c r="L225" i="8"/>
  <c r="AU225" i="8" s="1"/>
  <c r="X225" i="8"/>
  <c r="P225" i="8"/>
  <c r="Q225" i="8" s="1"/>
  <c r="AI225" i="8"/>
  <c r="H320" i="10" l="1"/>
  <c r="E321" i="3"/>
  <c r="I320" i="10"/>
  <c r="W320" i="3"/>
  <c r="Z320" i="3" s="1"/>
  <c r="F321" i="3"/>
  <c r="R320" i="3"/>
  <c r="S320" i="3" s="1"/>
  <c r="P320" i="3"/>
  <c r="I357" i="2"/>
  <c r="G357" i="10"/>
  <c r="D357" i="3"/>
  <c r="Z225" i="8"/>
  <c r="AB225" i="8" s="1"/>
  <c r="Y225" i="8"/>
  <c r="AA225" i="8" s="1"/>
  <c r="S225" i="8"/>
  <c r="AJ225" i="8"/>
  <c r="J320" i="10" l="1"/>
  <c r="G321" i="3"/>
  <c r="AA320" i="3"/>
  <c r="K320" i="10" s="1"/>
  <c r="T320" i="3"/>
  <c r="J357" i="2"/>
  <c r="M357" i="2"/>
  <c r="H321" i="3"/>
  <c r="AC225" i="8"/>
  <c r="T225" i="8"/>
  <c r="V225" i="8" s="1"/>
  <c r="AT225" i="8" s="1"/>
  <c r="AK225" i="8"/>
  <c r="M321" i="3" l="1"/>
  <c r="AB320" i="3"/>
  <c r="L320" i="10" s="1"/>
  <c r="I321" i="3"/>
  <c r="L321" i="3" s="1"/>
  <c r="B358" i="2"/>
  <c r="D357" i="10"/>
  <c r="C357" i="3"/>
  <c r="F357" i="10"/>
  <c r="AD225" i="8"/>
  <c r="Q321" i="3" l="1"/>
  <c r="J321" i="3"/>
  <c r="K321" i="3" s="1"/>
  <c r="C358" i="10"/>
  <c r="K358" i="2"/>
  <c r="D358" i="2"/>
  <c r="AE225" i="8"/>
  <c r="AL225" i="8"/>
  <c r="U321" i="3" l="1"/>
  <c r="N321" i="3"/>
  <c r="AC321" i="3"/>
  <c r="M321" i="10" s="1"/>
  <c r="E358" i="2"/>
  <c r="L358" i="2"/>
  <c r="AF225" i="8"/>
  <c r="AM225" i="8" s="1"/>
  <c r="AQ225" i="8" s="1"/>
  <c r="G226" i="8" s="1"/>
  <c r="AP225" i="8"/>
  <c r="F226" i="8" s="1"/>
  <c r="X321" i="3" l="1"/>
  <c r="O321" i="3"/>
  <c r="V321" i="3"/>
  <c r="Y321" i="3" s="1"/>
  <c r="F358" i="2"/>
  <c r="B358" i="3"/>
  <c r="E358" i="10"/>
  <c r="AG225" i="8"/>
  <c r="AH225" i="8" s="1"/>
  <c r="AN225" i="8" s="1"/>
  <c r="AR225" i="8" s="1"/>
  <c r="H226" i="8" s="1"/>
  <c r="W321" i="3" l="1"/>
  <c r="Z321" i="3" s="1"/>
  <c r="H321" i="10"/>
  <c r="E322" i="3"/>
  <c r="I321" i="10"/>
  <c r="F322" i="3"/>
  <c r="R321" i="3"/>
  <c r="S321" i="3" s="1"/>
  <c r="P321" i="3"/>
  <c r="I226" i="8"/>
  <c r="AO225" i="8"/>
  <c r="AS225" i="8"/>
  <c r="G358" i="2"/>
  <c r="H358" i="2" s="1"/>
  <c r="I358" i="2" l="1"/>
  <c r="G322" i="3"/>
  <c r="J321" i="10"/>
  <c r="AA321" i="3"/>
  <c r="K321" i="10" s="1"/>
  <c r="T321" i="3"/>
  <c r="M358" i="2"/>
  <c r="J358" i="2"/>
  <c r="D358" i="3"/>
  <c r="G358" i="10"/>
  <c r="J226" i="8"/>
  <c r="N226" i="8" s="1"/>
  <c r="O226" i="8"/>
  <c r="K226" i="8"/>
  <c r="M226" i="8" s="1"/>
  <c r="H322" i="3" l="1"/>
  <c r="AB321" i="3"/>
  <c r="L321" i="10" s="1"/>
  <c r="I322" i="3"/>
  <c r="L322" i="3" s="1"/>
  <c r="R226" i="8"/>
  <c r="C358" i="3"/>
  <c r="F358" i="10"/>
  <c r="D358" i="10"/>
  <c r="B359" i="2"/>
  <c r="X226" i="8"/>
  <c r="P226" i="8"/>
  <c r="Q226" i="8" s="1"/>
  <c r="AI226" i="8"/>
  <c r="L226" i="8"/>
  <c r="AU226" i="8" s="1"/>
  <c r="M322" i="3" l="1"/>
  <c r="Q322" i="3"/>
  <c r="J322" i="3"/>
  <c r="K322" i="3" s="1"/>
  <c r="K359" i="2"/>
  <c r="D359" i="2"/>
  <c r="C359" i="10"/>
  <c r="Y226" i="8"/>
  <c r="AA226" i="8" s="1"/>
  <c r="Z226" i="8"/>
  <c r="AB226" i="8" s="1"/>
  <c r="S226" i="8"/>
  <c r="AJ226" i="8"/>
  <c r="U322" i="3" l="1"/>
  <c r="N322" i="3"/>
  <c r="AC322" i="3"/>
  <c r="M322" i="10" s="1"/>
  <c r="L359" i="2"/>
  <c r="E359" i="2"/>
  <c r="F359" i="2" s="1"/>
  <c r="AC226" i="8"/>
  <c r="T226" i="8"/>
  <c r="V226" i="8" s="1"/>
  <c r="AK226" i="8"/>
  <c r="G359" i="2" l="1"/>
  <c r="H359" i="2" s="1"/>
  <c r="X322" i="3"/>
  <c r="V322" i="3"/>
  <c r="Y322" i="3" s="1"/>
  <c r="O322" i="3"/>
  <c r="E359" i="10"/>
  <c r="B359" i="3"/>
  <c r="AD226" i="8"/>
  <c r="AT226" i="8"/>
  <c r="AE226" i="8" l="1"/>
  <c r="D359" i="3"/>
  <c r="AL226" i="8"/>
  <c r="G359" i="10"/>
  <c r="I359" i="2"/>
  <c r="P322" i="3"/>
  <c r="E323" i="3"/>
  <c r="H322" i="10"/>
  <c r="I322" i="10"/>
  <c r="F323" i="3"/>
  <c r="R322" i="3"/>
  <c r="S322" i="3" s="1"/>
  <c r="W322" i="3"/>
  <c r="Z322" i="3" s="1"/>
  <c r="AP226" i="8"/>
  <c r="F227" i="8" s="1"/>
  <c r="AF226" i="8" l="1"/>
  <c r="AM226" i="8" s="1"/>
  <c r="M359" i="2"/>
  <c r="J359" i="2"/>
  <c r="AA322" i="3"/>
  <c r="K322" i="10" s="1"/>
  <c r="G323" i="3"/>
  <c r="J322" i="10"/>
  <c r="T322" i="3"/>
  <c r="AB322" i="3" s="1"/>
  <c r="L322" i="10" s="1"/>
  <c r="AG226" i="8"/>
  <c r="AH226" i="8" s="1"/>
  <c r="AN226" i="8" s="1"/>
  <c r="AR226" i="8" s="1"/>
  <c r="H227" i="8" s="1"/>
  <c r="AQ226" i="8" l="1"/>
  <c r="G227" i="8" s="1"/>
  <c r="F359" i="10"/>
  <c r="C359" i="3"/>
  <c r="D359" i="10"/>
  <c r="B360" i="2"/>
  <c r="H323" i="3"/>
  <c r="I227" i="8"/>
  <c r="AO226" i="8"/>
  <c r="M323" i="3" l="1"/>
  <c r="D360" i="2"/>
  <c r="K360" i="2"/>
  <c r="C360" i="10"/>
  <c r="AS226" i="8"/>
  <c r="I323" i="3"/>
  <c r="L323" i="3" s="1"/>
  <c r="O227" i="8"/>
  <c r="J227" i="8"/>
  <c r="N227" i="8" s="1"/>
  <c r="E360" i="2" l="1"/>
  <c r="L360" i="2"/>
  <c r="J323" i="3"/>
  <c r="Q323" i="3"/>
  <c r="R227" i="8"/>
  <c r="K227" i="8"/>
  <c r="E360" i="10" l="1"/>
  <c r="F360" i="2"/>
  <c r="B360" i="3"/>
  <c r="AC323" i="3"/>
  <c r="M323" i="10" s="1"/>
  <c r="K323" i="3"/>
  <c r="L227" i="8"/>
  <c r="M227" i="8"/>
  <c r="X227" i="8"/>
  <c r="G360" i="2" l="1"/>
  <c r="H360" i="2" s="1"/>
  <c r="U323" i="3"/>
  <c r="N323" i="3"/>
  <c r="P227" i="8"/>
  <c r="Q227" i="8" s="1"/>
  <c r="AI227" i="8"/>
  <c r="AU227" i="8"/>
  <c r="Y227" i="8"/>
  <c r="AA227" i="8" s="1"/>
  <c r="Z227" i="8"/>
  <c r="AB227" i="8" s="1"/>
  <c r="D360" i="3" l="1"/>
  <c r="G360" i="10"/>
  <c r="I360" i="2"/>
  <c r="X323" i="3"/>
  <c r="O323" i="3"/>
  <c r="V323" i="3"/>
  <c r="Y323" i="3" s="1"/>
  <c r="S227" i="8"/>
  <c r="AJ227" i="8"/>
  <c r="AC227" i="8"/>
  <c r="M360" i="2"/>
  <c r="J360" i="2"/>
  <c r="P323" i="3"/>
  <c r="T227" i="8" l="1"/>
  <c r="V227" i="8" s="1"/>
  <c r="E324" i="3"/>
  <c r="H323" i="10"/>
  <c r="I323" i="10"/>
  <c r="F324" i="3"/>
  <c r="R323" i="3"/>
  <c r="S323" i="3" s="1"/>
  <c r="W323" i="3"/>
  <c r="Z323" i="3" s="1"/>
  <c r="AK227" i="8"/>
  <c r="AD227" i="8"/>
  <c r="C360" i="3"/>
  <c r="F360" i="10"/>
  <c r="D360" i="10"/>
  <c r="B361" i="2"/>
  <c r="G324" i="3"/>
  <c r="J323" i="10"/>
  <c r="AA323" i="3"/>
  <c r="K323" i="10" s="1"/>
  <c r="T323" i="3" l="1"/>
  <c r="AB323" i="3" s="1"/>
  <c r="L323" i="10" s="1"/>
  <c r="AT227" i="8"/>
  <c r="AE227" i="8"/>
  <c r="AL227" i="8"/>
  <c r="D361" i="2"/>
  <c r="K361" i="2"/>
  <c r="C361" i="10"/>
  <c r="H324" i="3"/>
  <c r="M324" i="3" l="1"/>
  <c r="AF227" i="8"/>
  <c r="AM227" i="8" s="1"/>
  <c r="AQ227" i="8" s="1"/>
  <c r="G228" i="8" s="1"/>
  <c r="AP227" i="8"/>
  <c r="F228" i="8" s="1"/>
  <c r="E361" i="2"/>
  <c r="L361" i="2"/>
  <c r="I324" i="3"/>
  <c r="L324" i="3" s="1"/>
  <c r="AG227" i="8" l="1"/>
  <c r="AH227" i="8" s="1"/>
  <c r="AN227" i="8" s="1"/>
  <c r="AR227" i="8" s="1"/>
  <c r="H228" i="8" s="1"/>
  <c r="F361" i="2"/>
  <c r="B361" i="3"/>
  <c r="E361" i="10"/>
  <c r="Q324" i="3"/>
  <c r="J324" i="3"/>
  <c r="I228" i="8" l="1"/>
  <c r="AO227" i="8"/>
  <c r="G361" i="2"/>
  <c r="AC324" i="3"/>
  <c r="M324" i="10" s="1"/>
  <c r="K324" i="3"/>
  <c r="J228" i="8" l="1"/>
  <c r="N228" i="8" s="1"/>
  <c r="O228" i="8"/>
  <c r="AS227" i="8"/>
  <c r="H361" i="2"/>
  <c r="I361" i="2"/>
  <c r="U324" i="3"/>
  <c r="N324" i="3"/>
  <c r="R228" i="8" l="1"/>
  <c r="K228" i="8"/>
  <c r="M228" i="8" s="1"/>
  <c r="X324" i="3"/>
  <c r="B8" i="4"/>
  <c r="D361" i="3"/>
  <c r="M361" i="2"/>
  <c r="J361" i="2"/>
  <c r="G361" i="10"/>
  <c r="V324" i="3"/>
  <c r="Y324" i="3" s="1"/>
  <c r="O324" i="3"/>
  <c r="L228" i="8" l="1"/>
  <c r="AU228" i="8" s="1"/>
  <c r="AI228" i="8"/>
  <c r="X228" i="8"/>
  <c r="P228" i="8"/>
  <c r="Q228" i="8" s="1"/>
  <c r="H324" i="10"/>
  <c r="E325" i="3"/>
  <c r="F361" i="10"/>
  <c r="C361" i="3"/>
  <c r="D361" i="10"/>
  <c r="P324" i="3"/>
  <c r="I324" i="10"/>
  <c r="F325" i="3"/>
  <c r="R324" i="3"/>
  <c r="S324" i="3" s="1"/>
  <c r="W324" i="3"/>
  <c r="Z324" i="3" s="1"/>
  <c r="AJ228" i="8" l="1"/>
  <c r="Z228" i="8"/>
  <c r="AB228" i="8" s="1"/>
  <c r="Y228" i="8"/>
  <c r="AA228" i="8" s="1"/>
  <c r="S228" i="8"/>
  <c r="J324" i="10"/>
  <c r="G325" i="3"/>
  <c r="T324" i="3"/>
  <c r="AB324" i="3" s="1"/>
  <c r="L324" i="10" s="1"/>
  <c r="AA324" i="3"/>
  <c r="K324" i="10" s="1"/>
  <c r="T228" i="8" l="1"/>
  <c r="V228" i="8" s="1"/>
  <c r="AT228" i="8" s="1"/>
  <c r="AC228" i="8"/>
  <c r="AK228" i="8"/>
  <c r="H325" i="3"/>
  <c r="AD228" i="8" l="1"/>
  <c r="AL228" i="8" s="1"/>
  <c r="M325" i="3"/>
  <c r="I325" i="3"/>
  <c r="L325" i="3" s="1"/>
  <c r="AE228" i="8" l="1"/>
  <c r="AP228" i="8"/>
  <c r="F229" i="8" s="1"/>
  <c r="J325" i="3"/>
  <c r="K325" i="3" s="1"/>
  <c r="Q325" i="3"/>
  <c r="AF228" i="8" l="1"/>
  <c r="AM228" i="8" s="1"/>
  <c r="N325" i="3"/>
  <c r="U325" i="3"/>
  <c r="AC325" i="3"/>
  <c r="M325" i="10" s="1"/>
  <c r="AQ228" i="8" l="1"/>
  <c r="G229" i="8" s="1"/>
  <c r="AG228" i="8"/>
  <c r="AH228" i="8" s="1"/>
  <c r="AN228" i="8" s="1"/>
  <c r="AR228" i="8" s="1"/>
  <c r="H229" i="8" s="1"/>
  <c r="O325" i="3"/>
  <c r="V325" i="3"/>
  <c r="Y325" i="3" s="1"/>
  <c r="X325" i="3"/>
  <c r="I229" i="8" l="1"/>
  <c r="AO228" i="8"/>
  <c r="P325" i="3"/>
  <c r="J229" i="8"/>
  <c r="N229" i="8" s="1"/>
  <c r="R325" i="3"/>
  <c r="S325" i="3" s="1"/>
  <c r="W325" i="3"/>
  <c r="Z325" i="3" s="1"/>
  <c r="F326" i="3"/>
  <c r="H325" i="10"/>
  <c r="I325" i="10"/>
  <c r="E326" i="3"/>
  <c r="O229" i="8" l="1"/>
  <c r="AS228" i="8"/>
  <c r="R229" i="8"/>
  <c r="T325" i="3"/>
  <c r="K229" i="8"/>
  <c r="M229" i="8" s="1"/>
  <c r="J325" i="10"/>
  <c r="G326" i="3"/>
  <c r="H326" i="3" s="1"/>
  <c r="AA325" i="3"/>
  <c r="K325" i="10" s="1"/>
  <c r="AI229" i="8" l="1"/>
  <c r="X229" i="8"/>
  <c r="P229" i="8"/>
  <c r="Q229" i="8" s="1"/>
  <c r="AB325" i="3"/>
  <c r="L325" i="10" s="1"/>
  <c r="L229" i="8"/>
  <c r="AU229" i="8" s="1"/>
  <c r="I326" i="3"/>
  <c r="L326" i="3" s="1"/>
  <c r="M326" i="3"/>
  <c r="AJ229" i="8" l="1"/>
  <c r="Z229" i="8"/>
  <c r="AB229" i="8" s="1"/>
  <c r="Y229" i="8"/>
  <c r="AA229" i="8" s="1"/>
  <c r="S229" i="8"/>
  <c r="J326" i="3"/>
  <c r="K326" i="3" s="1"/>
  <c r="Q326" i="3"/>
  <c r="AC229" i="8" l="1"/>
  <c r="AK229" i="8"/>
  <c r="T229" i="8"/>
  <c r="V229" i="8" s="1"/>
  <c r="N326" i="3"/>
  <c r="U326" i="3"/>
  <c r="V326" i="3" s="1"/>
  <c r="Y326" i="3" s="1"/>
  <c r="AC326" i="3"/>
  <c r="M326" i="10" s="1"/>
  <c r="AD229" i="8" l="1"/>
  <c r="AT229" i="8"/>
  <c r="X326" i="3"/>
  <c r="I326" i="10"/>
  <c r="O326" i="3"/>
  <c r="R326" i="3" s="1"/>
  <c r="S326" i="3" s="1"/>
  <c r="F327" i="3"/>
  <c r="W326" i="3"/>
  <c r="AE229" i="8" l="1"/>
  <c r="AL229" i="8"/>
  <c r="AA326" i="3"/>
  <c r="K326" i="10" s="1"/>
  <c r="Z326" i="3"/>
  <c r="E327" i="3"/>
  <c r="H326" i="10"/>
  <c r="P326" i="3"/>
  <c r="T326" i="3"/>
  <c r="AB326" i="3" l="1"/>
  <c r="L326" i="10" s="1"/>
  <c r="AF229" i="8"/>
  <c r="AM229" i="8" s="1"/>
  <c r="AQ229" i="8" s="1"/>
  <c r="G230" i="8" s="1"/>
  <c r="AP229" i="8"/>
  <c r="F230" i="8" s="1"/>
  <c r="J326" i="10"/>
  <c r="G327" i="3"/>
  <c r="H327" i="3"/>
  <c r="AG229" i="8" l="1"/>
  <c r="AH229" i="8" s="1"/>
  <c r="AN229" i="8" s="1"/>
  <c r="M327" i="3"/>
  <c r="I327" i="3"/>
  <c r="L327" i="3" s="1"/>
  <c r="AO229" i="8" l="1"/>
  <c r="AR229" i="8"/>
  <c r="H230" i="8" s="1"/>
  <c r="Q327" i="3"/>
  <c r="J327" i="3"/>
  <c r="K327" i="3" s="1"/>
  <c r="I230" i="8" l="1"/>
  <c r="O230" i="8"/>
  <c r="AS229" i="8"/>
  <c r="AC327" i="3"/>
  <c r="M327" i="10" s="1"/>
  <c r="U327" i="3"/>
  <c r="N327" i="3"/>
  <c r="J230" i="8" l="1"/>
  <c r="N230" i="8" s="1"/>
  <c r="V327" i="3"/>
  <c r="Y327" i="3" s="1"/>
  <c r="O327" i="3"/>
  <c r="X327" i="3"/>
  <c r="R230" i="8" l="1"/>
  <c r="K230" i="8"/>
  <c r="M230" i="8" s="1"/>
  <c r="P327" i="3"/>
  <c r="I327" i="10"/>
  <c r="F328" i="3"/>
  <c r="R327" i="3"/>
  <c r="S327" i="3" s="1"/>
  <c r="E328" i="3"/>
  <c r="H327" i="10"/>
  <c r="W327" i="3"/>
  <c r="Z327" i="3" s="1"/>
  <c r="AI230" i="8" l="1"/>
  <c r="X230" i="8"/>
  <c r="P230" i="8"/>
  <c r="Q230" i="8" s="1"/>
  <c r="L230" i="8"/>
  <c r="AA327" i="3"/>
  <c r="K327" i="10" s="1"/>
  <c r="G328" i="3"/>
  <c r="J327" i="10"/>
  <c r="T327" i="3"/>
  <c r="AJ230" i="8" l="1"/>
  <c r="Y230" i="8"/>
  <c r="AA230" i="8" s="1"/>
  <c r="Z230" i="8"/>
  <c r="AB230" i="8" s="1"/>
  <c r="S230" i="8"/>
  <c r="AU230" i="8"/>
  <c r="AB327" i="3"/>
  <c r="L327" i="10" s="1"/>
  <c r="H328" i="3"/>
  <c r="T230" i="8" l="1"/>
  <c r="V230" i="8" s="1"/>
  <c r="AC230" i="8"/>
  <c r="AK230" i="8"/>
  <c r="M328" i="3"/>
  <c r="I328" i="3"/>
  <c r="L328" i="3" s="1"/>
  <c r="AT230" i="8" l="1"/>
  <c r="AD230" i="8"/>
  <c r="Q328" i="3"/>
  <c r="J328" i="3"/>
  <c r="K328" i="3" s="1"/>
  <c r="AE230" i="8" l="1"/>
  <c r="AL230" i="8"/>
  <c r="U328" i="3"/>
  <c r="N328" i="3"/>
  <c r="X328" i="3"/>
  <c r="AC328" i="3"/>
  <c r="M328" i="10" s="1"/>
  <c r="AF230" i="8" l="1"/>
  <c r="AM230" i="8" s="1"/>
  <c r="AQ230" i="8" s="1"/>
  <c r="G231" i="8" s="1"/>
  <c r="AP230" i="8"/>
  <c r="F231" i="8" s="1"/>
  <c r="V328" i="3"/>
  <c r="Y328" i="3" s="1"/>
  <c r="O328" i="3"/>
  <c r="E329" i="3"/>
  <c r="H328" i="10"/>
  <c r="AG230" i="8" l="1"/>
  <c r="AH230" i="8" s="1"/>
  <c r="AN230" i="8" s="1"/>
  <c r="I328" i="10"/>
  <c r="F329" i="3"/>
  <c r="R328" i="3"/>
  <c r="S328" i="3" s="1"/>
  <c r="W328" i="3"/>
  <c r="Z328" i="3" s="1"/>
  <c r="P328" i="3"/>
  <c r="AO230" i="8" l="1"/>
  <c r="AR230" i="8"/>
  <c r="H231" i="8" s="1"/>
  <c r="J328" i="10"/>
  <c r="G329" i="3"/>
  <c r="T328" i="3"/>
  <c r="AA328" i="3"/>
  <c r="K328" i="10" s="1"/>
  <c r="AS230" i="8" l="1"/>
  <c r="I231" i="8"/>
  <c r="AB328" i="3"/>
  <c r="L328" i="10" s="1"/>
  <c r="H329" i="3"/>
  <c r="O231" i="8" l="1"/>
  <c r="M329" i="3"/>
  <c r="J231" i="8"/>
  <c r="N231" i="8" s="1"/>
  <c r="R231" i="8" s="1"/>
  <c r="I329" i="3"/>
  <c r="L329" i="3" s="1"/>
  <c r="K231" i="8" l="1"/>
  <c r="M231" i="8" s="1"/>
  <c r="Q329" i="3"/>
  <c r="J329" i="3"/>
  <c r="K329" i="3" s="1"/>
  <c r="X231" i="8" l="1"/>
  <c r="AI231" i="8"/>
  <c r="P231" i="8"/>
  <c r="Q231" i="8" s="1"/>
  <c r="L231" i="8"/>
  <c r="U329" i="3"/>
  <c r="N329" i="3"/>
  <c r="AC329" i="3"/>
  <c r="M329" i="10" s="1"/>
  <c r="Z231" i="8" l="1"/>
  <c r="AB231" i="8" s="1"/>
  <c r="Y231" i="8"/>
  <c r="AA231" i="8" s="1"/>
  <c r="AJ231" i="8"/>
  <c r="S231" i="8"/>
  <c r="AU231" i="8"/>
  <c r="V329" i="3"/>
  <c r="Y329" i="3" s="1"/>
  <c r="O329" i="3"/>
  <c r="P329" i="3"/>
  <c r="X329" i="3"/>
  <c r="AC231" i="8" l="1"/>
  <c r="AK231" i="8"/>
  <c r="T231" i="8"/>
  <c r="V231" i="8" s="1"/>
  <c r="AT231" i="8" s="1"/>
  <c r="I329" i="10"/>
  <c r="F330" i="3"/>
  <c r="R329" i="3"/>
  <c r="S329" i="3" s="1"/>
  <c r="H329" i="10"/>
  <c r="E330" i="3"/>
  <c r="W329" i="3"/>
  <c r="Z329" i="3" s="1"/>
  <c r="AD231" i="8" l="1"/>
  <c r="G330" i="3"/>
  <c r="J329" i="10"/>
  <c r="AA329" i="3"/>
  <c r="K329" i="10" s="1"/>
  <c r="T329" i="3"/>
  <c r="AE231" i="8" l="1"/>
  <c r="AL231" i="8"/>
  <c r="AB329" i="3"/>
  <c r="L329" i="10" s="1"/>
  <c r="H330" i="3"/>
  <c r="AF231" i="8" l="1"/>
  <c r="AM231" i="8" s="1"/>
  <c r="AQ231" i="8" s="1"/>
  <c r="G232" i="8" s="1"/>
  <c r="AP231" i="8"/>
  <c r="F232" i="8" s="1"/>
  <c r="I330" i="3"/>
  <c r="L330" i="3" s="1"/>
  <c r="M330" i="3"/>
  <c r="AG231" i="8" l="1"/>
  <c r="AH231" i="8" s="1"/>
  <c r="AN231" i="8" s="1"/>
  <c r="AR231" i="8" s="1"/>
  <c r="H232" i="8" s="1"/>
  <c r="Q330" i="3"/>
  <c r="J330" i="3"/>
  <c r="K330" i="3" s="1"/>
  <c r="I232" i="8" l="1"/>
  <c r="AO231" i="8"/>
  <c r="U330" i="3"/>
  <c r="N330" i="3"/>
  <c r="AC330" i="3"/>
  <c r="M330" i="10" s="1"/>
  <c r="AS231" i="8" l="1"/>
  <c r="J232" i="8"/>
  <c r="N232" i="8" s="1"/>
  <c r="O232" i="8"/>
  <c r="V330" i="3"/>
  <c r="Y330" i="3" s="1"/>
  <c r="O330" i="3"/>
  <c r="X330" i="3"/>
  <c r="R232" i="8" l="1"/>
  <c r="K232" i="8"/>
  <c r="M232" i="8" s="1"/>
  <c r="P330" i="3"/>
  <c r="F331" i="3"/>
  <c r="I330" i="10"/>
  <c r="R330" i="3"/>
  <c r="S330" i="3" s="1"/>
  <c r="H330" i="10"/>
  <c r="E331" i="3"/>
  <c r="W330" i="3"/>
  <c r="AI232" i="8" l="1"/>
  <c r="X232" i="8"/>
  <c r="P232" i="8"/>
  <c r="Q232" i="8" s="1"/>
  <c r="L232" i="8"/>
  <c r="AU232" i="8" s="1"/>
  <c r="T330" i="3"/>
  <c r="AA330" i="3"/>
  <c r="K330" i="10" s="1"/>
  <c r="Z330" i="3"/>
  <c r="AJ232" i="8" l="1"/>
  <c r="Y232" i="8"/>
  <c r="AA232" i="8" s="1"/>
  <c r="Z232" i="8"/>
  <c r="AB232" i="8" s="1"/>
  <c r="S232" i="8"/>
  <c r="AB330" i="3"/>
  <c r="L330" i="10" s="1"/>
  <c r="G331" i="3"/>
  <c r="J330" i="10"/>
  <c r="AC232" i="8" l="1"/>
  <c r="AK232" i="8"/>
  <c r="T232" i="8"/>
  <c r="V232" i="8" s="1"/>
  <c r="AT232" i="8" s="1"/>
  <c r="AD232" i="8"/>
  <c r="H331" i="3"/>
  <c r="AE232" i="8" l="1"/>
  <c r="AL232" i="8"/>
  <c r="M331" i="3"/>
  <c r="I331" i="3"/>
  <c r="L331" i="3" s="1"/>
  <c r="AF232" i="8" l="1"/>
  <c r="AM232" i="8" s="1"/>
  <c r="AQ232" i="8" s="1"/>
  <c r="G233" i="8" s="1"/>
  <c r="AP232" i="8"/>
  <c r="F233" i="8" s="1"/>
  <c r="Q331" i="3"/>
  <c r="J331" i="3"/>
  <c r="K331" i="3" s="1"/>
  <c r="AG232" i="8" l="1"/>
  <c r="AH232" i="8" s="1"/>
  <c r="AN232" i="8" s="1"/>
  <c r="AR232" i="8" s="1"/>
  <c r="H233" i="8" s="1"/>
  <c r="U331" i="3"/>
  <c r="N331" i="3"/>
  <c r="AC331" i="3"/>
  <c r="M331" i="10" s="1"/>
  <c r="I233" i="8" l="1"/>
  <c r="O233" i="8"/>
  <c r="AO232" i="8"/>
  <c r="V331" i="3"/>
  <c r="Y331" i="3" s="1"/>
  <c r="O331" i="3"/>
  <c r="X331" i="3"/>
  <c r="AS232" i="8" l="1"/>
  <c r="J233" i="8"/>
  <c r="N233" i="8" s="1"/>
  <c r="P331" i="3"/>
  <c r="I331" i="10"/>
  <c r="F332" i="3"/>
  <c r="R331" i="3"/>
  <c r="S331" i="3" s="1"/>
  <c r="H331" i="10"/>
  <c r="E332" i="3"/>
  <c r="W331" i="3"/>
  <c r="Z331" i="3" s="1"/>
  <c r="K233" i="8" l="1"/>
  <c r="M233" i="8" s="1"/>
  <c r="AI233" i="8"/>
  <c r="R233" i="8"/>
  <c r="AA331" i="3"/>
  <c r="K331" i="10" s="1"/>
  <c r="T331" i="3"/>
  <c r="J331" i="10"/>
  <c r="G332" i="3"/>
  <c r="P233" i="8" l="1"/>
  <c r="Q233" i="8" s="1"/>
  <c r="L233" i="8"/>
  <c r="X233" i="8"/>
  <c r="AJ233" i="8"/>
  <c r="AB331" i="3"/>
  <c r="L331" i="10" s="1"/>
  <c r="H332" i="3"/>
  <c r="S233" i="8" l="1"/>
  <c r="Z233" i="8"/>
  <c r="AB233" i="8" s="1"/>
  <c r="Y233" i="8"/>
  <c r="AA233" i="8" s="1"/>
  <c r="AU233" i="8"/>
  <c r="AK233" i="8"/>
  <c r="M332" i="3"/>
  <c r="I332" i="3"/>
  <c r="L332" i="3" s="1"/>
  <c r="AC233" i="8" l="1"/>
  <c r="T233" i="8"/>
  <c r="V233" i="8" s="1"/>
  <c r="Q332" i="3"/>
  <c r="J332" i="3"/>
  <c r="K332" i="3" s="1"/>
  <c r="AT233" i="8" l="1"/>
  <c r="AD233" i="8"/>
  <c r="U332" i="3"/>
  <c r="N332" i="3"/>
  <c r="AC332" i="3"/>
  <c r="M332" i="10" s="1"/>
  <c r="AL233" i="8" l="1"/>
  <c r="AE233" i="8"/>
  <c r="X332" i="3"/>
  <c r="V332" i="3"/>
  <c r="Y332" i="3" s="1"/>
  <c r="O332" i="3"/>
  <c r="AF233" i="8" l="1"/>
  <c r="AM233" i="8" s="1"/>
  <c r="AQ233" i="8" s="1"/>
  <c r="G234" i="8" s="1"/>
  <c r="AP233" i="8"/>
  <c r="F234" i="8" s="1"/>
  <c r="P332" i="3"/>
  <c r="H332" i="10"/>
  <c r="E333" i="3"/>
  <c r="I332" i="10"/>
  <c r="F333" i="3"/>
  <c r="R332" i="3"/>
  <c r="S332" i="3" s="1"/>
  <c r="W332" i="3"/>
  <c r="Z332" i="3" s="1"/>
  <c r="AG233" i="8" l="1"/>
  <c r="AH233" i="8" s="1"/>
  <c r="AN233" i="8" s="1"/>
  <c r="AR233" i="8" s="1"/>
  <c r="H234" i="8" s="1"/>
  <c r="G333" i="3"/>
  <c r="J332" i="10"/>
  <c r="T332" i="3"/>
  <c r="AA332" i="3"/>
  <c r="K332" i="10" s="1"/>
  <c r="AO233" i="8" l="1"/>
  <c r="AS233" i="8"/>
  <c r="I234" i="8"/>
  <c r="H333" i="3"/>
  <c r="AB332" i="3"/>
  <c r="L332" i="10" s="1"/>
  <c r="O234" i="8" l="1"/>
  <c r="J234" i="8"/>
  <c r="N234" i="8" s="1"/>
  <c r="M333" i="3"/>
  <c r="I333" i="3"/>
  <c r="L333" i="3" s="1"/>
  <c r="K234" i="8" l="1"/>
  <c r="M234" i="8" s="1"/>
  <c r="R234" i="8"/>
  <c r="Q333" i="3"/>
  <c r="J333" i="3"/>
  <c r="X234" i="8" l="1"/>
  <c r="AI234" i="8"/>
  <c r="P234" i="8"/>
  <c r="Q234" i="8" s="1"/>
  <c r="L234" i="8"/>
  <c r="AJ234" i="8"/>
  <c r="Y234" i="8"/>
  <c r="AA234" i="8" s="1"/>
  <c r="AC333" i="3"/>
  <c r="M333" i="10" s="1"/>
  <c r="K333" i="3"/>
  <c r="Z234" i="8" l="1"/>
  <c r="AB234" i="8" s="1"/>
  <c r="AU234" i="8"/>
  <c r="S234" i="8"/>
  <c r="AC234" i="8"/>
  <c r="T234" i="8"/>
  <c r="V234" i="8" s="1"/>
  <c r="AT234" i="8" s="1"/>
  <c r="AK234" i="8"/>
  <c r="U333" i="3"/>
  <c r="N333" i="3"/>
  <c r="AD234" i="8" l="1"/>
  <c r="AL234" i="8" s="1"/>
  <c r="X333" i="3"/>
  <c r="V333" i="3"/>
  <c r="Y333" i="3" s="1"/>
  <c r="O333" i="3"/>
  <c r="AP234" i="8" l="1"/>
  <c r="F235" i="8" s="1"/>
  <c r="AE234" i="8"/>
  <c r="W333" i="3"/>
  <c r="Z333" i="3" s="1"/>
  <c r="P333" i="3"/>
  <c r="E334" i="3"/>
  <c r="H333" i="10"/>
  <c r="I333" i="10"/>
  <c r="F334" i="3"/>
  <c r="R333" i="3"/>
  <c r="S333" i="3" s="1"/>
  <c r="AF234" i="8" l="1"/>
  <c r="AM234" i="8" s="1"/>
  <c r="AA333" i="3"/>
  <c r="K333" i="10" s="1"/>
  <c r="J333" i="10"/>
  <c r="G334" i="3"/>
  <c r="T333" i="3"/>
  <c r="AQ234" i="8" l="1"/>
  <c r="G235" i="8" s="1"/>
  <c r="AG234" i="8"/>
  <c r="AH234" i="8" s="1"/>
  <c r="AN234" i="8" s="1"/>
  <c r="AR234" i="8" s="1"/>
  <c r="H235" i="8" s="1"/>
  <c r="H334" i="3"/>
  <c r="M334" i="3" s="1"/>
  <c r="AB333" i="3"/>
  <c r="L333" i="10" s="1"/>
  <c r="I235" i="8" l="1"/>
  <c r="AO234" i="8"/>
  <c r="I334" i="3"/>
  <c r="L334" i="3" s="1"/>
  <c r="O235" i="8" l="1"/>
  <c r="J235" i="8"/>
  <c r="N235" i="8" s="1"/>
  <c r="AS234" i="8"/>
  <c r="Q334" i="3"/>
  <c r="J334" i="3"/>
  <c r="K334" i="3" s="1"/>
  <c r="R235" i="8" l="1"/>
  <c r="K235" i="8"/>
  <c r="M235" i="8" s="1"/>
  <c r="U334" i="3"/>
  <c r="N334" i="3"/>
  <c r="AC334" i="3"/>
  <c r="M334" i="10" s="1"/>
  <c r="X235" i="8" l="1"/>
  <c r="P235" i="8"/>
  <c r="Q235" i="8" s="1"/>
  <c r="AI235" i="8"/>
  <c r="L235" i="8"/>
  <c r="X334" i="3"/>
  <c r="V334" i="3"/>
  <c r="Y334" i="3" s="1"/>
  <c r="O334" i="3"/>
  <c r="Z235" i="8" l="1"/>
  <c r="AB235" i="8" s="1"/>
  <c r="Y235" i="8"/>
  <c r="AA235" i="8" s="1"/>
  <c r="S235" i="8"/>
  <c r="AJ235" i="8"/>
  <c r="AU235" i="8"/>
  <c r="H334" i="10"/>
  <c r="E335" i="3"/>
  <c r="R334" i="3"/>
  <c r="S334" i="3" s="1"/>
  <c r="F335" i="3"/>
  <c r="P334" i="3"/>
  <c r="I334" i="10"/>
  <c r="W334" i="3"/>
  <c r="Z334" i="3" s="1"/>
  <c r="AC235" i="8" l="1"/>
  <c r="T235" i="8"/>
  <c r="V235" i="8" s="1"/>
  <c r="AK235" i="8"/>
  <c r="AA334" i="3"/>
  <c r="K334" i="10" s="1"/>
  <c r="G335" i="3"/>
  <c r="T334" i="3"/>
  <c r="J334" i="10"/>
  <c r="AD235" i="8" l="1"/>
  <c r="AT235" i="8"/>
  <c r="H335" i="3"/>
  <c r="AB334" i="3"/>
  <c r="L334" i="10" s="1"/>
  <c r="AL235" i="8" l="1"/>
  <c r="AE235" i="8"/>
  <c r="M335" i="3"/>
  <c r="I335" i="3"/>
  <c r="L335" i="3" s="1"/>
  <c r="AP235" i="8" l="1"/>
  <c r="F236" i="8" s="1"/>
  <c r="AF235" i="8"/>
  <c r="AM235" i="8" s="1"/>
  <c r="AQ235" i="8" s="1"/>
  <c r="G236" i="8" s="1"/>
  <c r="J335" i="3"/>
  <c r="K335" i="3" s="1"/>
  <c r="Q335" i="3"/>
  <c r="N335" i="3" l="1"/>
  <c r="U335" i="3"/>
  <c r="AC335" i="3"/>
  <c r="M335" i="10" s="1"/>
  <c r="AG235" i="8"/>
  <c r="AH235" i="8" s="1"/>
  <c r="AN235" i="8" s="1"/>
  <c r="AR235" i="8" s="1"/>
  <c r="H236" i="8" s="1"/>
  <c r="O335" i="3" l="1"/>
  <c r="I236" i="8"/>
  <c r="X335" i="3"/>
  <c r="H335" i="10" s="1"/>
  <c r="V335" i="3"/>
  <c r="Y335" i="3" s="1"/>
  <c r="AO235" i="8"/>
  <c r="O236" i="8" l="1"/>
  <c r="AS235" i="8"/>
  <c r="P335" i="3"/>
  <c r="E336" i="3"/>
  <c r="R335" i="3"/>
  <c r="S335" i="3" s="1"/>
  <c r="F336" i="3"/>
  <c r="J236" i="8"/>
  <c r="N236" i="8" s="1"/>
  <c r="I335" i="10"/>
  <c r="W335" i="3"/>
  <c r="Z335" i="3" s="1"/>
  <c r="T335" i="3" l="1"/>
  <c r="AB335" i="3" s="1"/>
  <c r="L335" i="10" s="1"/>
  <c r="G336" i="3"/>
  <c r="R236" i="8"/>
  <c r="K236" i="8"/>
  <c r="M236" i="8" s="1"/>
  <c r="J335" i="10"/>
  <c r="AA335" i="3"/>
  <c r="K335" i="10" s="1"/>
  <c r="H336" i="3" l="1"/>
  <c r="AI236" i="8"/>
  <c r="P236" i="8"/>
  <c r="Q236" i="8" s="1"/>
  <c r="X236" i="8"/>
  <c r="L236" i="8"/>
  <c r="M336" i="3" l="1"/>
  <c r="I336" i="3"/>
  <c r="L336" i="3" s="1"/>
  <c r="AJ236" i="8"/>
  <c r="S236" i="8"/>
  <c r="Y236" i="8"/>
  <c r="AA236" i="8" s="1"/>
  <c r="Z236" i="8"/>
  <c r="AB236" i="8" s="1"/>
  <c r="AU236" i="8"/>
  <c r="Q336" i="3" l="1"/>
  <c r="J336" i="3"/>
  <c r="K336" i="3" s="1"/>
  <c r="AC236" i="8"/>
  <c r="AK236" i="8"/>
  <c r="T236" i="8"/>
  <c r="V236" i="8" s="1"/>
  <c r="U336" i="3" l="1"/>
  <c r="N336" i="3"/>
  <c r="AC336" i="3"/>
  <c r="M336" i="10" s="1"/>
  <c r="AD236" i="8"/>
  <c r="AT236" i="8"/>
  <c r="O336" i="3" l="1"/>
  <c r="V336" i="3"/>
  <c r="Y336" i="3" s="1"/>
  <c r="X336" i="3"/>
  <c r="P336" i="3"/>
  <c r="AE236" i="8"/>
  <c r="AL236" i="8"/>
  <c r="R336" i="3" l="1"/>
  <c r="S336" i="3" s="1"/>
  <c r="W336" i="3"/>
  <c r="F337" i="3"/>
  <c r="I336" i="10"/>
  <c r="H336" i="10"/>
  <c r="E337" i="3"/>
  <c r="AF236" i="8"/>
  <c r="AM236" i="8" s="1"/>
  <c r="AQ236" i="8" s="1"/>
  <c r="G237" i="8" s="1"/>
  <c r="AP236" i="8"/>
  <c r="F237" i="8" s="1"/>
  <c r="T336" i="3" l="1"/>
  <c r="AA336" i="3"/>
  <c r="K336" i="10" s="1"/>
  <c r="Z336" i="3"/>
  <c r="G337" i="3"/>
  <c r="AG236" i="8"/>
  <c r="AH236" i="8" s="1"/>
  <c r="AN236" i="8" s="1"/>
  <c r="AB336" i="3"/>
  <c r="L336" i="10" s="1"/>
  <c r="J336" i="10" l="1"/>
  <c r="H337" i="3"/>
  <c r="AO236" i="8"/>
  <c r="AR236" i="8"/>
  <c r="H237" i="8" s="1"/>
  <c r="I337" i="3" l="1"/>
  <c r="L337" i="3" s="1"/>
  <c r="M337" i="3"/>
  <c r="I237" i="8"/>
  <c r="AS236" i="8"/>
  <c r="Q337" i="3" l="1"/>
  <c r="J337" i="3"/>
  <c r="K337" i="3" s="1"/>
  <c r="O237" i="8"/>
  <c r="J237" i="8"/>
  <c r="N237" i="8" s="1"/>
  <c r="R237" i="8" s="1"/>
  <c r="N337" i="3" l="1"/>
  <c r="AC337" i="3"/>
  <c r="M337" i="10" s="1"/>
  <c r="U337" i="3"/>
  <c r="K237" i="8"/>
  <c r="M237" i="8" s="1"/>
  <c r="X337" i="3" l="1"/>
  <c r="V337" i="3"/>
  <c r="Y337" i="3" s="1"/>
  <c r="O337" i="3"/>
  <c r="X237" i="8"/>
  <c r="P237" i="8"/>
  <c r="Q237" i="8" s="1"/>
  <c r="AI237" i="8"/>
  <c r="L237" i="8"/>
  <c r="H337" i="10" l="1"/>
  <c r="E338" i="3"/>
  <c r="W337" i="3"/>
  <c r="Z337" i="3" s="1"/>
  <c r="F338" i="3"/>
  <c r="I337" i="10"/>
  <c r="R337" i="3"/>
  <c r="S337" i="3" s="1"/>
  <c r="P337" i="3"/>
  <c r="Y237" i="8"/>
  <c r="AA237" i="8" s="1"/>
  <c r="Z237" i="8"/>
  <c r="AB237" i="8" s="1"/>
  <c r="S237" i="8"/>
  <c r="AJ237" i="8"/>
  <c r="AU237" i="8"/>
  <c r="J337" i="10" l="1"/>
  <c r="G338" i="3"/>
  <c r="AA337" i="3"/>
  <c r="K337" i="10" s="1"/>
  <c r="T337" i="3"/>
  <c r="AC237" i="8"/>
  <c r="T237" i="8"/>
  <c r="V237" i="8" s="1"/>
  <c r="AK237" i="8"/>
  <c r="H338" i="3" l="1"/>
  <c r="AB337" i="3"/>
  <c r="L337" i="10" s="1"/>
  <c r="AD237" i="8"/>
  <c r="AT237" i="8"/>
  <c r="M338" i="3" l="1"/>
  <c r="I338" i="3"/>
  <c r="L338" i="3" s="1"/>
  <c r="AE237" i="8"/>
  <c r="AL237" i="8"/>
  <c r="Q338" i="3" l="1"/>
  <c r="J338" i="3"/>
  <c r="K338" i="3" s="1"/>
  <c r="AF237" i="8"/>
  <c r="AM237" i="8" s="1"/>
  <c r="AQ237" i="8" s="1"/>
  <c r="G238" i="8" s="1"/>
  <c r="AP237" i="8"/>
  <c r="F238" i="8" s="1"/>
  <c r="AG237" i="8" l="1"/>
  <c r="AH237" i="8" s="1"/>
  <c r="AN237" i="8" s="1"/>
  <c r="AR237" i="8" s="1"/>
  <c r="H238" i="8" s="1"/>
  <c r="U338" i="3"/>
  <c r="N338" i="3"/>
  <c r="AC338" i="3"/>
  <c r="M338" i="10" s="1"/>
  <c r="X338" i="3"/>
  <c r="AO237" i="8" l="1"/>
  <c r="I238" i="8"/>
  <c r="V338" i="3"/>
  <c r="Y338" i="3" s="1"/>
  <c r="O338" i="3"/>
  <c r="E339" i="3"/>
  <c r="O238" i="8"/>
  <c r="AS237" i="8"/>
  <c r="P338" i="3"/>
  <c r="J238" i="8"/>
  <c r="N238" i="8" s="1"/>
  <c r="H338" i="10"/>
  <c r="I338" i="10"/>
  <c r="F339" i="3"/>
  <c r="W338" i="3" l="1"/>
  <c r="Z338" i="3" s="1"/>
  <c r="R338" i="3"/>
  <c r="S338" i="3" s="1"/>
  <c r="R238" i="8"/>
  <c r="K238" i="8"/>
  <c r="AA338" i="3" l="1"/>
  <c r="K338" i="10" s="1"/>
  <c r="G339" i="3"/>
  <c r="J338" i="10"/>
  <c r="T338" i="3"/>
  <c r="L238" i="8"/>
  <c r="M238" i="8"/>
  <c r="H339" i="3" l="1"/>
  <c r="AB338" i="3"/>
  <c r="L338" i="10" s="1"/>
  <c r="X238" i="8"/>
  <c r="P238" i="8"/>
  <c r="Q238" i="8" s="1"/>
  <c r="AI238" i="8"/>
  <c r="AU238" i="8"/>
  <c r="M339" i="3"/>
  <c r="I339" i="3" l="1"/>
  <c r="L339" i="3" s="1"/>
  <c r="Y238" i="8"/>
  <c r="AA238" i="8" s="1"/>
  <c r="Z238" i="8"/>
  <c r="AB238" i="8" s="1"/>
  <c r="S238" i="8"/>
  <c r="AJ238" i="8"/>
  <c r="Q339" i="3" l="1"/>
  <c r="J339" i="3"/>
  <c r="K339" i="3" s="1"/>
  <c r="AC238" i="8"/>
  <c r="T238" i="8"/>
  <c r="V238" i="8" s="1"/>
  <c r="AK238" i="8"/>
  <c r="AC339" i="3" l="1"/>
  <c r="M339" i="10" s="1"/>
  <c r="N339" i="3"/>
  <c r="U339" i="3"/>
  <c r="O339" i="3"/>
  <c r="V339" i="3"/>
  <c r="Y339" i="3" s="1"/>
  <c r="X339" i="3"/>
  <c r="AD238" i="8"/>
  <c r="AE238" i="8"/>
  <c r="AT238" i="8"/>
  <c r="AL238" i="8" l="1"/>
  <c r="P339" i="3"/>
  <c r="R339" i="3"/>
  <c r="S339" i="3" s="1"/>
  <c r="I339" i="10"/>
  <c r="F340" i="3"/>
  <c r="H339" i="10"/>
  <c r="E340" i="3"/>
  <c r="W339" i="3"/>
  <c r="AP238" i="8"/>
  <c r="F239" i="8" s="1"/>
  <c r="AF238" i="8"/>
  <c r="AM238" i="8" s="1"/>
  <c r="AQ238" i="8" s="1"/>
  <c r="G239" i="8" s="1"/>
  <c r="T339" i="3" l="1"/>
  <c r="AA339" i="3"/>
  <c r="K339" i="10" s="1"/>
  <c r="Z339" i="3"/>
  <c r="AG238" i="8"/>
  <c r="AH238" i="8" s="1"/>
  <c r="AN238" i="8" s="1"/>
  <c r="G340" i="3" l="1"/>
  <c r="J339" i="10"/>
  <c r="AB339" i="3"/>
  <c r="L339" i="10" s="1"/>
  <c r="AO238" i="8"/>
  <c r="AR238" i="8"/>
  <c r="H239" i="8" s="1"/>
  <c r="H340" i="3"/>
  <c r="I239" i="8" l="1"/>
  <c r="AS238" i="8"/>
  <c r="I340" i="3"/>
  <c r="L340" i="3" s="1"/>
  <c r="M340" i="3"/>
  <c r="O239" i="8" l="1"/>
  <c r="J239" i="8"/>
  <c r="N239" i="8" s="1"/>
  <c r="J340" i="3"/>
  <c r="K340" i="3" s="1"/>
  <c r="Q340" i="3"/>
  <c r="R239" i="8" l="1"/>
  <c r="K239" i="8"/>
  <c r="M239" i="8" s="1"/>
  <c r="N340" i="3"/>
  <c r="U340" i="3"/>
  <c r="V340" i="3" s="1"/>
  <c r="Y340" i="3" s="1"/>
  <c r="AC340" i="3"/>
  <c r="M340" i="10" s="1"/>
  <c r="L239" i="8" l="1"/>
  <c r="X239" i="8"/>
  <c r="AI239" i="8"/>
  <c r="P239" i="8"/>
  <c r="Q239" i="8" s="1"/>
  <c r="X340" i="3"/>
  <c r="O340" i="3"/>
  <c r="P340" i="3" s="1"/>
  <c r="I340" i="10"/>
  <c r="F341" i="3"/>
  <c r="W340" i="3"/>
  <c r="Z340" i="3" s="1"/>
  <c r="AU239" i="8" l="1"/>
  <c r="Y239" i="8"/>
  <c r="AA239" i="8" s="1"/>
  <c r="Z239" i="8"/>
  <c r="AB239" i="8" s="1"/>
  <c r="AJ239" i="8"/>
  <c r="S239" i="8"/>
  <c r="J340" i="10"/>
  <c r="G341" i="3"/>
  <c r="AA340" i="3"/>
  <c r="K340" i="10" s="1"/>
  <c r="R340" i="3"/>
  <c r="S340" i="3" s="1"/>
  <c r="H340" i="10"/>
  <c r="E341" i="3"/>
  <c r="AC239" i="8" l="1"/>
  <c r="AK239" i="8"/>
  <c r="T239" i="8"/>
  <c r="V239" i="8" s="1"/>
  <c r="H341" i="3"/>
  <c r="T340" i="3"/>
  <c r="AB340" i="3" l="1"/>
  <c r="L340" i="10" s="1"/>
  <c r="AD239" i="8"/>
  <c r="AT239" i="8"/>
  <c r="M341" i="3"/>
  <c r="I341" i="3"/>
  <c r="L341" i="3" s="1"/>
  <c r="AE239" i="8" l="1"/>
  <c r="AL239" i="8"/>
  <c r="J341" i="3"/>
  <c r="K341" i="3" s="1"/>
  <c r="Q341" i="3"/>
  <c r="AF239" i="8" l="1"/>
  <c r="AM239" i="8" s="1"/>
  <c r="AQ239" i="8" s="1"/>
  <c r="G240" i="8" s="1"/>
  <c r="AP239" i="8"/>
  <c r="F240" i="8" s="1"/>
  <c r="U341" i="3"/>
  <c r="N341" i="3"/>
  <c r="AC341" i="3"/>
  <c r="M341" i="10" s="1"/>
  <c r="V341" i="3" l="1"/>
  <c r="Y341" i="3" s="1"/>
  <c r="O341" i="3"/>
  <c r="X341" i="3"/>
  <c r="AG239" i="8"/>
  <c r="AH239" i="8" s="1"/>
  <c r="AN239" i="8" s="1"/>
  <c r="P341" i="3" l="1"/>
  <c r="I341" i="10"/>
  <c r="F342" i="3"/>
  <c r="R341" i="3"/>
  <c r="S341" i="3" s="1"/>
  <c r="H341" i="10"/>
  <c r="AO239" i="8"/>
  <c r="AR239" i="8"/>
  <c r="H240" i="8" s="1"/>
  <c r="E342" i="3"/>
  <c r="W341" i="3"/>
  <c r="Z341" i="3" s="1"/>
  <c r="G342" i="3" l="1"/>
  <c r="T341" i="3"/>
  <c r="I240" i="8"/>
  <c r="J341" i="10"/>
  <c r="AA341" i="3"/>
  <c r="K341" i="10" s="1"/>
  <c r="AS239" i="8"/>
  <c r="H342" i="3" l="1"/>
  <c r="O240" i="8"/>
  <c r="AB341" i="3"/>
  <c r="L341" i="10" s="1"/>
  <c r="J240" i="8"/>
  <c r="N240" i="8" s="1"/>
  <c r="M342" i="3" l="1"/>
  <c r="I342" i="3"/>
  <c r="L342" i="3" s="1"/>
  <c r="R240" i="8"/>
  <c r="K240" i="8"/>
  <c r="M240" i="8" s="1"/>
  <c r="J342" i="3" l="1"/>
  <c r="K342" i="3" s="1"/>
  <c r="Q342" i="3"/>
  <c r="P240" i="8"/>
  <c r="Q240" i="8" s="1"/>
  <c r="X240" i="8"/>
  <c r="AI240" i="8"/>
  <c r="L240" i="8"/>
  <c r="U342" i="3" l="1"/>
  <c r="N342" i="3"/>
  <c r="AC342" i="3"/>
  <c r="M342" i="10" s="1"/>
  <c r="S240" i="8"/>
  <c r="Y240" i="8"/>
  <c r="AA240" i="8" s="1"/>
  <c r="Z240" i="8"/>
  <c r="AB240" i="8" s="1"/>
  <c r="AJ240" i="8"/>
  <c r="AU240" i="8"/>
  <c r="V342" i="3" l="1"/>
  <c r="Y342" i="3" s="1"/>
  <c r="X342" i="3"/>
  <c r="O342" i="3"/>
  <c r="AC240" i="8"/>
  <c r="AK240" i="8"/>
  <c r="T240" i="8"/>
  <c r="V240" i="8" s="1"/>
  <c r="P342" i="3" l="1"/>
  <c r="H342" i="10"/>
  <c r="E343" i="3"/>
  <c r="I342" i="10"/>
  <c r="F343" i="3"/>
  <c r="W342" i="3"/>
  <c r="Z342" i="3" s="1"/>
  <c r="R342" i="3"/>
  <c r="S342" i="3" s="1"/>
  <c r="AD240" i="8"/>
  <c r="AT240" i="8"/>
  <c r="J342" i="10"/>
  <c r="AA342" i="3"/>
  <c r="K342" i="10" s="1"/>
  <c r="G343" i="3" l="1"/>
  <c r="T342" i="3"/>
  <c r="AE240" i="8"/>
  <c r="AL240" i="8"/>
  <c r="H343" i="3" l="1"/>
  <c r="AB342" i="3"/>
  <c r="L342" i="10" s="1"/>
  <c r="AF240" i="8"/>
  <c r="AM240" i="8" s="1"/>
  <c r="AQ240" i="8" s="1"/>
  <c r="G241" i="8" s="1"/>
  <c r="AP240" i="8"/>
  <c r="F241" i="8" s="1"/>
  <c r="M343" i="3" l="1"/>
  <c r="I343" i="3"/>
  <c r="L343" i="3" s="1"/>
  <c r="AG240" i="8"/>
  <c r="AH240" i="8" s="1"/>
  <c r="AN240" i="8" s="1"/>
  <c r="AR240" i="8" s="1"/>
  <c r="H241" i="8" s="1"/>
  <c r="Q343" i="3" l="1"/>
  <c r="J343" i="3"/>
  <c r="K343" i="3" s="1"/>
  <c r="I241" i="8"/>
  <c r="AO240" i="8"/>
  <c r="AS240" i="8" l="1"/>
  <c r="AC343" i="3"/>
  <c r="M343" i="10" s="1"/>
  <c r="U343" i="3"/>
  <c r="N343" i="3"/>
  <c r="O241" i="8"/>
  <c r="J241" i="8"/>
  <c r="N241" i="8" s="1"/>
  <c r="X343" i="3"/>
  <c r="V343" i="3" l="1"/>
  <c r="Y343" i="3" s="1"/>
  <c r="O343" i="3"/>
  <c r="P343" i="3"/>
  <c r="R241" i="8"/>
  <c r="K241" i="8"/>
  <c r="M241" i="8" s="1"/>
  <c r="E344" i="3"/>
  <c r="H343" i="10"/>
  <c r="I343" i="10" l="1"/>
  <c r="F344" i="3"/>
  <c r="R343" i="3"/>
  <c r="S343" i="3" s="1"/>
  <c r="W343" i="3"/>
  <c r="Z343" i="3" s="1"/>
  <c r="P241" i="8"/>
  <c r="Q241" i="8" s="1"/>
  <c r="X241" i="8"/>
  <c r="AI241" i="8"/>
  <c r="L241" i="8"/>
  <c r="G344" i="3"/>
  <c r="J343" i="10" l="1"/>
  <c r="T343" i="3"/>
  <c r="AB343" i="3" s="1"/>
  <c r="L343" i="10" s="1"/>
  <c r="AA343" i="3"/>
  <c r="K343" i="10" s="1"/>
  <c r="S241" i="8"/>
  <c r="Y241" i="8"/>
  <c r="AA241" i="8" s="1"/>
  <c r="Z241" i="8"/>
  <c r="AB241" i="8" s="1"/>
  <c r="AJ241" i="8"/>
  <c r="AU241" i="8"/>
  <c r="H344" i="3"/>
  <c r="AC241" i="8" l="1"/>
  <c r="T241" i="8"/>
  <c r="V241" i="8" s="1"/>
  <c r="AT241" i="8" s="1"/>
  <c r="AK241" i="8"/>
  <c r="M344" i="3"/>
  <c r="I344" i="3"/>
  <c r="L344" i="3" s="1"/>
  <c r="AD241" i="8" l="1"/>
  <c r="Q344" i="3"/>
  <c r="J344" i="3"/>
  <c r="K344" i="3" s="1"/>
  <c r="AE241" i="8" l="1"/>
  <c r="AL241" i="8"/>
  <c r="AC344" i="3"/>
  <c r="M344" i="10" s="1"/>
  <c r="U344" i="3"/>
  <c r="N344" i="3"/>
  <c r="AF241" i="8" l="1"/>
  <c r="AM241" i="8" s="1"/>
  <c r="AQ241" i="8" s="1"/>
  <c r="G242" i="8" s="1"/>
  <c r="AP241" i="8"/>
  <c r="F242" i="8" s="1"/>
  <c r="V344" i="3"/>
  <c r="Y344" i="3" s="1"/>
  <c r="O344" i="3"/>
  <c r="X344" i="3"/>
  <c r="AG241" i="8" l="1"/>
  <c r="AH241" i="8" s="1"/>
  <c r="AN241" i="8" s="1"/>
  <c r="AR241" i="8" s="1"/>
  <c r="H242" i="8" s="1"/>
  <c r="I344" i="10"/>
  <c r="F345" i="3"/>
  <c r="R344" i="3"/>
  <c r="S344" i="3" s="1"/>
  <c r="H344" i="10"/>
  <c r="E345" i="3"/>
  <c r="P344" i="3"/>
  <c r="W344" i="3"/>
  <c r="Z344" i="3" s="1"/>
  <c r="I242" i="8" l="1"/>
  <c r="AO241" i="8"/>
  <c r="T344" i="3"/>
  <c r="AA344" i="3"/>
  <c r="K344" i="10" s="1"/>
  <c r="G345" i="3"/>
  <c r="J344" i="10"/>
  <c r="AS241" i="8" l="1"/>
  <c r="O242" i="8"/>
  <c r="J242" i="8"/>
  <c r="N242" i="8" s="1"/>
  <c r="AB344" i="3"/>
  <c r="L344" i="10" s="1"/>
  <c r="H345" i="3"/>
  <c r="R242" i="8" l="1"/>
  <c r="K242" i="8"/>
  <c r="M242" i="8" s="1"/>
  <c r="M345" i="3"/>
  <c r="I345" i="3"/>
  <c r="L345" i="3" s="1"/>
  <c r="X242" i="8" l="1"/>
  <c r="AI242" i="8"/>
  <c r="L242" i="8"/>
  <c r="P242" i="8"/>
  <c r="Q242" i="8" s="1"/>
  <c r="Z242" i="8"/>
  <c r="AB242" i="8" s="1"/>
  <c r="Q345" i="3"/>
  <c r="J345" i="3"/>
  <c r="K345" i="3" s="1"/>
  <c r="S242" i="8" l="1"/>
  <c r="Y242" i="8"/>
  <c r="AA242" i="8" s="1"/>
  <c r="AJ242" i="8"/>
  <c r="AU242" i="8"/>
  <c r="AC242" i="8"/>
  <c r="T242" i="8"/>
  <c r="V242" i="8" s="1"/>
  <c r="U345" i="3"/>
  <c r="N345" i="3"/>
  <c r="AC345" i="3"/>
  <c r="M345" i="10" s="1"/>
  <c r="AK242" i="8" l="1"/>
  <c r="AD242" i="8"/>
  <c r="AT242" i="8"/>
  <c r="X345" i="3"/>
  <c r="V345" i="3"/>
  <c r="Y345" i="3" s="1"/>
  <c r="O345" i="3"/>
  <c r="AE242" i="8" l="1"/>
  <c r="AL242" i="8"/>
  <c r="E346" i="3"/>
  <c r="H345" i="10"/>
  <c r="I345" i="10"/>
  <c r="F346" i="3"/>
  <c r="R345" i="3"/>
  <c r="S345" i="3" s="1"/>
  <c r="P345" i="3"/>
  <c r="W345" i="3"/>
  <c r="Z345" i="3" s="1"/>
  <c r="AF242" i="8" l="1"/>
  <c r="AM242" i="8" s="1"/>
  <c r="AQ242" i="8" s="1"/>
  <c r="G243" i="8" s="1"/>
  <c r="AP242" i="8"/>
  <c r="F243" i="8" s="1"/>
  <c r="G346" i="3"/>
  <c r="J345" i="10"/>
  <c r="AA345" i="3"/>
  <c r="K345" i="10" s="1"/>
  <c r="T345" i="3"/>
  <c r="AG242" i="8" l="1"/>
  <c r="AH242" i="8" s="1"/>
  <c r="AN242" i="8" s="1"/>
  <c r="AR242" i="8" s="1"/>
  <c r="H243" i="8" s="1"/>
  <c r="H346" i="3"/>
  <c r="AB345" i="3"/>
  <c r="L345" i="10" s="1"/>
  <c r="I243" i="8" l="1"/>
  <c r="AO242" i="8"/>
  <c r="M346" i="3"/>
  <c r="I346" i="3"/>
  <c r="L346" i="3" s="1"/>
  <c r="AS242" i="8" l="1"/>
  <c r="J243" i="8"/>
  <c r="N243" i="8" s="1"/>
  <c r="O243" i="8"/>
  <c r="J346" i="3"/>
  <c r="K346" i="3" s="1"/>
  <c r="Q346" i="3"/>
  <c r="R243" i="8" l="1"/>
  <c r="K243" i="8"/>
  <c r="N346" i="3"/>
  <c r="U346" i="3"/>
  <c r="AC346" i="3"/>
  <c r="M346" i="10" s="1"/>
  <c r="O346" i="3" l="1"/>
  <c r="L243" i="8"/>
  <c r="M243" i="8"/>
  <c r="V346" i="3"/>
  <c r="Y346" i="3" s="1"/>
  <c r="X346" i="3"/>
  <c r="P346" i="3" l="1"/>
  <c r="R346" i="3"/>
  <c r="S346" i="3" s="1"/>
  <c r="AI243" i="8"/>
  <c r="X243" i="8"/>
  <c r="AU243" i="8"/>
  <c r="P243" i="8"/>
  <c r="Q243" i="8" s="1"/>
  <c r="E347" i="3"/>
  <c r="H346" i="10"/>
  <c r="F347" i="3"/>
  <c r="W346" i="3"/>
  <c r="Z346" i="3" s="1"/>
  <c r="I346" i="10"/>
  <c r="T346" i="3" l="1"/>
  <c r="G347" i="3"/>
  <c r="J346" i="10"/>
  <c r="S243" i="8"/>
  <c r="AJ243" i="8"/>
  <c r="Y243" i="8"/>
  <c r="AA243" i="8" s="1"/>
  <c r="Z243" i="8"/>
  <c r="AB243" i="8" s="1"/>
  <c r="AA346" i="3"/>
  <c r="K346" i="10" s="1"/>
  <c r="AC243" i="8" l="1"/>
  <c r="AB346" i="3"/>
  <c r="L346" i="10" s="1"/>
  <c r="T243" i="8"/>
  <c r="V243" i="8" s="1"/>
  <c r="AK243" i="8"/>
  <c r="H347" i="3"/>
  <c r="AD243" i="8"/>
  <c r="M347" i="3"/>
  <c r="I347" i="3" l="1"/>
  <c r="L347" i="3" s="1"/>
  <c r="AT243" i="8"/>
  <c r="AE243" i="8"/>
  <c r="AL243" i="8"/>
  <c r="Q347" i="3" l="1"/>
  <c r="J347" i="3"/>
  <c r="K347" i="3" s="1"/>
  <c r="AF243" i="8"/>
  <c r="AM243" i="8" s="1"/>
  <c r="AQ243" i="8" s="1"/>
  <c r="G244" i="8" s="1"/>
  <c r="AP243" i="8"/>
  <c r="F244" i="8" s="1"/>
  <c r="AC347" i="3" l="1"/>
  <c r="M347" i="10" s="1"/>
  <c r="U347" i="3"/>
  <c r="N347" i="3"/>
  <c r="AG243" i="8"/>
  <c r="AH243" i="8" s="1"/>
  <c r="AN243" i="8" s="1"/>
  <c r="AR243" i="8" s="1"/>
  <c r="H244" i="8" s="1"/>
  <c r="X347" i="3" l="1"/>
  <c r="V347" i="3"/>
  <c r="Y347" i="3" s="1"/>
  <c r="O347" i="3"/>
  <c r="I244" i="8"/>
  <c r="AO243" i="8"/>
  <c r="AS243" i="8"/>
  <c r="P347" i="3"/>
  <c r="E348" i="3"/>
  <c r="H347" i="10"/>
  <c r="I347" i="10" l="1"/>
  <c r="F348" i="3"/>
  <c r="R347" i="3"/>
  <c r="S347" i="3" s="1"/>
  <c r="W347" i="3"/>
  <c r="Z347" i="3" s="1"/>
  <c r="J244" i="8"/>
  <c r="N244" i="8" s="1"/>
  <c r="O244" i="8"/>
  <c r="AA347" i="3" l="1"/>
  <c r="K347" i="10" s="1"/>
  <c r="G348" i="3"/>
  <c r="J347" i="10"/>
  <c r="T347" i="3"/>
  <c r="R244" i="8"/>
  <c r="K244" i="8"/>
  <c r="M244" i="8" s="1"/>
  <c r="H348" i="3" l="1"/>
  <c r="AB347" i="3"/>
  <c r="L347" i="10" s="1"/>
  <c r="AI244" i="8"/>
  <c r="X244" i="8"/>
  <c r="P244" i="8"/>
  <c r="Q244" i="8" s="1"/>
  <c r="L244" i="8"/>
  <c r="M348" i="3" l="1"/>
  <c r="I348" i="3"/>
  <c r="L348" i="3" s="1"/>
  <c r="AJ244" i="8"/>
  <c r="Y244" i="8"/>
  <c r="AA244" i="8" s="1"/>
  <c r="Z244" i="8"/>
  <c r="AB244" i="8" s="1"/>
  <c r="S244" i="8"/>
  <c r="AU244" i="8"/>
  <c r="Q348" i="3" l="1"/>
  <c r="J348" i="3"/>
  <c r="K348" i="3" s="1"/>
  <c r="AC244" i="8"/>
  <c r="AK244" i="8"/>
  <c r="T244" i="8"/>
  <c r="V244" i="8" s="1"/>
  <c r="U348" i="3" l="1"/>
  <c r="N348" i="3"/>
  <c r="AC348" i="3"/>
  <c r="M348" i="10" s="1"/>
  <c r="X348" i="3"/>
  <c r="AD244" i="8"/>
  <c r="AT244" i="8"/>
  <c r="V348" i="3" l="1"/>
  <c r="Y348" i="3" s="1"/>
  <c r="O348" i="3"/>
  <c r="P348" i="3"/>
  <c r="H348" i="10"/>
  <c r="E349" i="3"/>
  <c r="AE244" i="8"/>
  <c r="AL244" i="8"/>
  <c r="I348" i="10" l="1"/>
  <c r="F349" i="3"/>
  <c r="R348" i="3"/>
  <c r="S348" i="3" s="1"/>
  <c r="W348" i="3"/>
  <c r="Z348" i="3" s="1"/>
  <c r="AF244" i="8"/>
  <c r="AM244" i="8" s="1"/>
  <c r="AQ244" i="8" s="1"/>
  <c r="G245" i="8" s="1"/>
  <c r="AP244" i="8"/>
  <c r="F245" i="8" s="1"/>
  <c r="G349" i="3" l="1"/>
  <c r="J348" i="10"/>
  <c r="AA348" i="3"/>
  <c r="K348" i="10" s="1"/>
  <c r="T348" i="3"/>
  <c r="AG244" i="8"/>
  <c r="AH244" i="8" s="1"/>
  <c r="AN244" i="8" s="1"/>
  <c r="AB348" i="3" l="1"/>
  <c r="L348" i="10" s="1"/>
  <c r="H349" i="3"/>
  <c r="AO244" i="8"/>
  <c r="AR244" i="8"/>
  <c r="H245" i="8" s="1"/>
  <c r="I349" i="3" l="1"/>
  <c r="L349" i="3" s="1"/>
  <c r="M349" i="3"/>
  <c r="I245" i="8"/>
  <c r="AS244" i="8"/>
  <c r="J349" i="3"/>
  <c r="K349" i="3" s="1"/>
  <c r="Q349" i="3" l="1"/>
  <c r="O245" i="8"/>
  <c r="J245" i="8"/>
  <c r="N245" i="8" s="1"/>
  <c r="U349" i="3"/>
  <c r="N349" i="3"/>
  <c r="AC349" i="3"/>
  <c r="M349" i="10" s="1"/>
  <c r="R245" i="8" l="1"/>
  <c r="X349" i="3"/>
  <c r="K245" i="8"/>
  <c r="M245" i="8" s="1"/>
  <c r="O349" i="3"/>
  <c r="V349" i="3"/>
  <c r="Y349" i="3" s="1"/>
  <c r="P349" i="3" l="1"/>
  <c r="H349" i="10"/>
  <c r="R349" i="3"/>
  <c r="S349" i="3" s="1"/>
  <c r="F350" i="3"/>
  <c r="E350" i="3"/>
  <c r="AI245" i="8"/>
  <c r="X245" i="8"/>
  <c r="P245" i="8"/>
  <c r="Q245" i="8" s="1"/>
  <c r="L245" i="8"/>
  <c r="I349" i="10"/>
  <c r="W349" i="3"/>
  <c r="Z349" i="3" s="1"/>
  <c r="T349" i="3" l="1"/>
  <c r="AJ245" i="8"/>
  <c r="Y245" i="8"/>
  <c r="AA245" i="8" s="1"/>
  <c r="Z245" i="8"/>
  <c r="AB245" i="8" s="1"/>
  <c r="S245" i="8"/>
  <c r="AU245" i="8"/>
  <c r="AA349" i="3"/>
  <c r="K349" i="10" s="1"/>
  <c r="G350" i="3"/>
  <c r="J349" i="10"/>
  <c r="H350" i="3" l="1"/>
  <c r="AB349" i="3"/>
  <c r="L349" i="10" s="1"/>
  <c r="AC245" i="8"/>
  <c r="AK245" i="8"/>
  <c r="T245" i="8"/>
  <c r="V245" i="8" s="1"/>
  <c r="I350" i="3" l="1"/>
  <c r="L350" i="3" s="1"/>
  <c r="M350" i="3"/>
  <c r="AD245" i="8"/>
  <c r="AT245" i="8"/>
  <c r="Q350" i="3"/>
  <c r="J350" i="3" l="1"/>
  <c r="AL245" i="8"/>
  <c r="AE245" i="8"/>
  <c r="AF245" i="8"/>
  <c r="AM245" i="8" s="1"/>
  <c r="AQ245" i="8" s="1"/>
  <c r="G246" i="8" s="1"/>
  <c r="AC350" i="3" l="1"/>
  <c r="M350" i="10" s="1"/>
  <c r="K350" i="3"/>
  <c r="AP245" i="8"/>
  <c r="F246" i="8" s="1"/>
  <c r="AG245" i="8"/>
  <c r="AH245" i="8" s="1"/>
  <c r="AN245" i="8" s="1"/>
  <c r="U350" i="3"/>
  <c r="N350" i="3" l="1"/>
  <c r="AO245" i="8"/>
  <c r="AR245" i="8"/>
  <c r="H246" i="8" s="1"/>
  <c r="X350" i="3"/>
  <c r="V350" i="3"/>
  <c r="Y350" i="3" s="1"/>
  <c r="O350" i="3" l="1"/>
  <c r="AS245" i="8"/>
  <c r="I246" i="8"/>
  <c r="H350" i="10"/>
  <c r="E351" i="3"/>
  <c r="I350" i="10"/>
  <c r="F351" i="3"/>
  <c r="R350" i="3"/>
  <c r="S350" i="3" s="1"/>
  <c r="W350" i="3"/>
  <c r="Z350" i="3" s="1"/>
  <c r="P350" i="3" l="1"/>
  <c r="O246" i="8"/>
  <c r="J246" i="8"/>
  <c r="N246" i="8" s="1"/>
  <c r="T350" i="3"/>
  <c r="G351" i="3"/>
  <c r="J350" i="10"/>
  <c r="AA350" i="3"/>
  <c r="K350" i="10" s="1"/>
  <c r="R246" i="8" l="1"/>
  <c r="K246" i="8"/>
  <c r="M246" i="8" s="1"/>
  <c r="AB350" i="3"/>
  <c r="L350" i="10" s="1"/>
  <c r="H351" i="3"/>
  <c r="X246" i="8" l="1"/>
  <c r="P246" i="8"/>
  <c r="Q246" i="8" s="1"/>
  <c r="AI246" i="8"/>
  <c r="L246" i="8"/>
  <c r="I351" i="3"/>
  <c r="L351" i="3" s="1"/>
  <c r="M351" i="3"/>
  <c r="Y246" i="8" l="1"/>
  <c r="AA246" i="8" s="1"/>
  <c r="Z246" i="8"/>
  <c r="AB246" i="8" s="1"/>
  <c r="S246" i="8"/>
  <c r="AJ246" i="8"/>
  <c r="AU246" i="8"/>
  <c r="Q351" i="3"/>
  <c r="J351" i="3"/>
  <c r="K351" i="3" s="1"/>
  <c r="AC246" i="8" l="1"/>
  <c r="T246" i="8"/>
  <c r="V246" i="8" s="1"/>
  <c r="AK246" i="8"/>
  <c r="U351" i="3"/>
  <c r="N351" i="3"/>
  <c r="AC351" i="3"/>
  <c r="M351" i="10" s="1"/>
  <c r="AD246" i="8" l="1"/>
  <c r="AT246" i="8"/>
  <c r="X351" i="3"/>
  <c r="V351" i="3"/>
  <c r="Y351" i="3" s="1"/>
  <c r="O351" i="3"/>
  <c r="AE246" i="8" l="1"/>
  <c r="AL246" i="8"/>
  <c r="E352" i="3"/>
  <c r="H351" i="10"/>
  <c r="P351" i="3"/>
  <c r="I351" i="10"/>
  <c r="F352" i="3"/>
  <c r="R351" i="3"/>
  <c r="S351" i="3" s="1"/>
  <c r="W351" i="3"/>
  <c r="Z351" i="3" s="1"/>
  <c r="AF246" i="8" l="1"/>
  <c r="AM246" i="8" s="1"/>
  <c r="AQ246" i="8" s="1"/>
  <c r="G247" i="8" s="1"/>
  <c r="AP246" i="8"/>
  <c r="F247" i="8" s="1"/>
  <c r="J351" i="10"/>
  <c r="G352" i="3"/>
  <c r="T351" i="3"/>
  <c r="AA351" i="3"/>
  <c r="K351" i="10" s="1"/>
  <c r="AG246" i="8" l="1"/>
  <c r="AH246" i="8" s="1"/>
  <c r="AN246" i="8" s="1"/>
  <c r="H352" i="3"/>
  <c r="AB351" i="3"/>
  <c r="L351" i="10" s="1"/>
  <c r="AO246" i="8" l="1"/>
  <c r="AR246" i="8"/>
  <c r="H247" i="8" s="1"/>
  <c r="M352" i="3"/>
  <c r="I352" i="3"/>
  <c r="L352" i="3" s="1"/>
  <c r="AS246" i="8" l="1"/>
  <c r="I247" i="8"/>
  <c r="Q352" i="3"/>
  <c r="J352" i="3"/>
  <c r="K352" i="3" s="1"/>
  <c r="J247" i="8" l="1"/>
  <c r="N247" i="8" s="1"/>
  <c r="O247" i="8"/>
  <c r="AC352" i="3"/>
  <c r="M352" i="10" s="1"/>
  <c r="U352" i="3"/>
  <c r="N352" i="3"/>
  <c r="R247" i="8" l="1"/>
  <c r="K247" i="8"/>
  <c r="X352" i="3"/>
  <c r="V352" i="3"/>
  <c r="Y352" i="3" s="1"/>
  <c r="O352" i="3"/>
  <c r="E353" i="3" l="1"/>
  <c r="L247" i="8"/>
  <c r="AU247" i="8" s="1"/>
  <c r="M247" i="8"/>
  <c r="H352" i="10"/>
  <c r="I352" i="10"/>
  <c r="F353" i="3"/>
  <c r="R352" i="3"/>
  <c r="S352" i="3" s="1"/>
  <c r="P352" i="3"/>
  <c r="W352" i="3"/>
  <c r="Z352" i="3" s="1"/>
  <c r="X247" i="8" l="1"/>
  <c r="P247" i="8"/>
  <c r="Q247" i="8" s="1"/>
  <c r="AI247" i="8"/>
  <c r="AA352" i="3"/>
  <c r="K352" i="10" s="1"/>
  <c r="G353" i="3"/>
  <c r="J352" i="10"/>
  <c r="T352" i="3"/>
  <c r="AB352" i="3" s="1"/>
  <c r="L352" i="10" s="1"/>
  <c r="Y247" i="8" l="1"/>
  <c r="AA247" i="8" s="1"/>
  <c r="Z247" i="8"/>
  <c r="AB247" i="8" s="1"/>
  <c r="S247" i="8"/>
  <c r="AJ247" i="8"/>
  <c r="H353" i="3"/>
  <c r="AC247" i="8" l="1"/>
  <c r="M353" i="3"/>
  <c r="T247" i="8"/>
  <c r="V247" i="8" s="1"/>
  <c r="AK247" i="8"/>
  <c r="I353" i="3"/>
  <c r="L353" i="3" s="1"/>
  <c r="AD247" i="8" l="1"/>
  <c r="AT247" i="8"/>
  <c r="Q353" i="3"/>
  <c r="J353" i="3"/>
  <c r="K353" i="3" s="1"/>
  <c r="AE247" i="8" l="1"/>
  <c r="AL247" i="8"/>
  <c r="U353" i="3"/>
  <c r="N353" i="3"/>
  <c r="AC353" i="3"/>
  <c r="M353" i="10" s="1"/>
  <c r="AF247" i="8" l="1"/>
  <c r="AM247" i="8" s="1"/>
  <c r="AQ247" i="8" s="1"/>
  <c r="G248" i="8" s="1"/>
  <c r="AP247" i="8"/>
  <c r="F248" i="8" s="1"/>
  <c r="X353" i="3"/>
  <c r="V353" i="3"/>
  <c r="Y353" i="3" s="1"/>
  <c r="O353" i="3"/>
  <c r="AG247" i="8" l="1"/>
  <c r="AH247" i="8" s="1"/>
  <c r="AN247" i="8" s="1"/>
  <c r="AR247" i="8" s="1"/>
  <c r="H248" i="8" s="1"/>
  <c r="H353" i="10"/>
  <c r="E354" i="3"/>
  <c r="P353" i="3"/>
  <c r="I353" i="10"/>
  <c r="F354" i="3"/>
  <c r="R353" i="3"/>
  <c r="S353" i="3" s="1"/>
  <c r="W353" i="3"/>
  <c r="I248" i="8" l="1"/>
  <c r="AO247" i="8"/>
  <c r="AS247" i="8"/>
  <c r="AA353" i="3"/>
  <c r="K353" i="10" s="1"/>
  <c r="Z353" i="3"/>
  <c r="T353" i="3"/>
  <c r="J248" i="8" l="1"/>
  <c r="N248" i="8" s="1"/>
  <c r="O248" i="8"/>
  <c r="G354" i="3"/>
  <c r="J353" i="10"/>
  <c r="AB353" i="3"/>
  <c r="L353" i="10" s="1"/>
  <c r="R248" i="8" l="1"/>
  <c r="K248" i="8"/>
  <c r="M248" i="8" s="1"/>
  <c r="AI248" i="8"/>
  <c r="X248" i="8"/>
  <c r="L248" i="8"/>
  <c r="H354" i="3"/>
  <c r="P248" i="8" l="1"/>
  <c r="Q248" i="8" s="1"/>
  <c r="AU248" i="8"/>
  <c r="S248" i="8"/>
  <c r="AJ248" i="8"/>
  <c r="Z248" i="8"/>
  <c r="AB248" i="8" s="1"/>
  <c r="Y248" i="8"/>
  <c r="AA248" i="8" s="1"/>
  <c r="I354" i="3"/>
  <c r="L354" i="3" s="1"/>
  <c r="M354" i="3"/>
  <c r="AC248" i="8" l="1"/>
  <c r="T248" i="8"/>
  <c r="V248" i="8" s="1"/>
  <c r="AK248" i="8"/>
  <c r="Q354" i="3"/>
  <c r="J354" i="3"/>
  <c r="K354" i="3" s="1"/>
  <c r="AD248" i="8" l="1"/>
  <c r="AT248" i="8"/>
  <c r="U354" i="3"/>
  <c r="N354" i="3"/>
  <c r="AC354" i="3"/>
  <c r="M354" i="10" s="1"/>
  <c r="AL248" i="8" l="1"/>
  <c r="AE248" i="8"/>
  <c r="X354" i="3"/>
  <c r="V354" i="3"/>
  <c r="Y354" i="3" s="1"/>
  <c r="O354" i="3"/>
  <c r="AP248" i="8" l="1"/>
  <c r="F249" i="8" s="1"/>
  <c r="AF248" i="8"/>
  <c r="AM248" i="8" s="1"/>
  <c r="AQ248" i="8" s="1"/>
  <c r="G249" i="8" s="1"/>
  <c r="E355" i="3"/>
  <c r="H354" i="10"/>
  <c r="P354" i="3"/>
  <c r="I354" i="10"/>
  <c r="F355" i="3"/>
  <c r="R354" i="3"/>
  <c r="S354" i="3" s="1"/>
  <c r="W354" i="3"/>
  <c r="Z354" i="3" s="1"/>
  <c r="AG248" i="8" l="1"/>
  <c r="AH248" i="8" s="1"/>
  <c r="AN248" i="8" s="1"/>
  <c r="AR248" i="8" s="1"/>
  <c r="H249" i="8" s="1"/>
  <c r="J354" i="10"/>
  <c r="G355" i="3"/>
  <c r="T354" i="3"/>
  <c r="AA354" i="3"/>
  <c r="K354" i="10" s="1"/>
  <c r="I249" i="8" l="1"/>
  <c r="AO248" i="8"/>
  <c r="AB354" i="3"/>
  <c r="L354" i="10" s="1"/>
  <c r="H355" i="3"/>
  <c r="J249" i="8" l="1"/>
  <c r="N249" i="8" s="1"/>
  <c r="AS248" i="8"/>
  <c r="O249" i="8"/>
  <c r="M355" i="3"/>
  <c r="I355" i="3"/>
  <c r="L355" i="3" s="1"/>
  <c r="R249" i="8" l="1"/>
  <c r="K249" i="8"/>
  <c r="M249" i="8" s="1"/>
  <c r="Q355" i="3"/>
  <c r="J355" i="3"/>
  <c r="K355" i="3" s="1"/>
  <c r="P249" i="8" l="1"/>
  <c r="Q249" i="8" s="1"/>
  <c r="AI249" i="8"/>
  <c r="X249" i="8"/>
  <c r="L249" i="8"/>
  <c r="U355" i="3"/>
  <c r="N355" i="3"/>
  <c r="AC355" i="3"/>
  <c r="M355" i="10" s="1"/>
  <c r="AU249" i="8" l="1"/>
  <c r="S249" i="8"/>
  <c r="AJ249" i="8"/>
  <c r="Y249" i="8"/>
  <c r="AA249" i="8" s="1"/>
  <c r="Z249" i="8"/>
  <c r="AB249" i="8" s="1"/>
  <c r="X355" i="3"/>
  <c r="V355" i="3"/>
  <c r="Y355" i="3" s="1"/>
  <c r="O355" i="3"/>
  <c r="AC249" i="8" l="1"/>
  <c r="T249" i="8"/>
  <c r="V249" i="8" s="1"/>
  <c r="AK249" i="8"/>
  <c r="P355" i="3"/>
  <c r="H355" i="10"/>
  <c r="E356" i="3"/>
  <c r="W355" i="3"/>
  <c r="Z355" i="3" s="1"/>
  <c r="I355" i="10"/>
  <c r="F356" i="3"/>
  <c r="R355" i="3"/>
  <c r="S355" i="3" s="1"/>
  <c r="AD249" i="8" l="1"/>
  <c r="AT249" i="8"/>
  <c r="G356" i="3"/>
  <c r="J355" i="10"/>
  <c r="AA355" i="3"/>
  <c r="K355" i="10" s="1"/>
  <c r="T355" i="3"/>
  <c r="AE249" i="8" l="1"/>
  <c r="AL249" i="8"/>
  <c r="H356" i="3"/>
  <c r="AB355" i="3"/>
  <c r="L355" i="10" s="1"/>
  <c r="AF249" i="8" l="1"/>
  <c r="AM249" i="8" s="1"/>
  <c r="AQ249" i="8" s="1"/>
  <c r="G250" i="8" s="1"/>
  <c r="AP249" i="8"/>
  <c r="F250" i="8" s="1"/>
  <c r="I356" i="3"/>
  <c r="L356" i="3" s="1"/>
  <c r="M356" i="3"/>
  <c r="AG249" i="8" l="1"/>
  <c r="AH249" i="8" s="1"/>
  <c r="AN249" i="8" s="1"/>
  <c r="AR249" i="8" s="1"/>
  <c r="H250" i="8" s="1"/>
  <c r="Q356" i="3"/>
  <c r="J356" i="3"/>
  <c r="AO249" i="8" l="1"/>
  <c r="I250" i="8"/>
  <c r="AS249" i="8"/>
  <c r="AC356" i="3"/>
  <c r="M356" i="10" s="1"/>
  <c r="K356" i="3"/>
  <c r="J250" i="8" l="1"/>
  <c r="N250" i="8" s="1"/>
  <c r="O250" i="8"/>
  <c r="R250" i="8"/>
  <c r="U356" i="3"/>
  <c r="N356" i="3"/>
  <c r="K250" i="8" l="1"/>
  <c r="M250" i="8" s="1"/>
  <c r="X356" i="3"/>
  <c r="X250" i="8"/>
  <c r="P250" i="8"/>
  <c r="Q250" i="8" s="1"/>
  <c r="AI250" i="8"/>
  <c r="V356" i="3"/>
  <c r="Y356" i="3" s="1"/>
  <c r="O356" i="3"/>
  <c r="L250" i="8"/>
  <c r="AU250" i="8" s="1"/>
  <c r="H356" i="10" l="1"/>
  <c r="P356" i="3"/>
  <c r="E357" i="3"/>
  <c r="Y250" i="8"/>
  <c r="AA250" i="8" s="1"/>
  <c r="Z250" i="8"/>
  <c r="AB250" i="8" s="1"/>
  <c r="S250" i="8"/>
  <c r="AJ250" i="8"/>
  <c r="I356" i="10"/>
  <c r="F357" i="3"/>
  <c r="R356" i="3"/>
  <c r="S356" i="3" s="1"/>
  <c r="W356" i="3"/>
  <c r="Z356" i="3" s="1"/>
  <c r="T356" i="3" l="1"/>
  <c r="G357" i="3"/>
  <c r="J356" i="10"/>
  <c r="AA356" i="3"/>
  <c r="K356" i="10" s="1"/>
  <c r="AC250" i="8"/>
  <c r="T250" i="8"/>
  <c r="V250" i="8" s="1"/>
  <c r="AT250" i="8" s="1"/>
  <c r="AK250" i="8"/>
  <c r="AB356" i="3" l="1"/>
  <c r="L356" i="10" s="1"/>
  <c r="H357" i="3"/>
  <c r="AD250" i="8"/>
  <c r="M357" i="3" l="1"/>
  <c r="I357" i="3"/>
  <c r="L357" i="3" s="1"/>
  <c r="AE250" i="8"/>
  <c r="AL250" i="8"/>
  <c r="J357" i="3" l="1"/>
  <c r="K357" i="3" s="1"/>
  <c r="Q357" i="3"/>
  <c r="AF250" i="8"/>
  <c r="AM250" i="8" s="1"/>
  <c r="AQ250" i="8" s="1"/>
  <c r="G251" i="8" s="1"/>
  <c r="AP250" i="8"/>
  <c r="F251" i="8" s="1"/>
  <c r="AC357" i="3" l="1"/>
  <c r="M357" i="10" s="1"/>
  <c r="N357" i="3"/>
  <c r="U357" i="3"/>
  <c r="AG250" i="8"/>
  <c r="AH250" i="8" s="1"/>
  <c r="AN250" i="8" s="1"/>
  <c r="AR250" i="8" s="1"/>
  <c r="H251" i="8" s="1"/>
  <c r="I251" i="8" l="1"/>
  <c r="X357" i="3"/>
  <c r="AO250" i="8"/>
  <c r="V357" i="3"/>
  <c r="Y357" i="3" s="1"/>
  <c r="O357" i="3"/>
  <c r="I357" i="10" l="1"/>
  <c r="O251" i="8"/>
  <c r="P357" i="3"/>
  <c r="J251" i="8"/>
  <c r="N251" i="8" s="1"/>
  <c r="AS250" i="8"/>
  <c r="F358" i="3"/>
  <c r="R357" i="3"/>
  <c r="S357" i="3" s="1"/>
  <c r="H357" i="10"/>
  <c r="E358" i="3"/>
  <c r="W357" i="3"/>
  <c r="Z357" i="3" s="1"/>
  <c r="J357" i="10"/>
  <c r="AA357" i="3" l="1"/>
  <c r="K357" i="10" s="1"/>
  <c r="G358" i="3"/>
  <c r="R251" i="8"/>
  <c r="K251" i="8"/>
  <c r="T357" i="3"/>
  <c r="L251" i="8" l="1"/>
  <c r="H358" i="3"/>
  <c r="M251" i="8"/>
  <c r="AB357" i="3"/>
  <c r="L357" i="10" s="1"/>
  <c r="I358" i="3" l="1"/>
  <c r="L358" i="3" s="1"/>
  <c r="M358" i="3"/>
  <c r="AU251" i="8"/>
  <c r="AI251" i="8"/>
  <c r="X251" i="8"/>
  <c r="P251" i="8"/>
  <c r="Q251" i="8" s="1"/>
  <c r="J358" i="3" l="1"/>
  <c r="K358" i="3" s="1"/>
  <c r="Q358" i="3"/>
  <c r="AJ251" i="8"/>
  <c r="Y251" i="8"/>
  <c r="AA251" i="8" s="1"/>
  <c r="Z251" i="8"/>
  <c r="AB251" i="8" s="1"/>
  <c r="S251" i="8"/>
  <c r="N358" i="3" l="1"/>
  <c r="U358" i="3"/>
  <c r="AC358" i="3"/>
  <c r="M358" i="10" s="1"/>
  <c r="AC251" i="8"/>
  <c r="T251" i="8"/>
  <c r="V251" i="8" s="1"/>
  <c r="AT251" i="8" s="1"/>
  <c r="AK251" i="8"/>
  <c r="O358" i="3" l="1"/>
  <c r="V358" i="3"/>
  <c r="Y358" i="3" s="1"/>
  <c r="X358" i="3"/>
  <c r="AD251" i="8"/>
  <c r="W358" i="3"/>
  <c r="Z358" i="3" s="1"/>
  <c r="R358" i="3"/>
  <c r="S358" i="3" s="1"/>
  <c r="P358" i="3" l="1"/>
  <c r="I358" i="10"/>
  <c r="F359" i="3"/>
  <c r="H358" i="10"/>
  <c r="E359" i="3"/>
  <c r="AL251" i="8"/>
  <c r="AE251" i="8"/>
  <c r="G359" i="3"/>
  <c r="J358" i="10"/>
  <c r="AA358" i="3"/>
  <c r="K358" i="10" s="1"/>
  <c r="T358" i="3"/>
  <c r="H359" i="3" l="1"/>
  <c r="AP251" i="8"/>
  <c r="F252" i="8" s="1"/>
  <c r="AF251" i="8"/>
  <c r="AM251" i="8" s="1"/>
  <c r="AQ251" i="8" s="1"/>
  <c r="G252" i="8" s="1"/>
  <c r="AB358" i="3"/>
  <c r="L358" i="10" s="1"/>
  <c r="AG251" i="8"/>
  <c r="AH251" i="8" s="1"/>
  <c r="AN251" i="8" s="1"/>
  <c r="AR251" i="8" s="1"/>
  <c r="H252" i="8" s="1"/>
  <c r="I359" i="3" l="1"/>
  <c r="L359" i="3" s="1"/>
  <c r="M359" i="3"/>
  <c r="I252" i="8"/>
  <c r="AO251" i="8"/>
  <c r="Q359" i="3"/>
  <c r="J359" i="3" l="1"/>
  <c r="K359" i="3" s="1"/>
  <c r="J252" i="8"/>
  <c r="N252" i="8" s="1"/>
  <c r="O252" i="8"/>
  <c r="AS251" i="8"/>
  <c r="N359" i="3" l="1"/>
  <c r="AC359" i="3"/>
  <c r="M359" i="10" s="1"/>
  <c r="U359" i="3"/>
  <c r="R252" i="8"/>
  <c r="K252" i="8"/>
  <c r="M252" i="8" s="1"/>
  <c r="V359" i="3" l="1"/>
  <c r="Y359" i="3" s="1"/>
  <c r="O359" i="3"/>
  <c r="P359" i="3"/>
  <c r="X359" i="3"/>
  <c r="L252" i="8"/>
  <c r="P252" i="8"/>
  <c r="Q252" i="8" s="1"/>
  <c r="X252" i="8"/>
  <c r="AI252" i="8"/>
  <c r="I359" i="10"/>
  <c r="F360" i="3"/>
  <c r="W359" i="3"/>
  <c r="Y252" i="8"/>
  <c r="AA252" i="8" s="1"/>
  <c r="R359" i="3"/>
  <c r="S359" i="3" s="1"/>
  <c r="H359" i="10"/>
  <c r="E360" i="3"/>
  <c r="AU252" i="8" l="1"/>
  <c r="S252" i="8"/>
  <c r="Z252" i="8"/>
  <c r="AB252" i="8" s="1"/>
  <c r="Z359" i="3"/>
  <c r="AJ252" i="8"/>
  <c r="AA359" i="3"/>
  <c r="K359" i="10" s="1"/>
  <c r="T359" i="3"/>
  <c r="AB359" i="3" s="1"/>
  <c r="L359" i="10" s="1"/>
  <c r="AC252" i="8" l="1"/>
  <c r="T252" i="8"/>
  <c r="V252" i="8" s="1"/>
  <c r="AK252" i="8"/>
  <c r="J359" i="10"/>
  <c r="G360" i="3"/>
  <c r="AT252" i="8" l="1"/>
  <c r="AD252" i="8"/>
  <c r="H360" i="3"/>
  <c r="AE252" i="8"/>
  <c r="AL252" i="8" l="1"/>
  <c r="M360" i="3"/>
  <c r="I360" i="3"/>
  <c r="L360" i="3" s="1"/>
  <c r="AF252" i="8"/>
  <c r="AM252" i="8" s="1"/>
  <c r="AQ252" i="8" s="1"/>
  <c r="G253" i="8" s="1"/>
  <c r="AP252" i="8" l="1"/>
  <c r="F253" i="8" s="1"/>
  <c r="Q360" i="3"/>
  <c r="J360" i="3"/>
  <c r="K360" i="3" s="1"/>
  <c r="AG252" i="8"/>
  <c r="AH252" i="8" s="1"/>
  <c r="AN252" i="8" s="1"/>
  <c r="AC360" i="3" l="1"/>
  <c r="M360" i="10" s="1"/>
  <c r="N360" i="3"/>
  <c r="U360" i="3"/>
  <c r="O360" i="3"/>
  <c r="AO252" i="8"/>
  <c r="AR252" i="8"/>
  <c r="H253" i="8" s="1"/>
  <c r="X360" i="3" l="1"/>
  <c r="V360" i="3"/>
  <c r="Y360" i="3" s="1"/>
  <c r="AS252" i="8"/>
  <c r="R360" i="3"/>
  <c r="S360" i="3" s="1"/>
  <c r="P360" i="3"/>
  <c r="I253" i="8"/>
  <c r="T360" i="3" l="1"/>
  <c r="E361" i="3"/>
  <c r="H360" i="10"/>
  <c r="W360" i="3"/>
  <c r="Z360" i="3" s="1"/>
  <c r="F361" i="3"/>
  <c r="I360" i="10"/>
  <c r="O253" i="8"/>
  <c r="J253" i="8"/>
  <c r="N253" i="8" s="1"/>
  <c r="AA360" i="3" l="1"/>
  <c r="K360" i="10" s="1"/>
  <c r="J360" i="10"/>
  <c r="G361" i="3"/>
  <c r="AB360" i="3"/>
  <c r="L360" i="10" s="1"/>
  <c r="R253" i="8"/>
  <c r="K253" i="8"/>
  <c r="M253" i="8" s="1"/>
  <c r="H361" i="3" l="1"/>
  <c r="M361" i="3"/>
  <c r="I361" i="3"/>
  <c r="L361" i="3" s="1"/>
  <c r="P253" i="8"/>
  <c r="Q253" i="8" s="1"/>
  <c r="X253" i="8"/>
  <c r="AI253" i="8"/>
  <c r="L253" i="8"/>
  <c r="Q361" i="3" l="1"/>
  <c r="J361" i="3"/>
  <c r="K361" i="3" s="1"/>
  <c r="S253" i="8"/>
  <c r="Z253" i="8"/>
  <c r="AB253" i="8" s="1"/>
  <c r="Y253" i="8"/>
  <c r="AA253" i="8" s="1"/>
  <c r="AJ253" i="8"/>
  <c r="AU253" i="8"/>
  <c r="U361" i="3" l="1"/>
  <c r="N361" i="3"/>
  <c r="AC361" i="3"/>
  <c r="B4" i="5" s="1"/>
  <c r="C4" i="5" s="1"/>
  <c r="AC253" i="8"/>
  <c r="AK253" i="8"/>
  <c r="T253" i="8"/>
  <c r="V253" i="8" s="1"/>
  <c r="M361" i="10" l="1"/>
  <c r="X361" i="3"/>
  <c r="V361" i="3"/>
  <c r="Y361" i="3" s="1"/>
  <c r="O361" i="3"/>
  <c r="P361" i="3"/>
  <c r="B9" i="4"/>
  <c r="H361" i="10"/>
  <c r="AT253" i="8"/>
  <c r="AD253" i="8"/>
  <c r="B10" i="4" l="1"/>
  <c r="W361" i="3"/>
  <c r="Z361" i="3" s="1"/>
  <c r="R361" i="3"/>
  <c r="S361" i="3" s="1"/>
  <c r="B5" i="5"/>
  <c r="C5" i="5" s="1"/>
  <c r="I361" i="10"/>
  <c r="AL253" i="8"/>
  <c r="AE253" i="8"/>
  <c r="AA361" i="3"/>
  <c r="B11" i="4"/>
  <c r="J361" i="10"/>
  <c r="T361" i="3"/>
  <c r="B2" i="5" l="1"/>
  <c r="C2" i="5" s="1"/>
  <c r="AP253" i="8"/>
  <c r="F254" i="8" s="1"/>
  <c r="AF253" i="8"/>
  <c r="AM253" i="8" s="1"/>
  <c r="AQ253" i="8" s="1"/>
  <c r="G254" i="8" s="1"/>
  <c r="K361" i="10"/>
  <c r="AB361" i="3"/>
  <c r="AG253" i="8" l="1"/>
  <c r="AH253" i="8" s="1"/>
  <c r="AN253" i="8" s="1"/>
  <c r="L361" i="10"/>
  <c r="B3" i="5"/>
  <c r="C3" i="5" s="1"/>
  <c r="AO253" i="8" l="1"/>
  <c r="AR253" i="8"/>
  <c r="H254" i="8" s="1"/>
  <c r="I254" i="8" l="1"/>
  <c r="AS253" i="8"/>
  <c r="J254" i="8" l="1"/>
  <c r="N254" i="8" s="1"/>
  <c r="O254" i="8"/>
  <c r="R254" i="8" l="1"/>
  <c r="K254" i="8"/>
  <c r="M254" i="8" s="1"/>
  <c r="L254" i="8" l="1"/>
  <c r="AI254" i="8"/>
  <c r="X254" i="8"/>
  <c r="P254" i="8"/>
  <c r="Q254" i="8" s="1"/>
  <c r="AU254" i="8" l="1"/>
  <c r="AJ254" i="8"/>
  <c r="Y254" i="8"/>
  <c r="AA254" i="8" s="1"/>
  <c r="Z254" i="8"/>
  <c r="AB254" i="8" s="1"/>
  <c r="S254" i="8"/>
  <c r="AC254" i="8" l="1"/>
  <c r="T254" i="8"/>
  <c r="V254" i="8" s="1"/>
  <c r="AT254" i="8" s="1"/>
  <c r="AK254" i="8"/>
  <c r="AD254" i="8" l="1"/>
  <c r="AL254" i="8" l="1"/>
  <c r="AE254" i="8"/>
  <c r="AP254" i="8" l="1"/>
  <c r="F255" i="8" s="1"/>
  <c r="AF254" i="8"/>
  <c r="AM254" i="8" s="1"/>
  <c r="AQ254" i="8" s="1"/>
  <c r="G255" i="8" s="1"/>
  <c r="AG254" i="8" l="1"/>
  <c r="AH254" i="8" s="1"/>
  <c r="AN254" i="8" s="1"/>
  <c r="AO254" i="8" l="1"/>
  <c r="AR254" i="8"/>
  <c r="H255" i="8" s="1"/>
  <c r="I255" i="8" l="1"/>
  <c r="AS254" i="8"/>
  <c r="O255" i="8" l="1"/>
  <c r="J255" i="8"/>
  <c r="N255" i="8" s="1"/>
  <c r="R255" i="8" l="1"/>
  <c r="K255" i="8"/>
  <c r="M255" i="8" s="1"/>
  <c r="P255" i="8" l="1"/>
  <c r="Q255" i="8" s="1"/>
  <c r="X255" i="8"/>
  <c r="AI255" i="8"/>
  <c r="L255" i="8"/>
  <c r="S255" i="8" l="1"/>
  <c r="Y255" i="8"/>
  <c r="AA255" i="8" s="1"/>
  <c r="Z255" i="8"/>
  <c r="AB255" i="8" s="1"/>
  <c r="AJ255" i="8"/>
  <c r="AU255" i="8"/>
  <c r="AC255" i="8" l="1"/>
  <c r="AK255" i="8"/>
  <c r="T255" i="8"/>
  <c r="V255" i="8" s="1"/>
  <c r="AD255" i="8" l="1"/>
  <c r="AT255" i="8"/>
  <c r="AE255" i="8" l="1"/>
  <c r="AL255" i="8"/>
  <c r="AF255" i="8" l="1"/>
  <c r="AM255" i="8" s="1"/>
  <c r="AQ255" i="8" s="1"/>
  <c r="G256" i="8" s="1"/>
  <c r="AP255" i="8"/>
  <c r="F256" i="8" s="1"/>
  <c r="AG255" i="8" l="1"/>
  <c r="AH255" i="8" s="1"/>
  <c r="AN255" i="8" s="1"/>
  <c r="AO255" i="8" l="1"/>
  <c r="AR255" i="8"/>
  <c r="H256" i="8" s="1"/>
  <c r="I256" i="8" s="1"/>
  <c r="O256" i="8" l="1"/>
  <c r="J256" i="8"/>
  <c r="N256" i="8" s="1"/>
  <c r="AS255" i="8"/>
  <c r="R256" i="8" l="1"/>
  <c r="K256" i="8"/>
  <c r="M256" i="8" s="1"/>
  <c r="AI256" i="8" l="1"/>
  <c r="X256" i="8"/>
  <c r="P256" i="8"/>
  <c r="Q256" i="8" s="1"/>
  <c r="L256" i="8"/>
  <c r="AU256" i="8" l="1"/>
  <c r="AJ256" i="8"/>
  <c r="Z256" i="8"/>
  <c r="AB256" i="8" s="1"/>
  <c r="Y256" i="8"/>
  <c r="AA256" i="8" s="1"/>
  <c r="S256" i="8"/>
  <c r="AC256" i="8" l="1"/>
  <c r="T256" i="8"/>
  <c r="V256" i="8" s="1"/>
  <c r="AK256" i="8"/>
  <c r="AD256" i="8" l="1"/>
  <c r="AL256" i="8" s="1"/>
  <c r="AT256" i="8"/>
  <c r="AE256" i="8" l="1"/>
  <c r="AF256" i="8"/>
  <c r="AM256" i="8" s="1"/>
  <c r="AQ256" i="8" s="1"/>
  <c r="G257" i="8" s="1"/>
  <c r="AP256" i="8"/>
  <c r="F257" i="8" s="1"/>
  <c r="AG256" i="8" l="1"/>
  <c r="AH256" i="8" s="1"/>
  <c r="AN256" i="8" s="1"/>
  <c r="AR256" i="8" s="1"/>
  <c r="H257" i="8" s="1"/>
  <c r="I257" i="8" l="1"/>
  <c r="AO256" i="8"/>
  <c r="O257" i="8" l="1"/>
  <c r="AS256" i="8"/>
  <c r="J257" i="8"/>
  <c r="N257" i="8" s="1"/>
  <c r="R257" i="8" l="1"/>
  <c r="K257" i="8"/>
  <c r="L257" i="8" l="1"/>
  <c r="M257" i="8"/>
  <c r="AI257" i="8" l="1"/>
  <c r="X257" i="8"/>
  <c r="P257" i="8"/>
  <c r="Q257" i="8" s="1"/>
  <c r="AU257" i="8"/>
  <c r="AJ257" i="8" l="1"/>
  <c r="Y257" i="8"/>
  <c r="AA257" i="8" s="1"/>
  <c r="Z257" i="8"/>
  <c r="AB257" i="8" s="1"/>
  <c r="S257" i="8"/>
  <c r="AC257" i="8" l="1"/>
  <c r="T257" i="8"/>
  <c r="V257" i="8" s="1"/>
  <c r="AT257" i="8" s="1"/>
  <c r="AK257" i="8"/>
  <c r="AD257" i="8" l="1"/>
  <c r="AE257" i="8" l="1"/>
  <c r="AL257" i="8"/>
  <c r="AF257" i="8" l="1"/>
  <c r="AM257" i="8" s="1"/>
  <c r="AQ257" i="8" s="1"/>
  <c r="G258" i="8" s="1"/>
  <c r="AP257" i="8"/>
  <c r="F258" i="8" s="1"/>
  <c r="AG257" i="8" l="1"/>
  <c r="AH257" i="8" s="1"/>
  <c r="AN257" i="8" s="1"/>
  <c r="AR257" i="8" s="1"/>
  <c r="H258" i="8" s="1"/>
  <c r="I258" i="8" l="1"/>
  <c r="AO257" i="8"/>
  <c r="AS257" i="8" l="1"/>
  <c r="J258" i="8"/>
  <c r="N258" i="8" s="1"/>
  <c r="O258" i="8"/>
  <c r="R258" i="8" l="1"/>
  <c r="K258" i="8"/>
  <c r="M258" i="8" s="1"/>
  <c r="X258" i="8" l="1"/>
  <c r="Y258" i="8" s="1"/>
  <c r="AA258" i="8" s="1"/>
  <c r="P258" i="8"/>
  <c r="Q258" i="8" s="1"/>
  <c r="L258" i="8"/>
  <c r="AI258" i="8"/>
  <c r="Z258" i="8" l="1"/>
  <c r="AB258" i="8" s="1"/>
  <c r="S258" i="8"/>
  <c r="AJ258" i="8"/>
  <c r="AU258" i="8"/>
  <c r="AC258" i="8" l="1"/>
  <c r="AK258" i="8"/>
  <c r="T258" i="8"/>
  <c r="V258" i="8" s="1"/>
  <c r="AD258" i="8" l="1"/>
  <c r="AT258" i="8"/>
  <c r="AL258" i="8" l="1"/>
  <c r="AE258" i="8"/>
  <c r="AF258" i="8" l="1"/>
  <c r="AP258" i="8"/>
  <c r="F259" i="8" s="1"/>
  <c r="AG258" i="8" l="1"/>
  <c r="AH258" i="8" s="1"/>
  <c r="AN258" i="8" s="1"/>
  <c r="AR258" i="8" s="1"/>
  <c r="H259" i="8" s="1"/>
  <c r="AM258" i="8"/>
  <c r="I259" i="8"/>
  <c r="AO258" i="8" l="1"/>
  <c r="AQ258" i="8"/>
  <c r="G259" i="8" s="1"/>
  <c r="O259" i="8"/>
  <c r="J259" i="8"/>
  <c r="N259" i="8" s="1"/>
  <c r="AS258" i="8" l="1"/>
  <c r="R259" i="8"/>
  <c r="K259" i="8"/>
  <c r="L259" i="8"/>
  <c r="M259" i="8"/>
  <c r="X259" i="8"/>
  <c r="AI259" i="8" l="1"/>
  <c r="P259" i="8"/>
  <c r="Q259" i="8" s="1"/>
  <c r="AU259" i="8"/>
  <c r="Z259" i="8"/>
  <c r="AB259" i="8" s="1"/>
  <c r="Y259" i="8"/>
  <c r="AA259" i="8" s="1"/>
  <c r="AJ259" i="8" l="1"/>
  <c r="S259" i="8"/>
  <c r="AC259" i="8"/>
  <c r="AK259" i="8" l="1"/>
  <c r="T259" i="8"/>
  <c r="V259" i="8" s="1"/>
  <c r="AD259" i="8"/>
  <c r="AT259" i="8" l="1"/>
  <c r="AE259" i="8"/>
  <c r="AL259" i="8"/>
  <c r="AF259" i="8" l="1"/>
  <c r="AM259" i="8" s="1"/>
  <c r="AQ259" i="8" s="1"/>
  <c r="G260" i="8" s="1"/>
  <c r="AP259" i="8"/>
  <c r="F260" i="8" s="1"/>
  <c r="AG259" i="8" l="1"/>
  <c r="AH259" i="8" s="1"/>
  <c r="AN259" i="8" s="1"/>
  <c r="AR259" i="8" s="1"/>
  <c r="H260" i="8" s="1"/>
  <c r="AO259" i="8" l="1"/>
  <c r="I260" i="8"/>
  <c r="AS259" i="8"/>
  <c r="J260" i="8" l="1"/>
  <c r="N260" i="8" s="1"/>
  <c r="O260" i="8"/>
  <c r="K260" i="8"/>
  <c r="M260" i="8" s="1"/>
  <c r="R260" i="8"/>
  <c r="AI260" i="8" l="1"/>
  <c r="P260" i="8"/>
  <c r="Q260" i="8" s="1"/>
  <c r="X260" i="8"/>
  <c r="L260" i="8"/>
  <c r="AJ260" i="8" l="1"/>
  <c r="S260" i="8"/>
  <c r="Y260" i="8"/>
  <c r="AA260" i="8" s="1"/>
  <c r="Z260" i="8"/>
  <c r="AB260" i="8" s="1"/>
  <c r="AU260" i="8"/>
  <c r="T260" i="8" l="1"/>
  <c r="V260" i="8" s="1"/>
  <c r="AK260" i="8"/>
  <c r="AC260" i="8"/>
  <c r="AT260" i="8" l="1"/>
  <c r="AD260" i="8"/>
  <c r="AE260" i="8" l="1"/>
  <c r="AL260" i="8"/>
  <c r="AF260" i="8"/>
  <c r="AM260" i="8" s="1"/>
  <c r="AQ260" i="8" s="1"/>
  <c r="G261" i="8" s="1"/>
  <c r="AP260" i="8" l="1"/>
  <c r="F261" i="8" s="1"/>
  <c r="AG260" i="8"/>
  <c r="AH260" i="8" s="1"/>
  <c r="AN260" i="8" s="1"/>
  <c r="AR260" i="8" s="1"/>
  <c r="H261" i="8" s="1"/>
  <c r="I261" i="8" l="1"/>
  <c r="AO260" i="8"/>
  <c r="AS260" i="8" l="1"/>
  <c r="O261" i="8"/>
  <c r="J261" i="8"/>
  <c r="N261" i="8" s="1"/>
  <c r="R261" i="8" l="1"/>
  <c r="K261" i="8"/>
  <c r="L261" i="8" l="1"/>
  <c r="M261" i="8"/>
  <c r="AI261" i="8" l="1"/>
  <c r="P261" i="8"/>
  <c r="Q261" i="8" s="1"/>
  <c r="X261" i="8"/>
  <c r="AU261" i="8"/>
  <c r="AJ261" i="8"/>
  <c r="S261" i="8" l="1"/>
  <c r="Y261" i="8"/>
  <c r="AA261" i="8" s="1"/>
  <c r="Z261" i="8"/>
  <c r="AB261" i="8" s="1"/>
  <c r="AK261" i="8"/>
  <c r="AC261" i="8" l="1"/>
  <c r="T261" i="8"/>
  <c r="V261" i="8" s="1"/>
  <c r="AT261" i="8" s="1"/>
  <c r="AD261" i="8"/>
  <c r="AE261" i="8" l="1"/>
  <c r="AL261" i="8"/>
  <c r="AF261" i="8" l="1"/>
  <c r="AM261" i="8" s="1"/>
  <c r="AQ261" i="8" s="1"/>
  <c r="G262" i="8" s="1"/>
  <c r="AP261" i="8"/>
  <c r="F262" i="8" s="1"/>
  <c r="AG261" i="8" l="1"/>
  <c r="AH261" i="8" s="1"/>
  <c r="AN261" i="8" s="1"/>
  <c r="AR261" i="8" s="1"/>
  <c r="H262" i="8" s="1"/>
  <c r="AO261" i="8" l="1"/>
  <c r="I262" i="8"/>
  <c r="J262" i="8"/>
  <c r="N262" i="8" s="1"/>
  <c r="AS261" i="8" l="1"/>
  <c r="O262" i="8"/>
  <c r="R262" i="8"/>
  <c r="K262" i="8"/>
  <c r="M262" i="8" s="1"/>
  <c r="P262" i="8" l="1"/>
  <c r="Q262" i="8" s="1"/>
  <c r="X262" i="8"/>
  <c r="AI262" i="8"/>
  <c r="L262" i="8"/>
  <c r="S262" i="8" l="1"/>
  <c r="Y262" i="8"/>
  <c r="AA262" i="8" s="1"/>
  <c r="Z262" i="8"/>
  <c r="AB262" i="8" s="1"/>
  <c r="AJ262" i="8"/>
  <c r="AU262" i="8"/>
  <c r="AC262" i="8" l="1"/>
  <c r="T262" i="8"/>
  <c r="V262" i="8" s="1"/>
  <c r="AK262" i="8"/>
  <c r="AD262" i="8" l="1"/>
  <c r="AT262" i="8"/>
  <c r="AE262" i="8" l="1"/>
  <c r="AL262" i="8"/>
  <c r="AF262" i="8" l="1"/>
  <c r="AM262" i="8" s="1"/>
  <c r="AQ262" i="8" s="1"/>
  <c r="G263" i="8" s="1"/>
  <c r="AP262" i="8"/>
  <c r="F263" i="8" s="1"/>
  <c r="AG262" i="8" l="1"/>
  <c r="AH262" i="8" s="1"/>
  <c r="AN262" i="8" s="1"/>
  <c r="AR262" i="8" s="1"/>
  <c r="H263" i="8" s="1"/>
  <c r="I263" i="8" l="1"/>
  <c r="AO262" i="8"/>
  <c r="O263" i="8" l="1"/>
  <c r="AS262" i="8"/>
  <c r="J263" i="8"/>
  <c r="N263" i="8" s="1"/>
  <c r="R263" i="8" l="1"/>
  <c r="K263" i="8"/>
  <c r="M263" i="8" s="1"/>
  <c r="L263" i="8" l="1"/>
  <c r="P263" i="8"/>
  <c r="Q263" i="8" s="1"/>
  <c r="AI263" i="8"/>
  <c r="X263" i="8"/>
  <c r="AU263" i="8" l="1"/>
  <c r="S263" i="8"/>
  <c r="AJ263" i="8"/>
  <c r="Y263" i="8"/>
  <c r="AA263" i="8" s="1"/>
  <c r="Z263" i="8"/>
  <c r="AB263" i="8" s="1"/>
  <c r="AC263" i="8" l="1"/>
  <c r="AK263" i="8"/>
  <c r="T263" i="8"/>
  <c r="V263" i="8" s="1"/>
  <c r="AT263" i="8" s="1"/>
  <c r="AD263" i="8" l="1"/>
  <c r="AE263" i="8" l="1"/>
  <c r="AL263" i="8"/>
  <c r="AF263" i="8" l="1"/>
  <c r="AM263" i="8" s="1"/>
  <c r="AQ263" i="8" s="1"/>
  <c r="G264" i="8" s="1"/>
  <c r="AP263" i="8"/>
  <c r="F264" i="8" s="1"/>
  <c r="AG263" i="8" l="1"/>
  <c r="AH263" i="8" s="1"/>
  <c r="AN263" i="8" s="1"/>
  <c r="AR263" i="8" s="1"/>
  <c r="H264" i="8" s="1"/>
  <c r="I264" i="8" l="1"/>
  <c r="AO263" i="8"/>
  <c r="J264" i="8"/>
  <c r="N264" i="8" s="1"/>
  <c r="AS263" i="8" l="1"/>
  <c r="O264" i="8"/>
  <c r="R264" i="8"/>
  <c r="K264" i="8"/>
  <c r="L264" i="8" l="1"/>
  <c r="M264" i="8"/>
  <c r="P264" i="8" l="1"/>
  <c r="Q264" i="8" s="1"/>
  <c r="X264" i="8"/>
  <c r="AI264" i="8"/>
  <c r="AU264" i="8"/>
  <c r="S264" i="8" l="1"/>
  <c r="Y264" i="8"/>
  <c r="AA264" i="8" s="1"/>
  <c r="Z264" i="8"/>
  <c r="AB264" i="8" s="1"/>
  <c r="AJ264" i="8"/>
  <c r="AC264" i="8" l="1"/>
  <c r="T264" i="8"/>
  <c r="V264" i="8" s="1"/>
  <c r="AK264" i="8"/>
  <c r="AD264" i="8" l="1"/>
  <c r="AT264" i="8"/>
  <c r="AE264" i="8" l="1"/>
  <c r="AL264" i="8"/>
  <c r="AF264" i="8" l="1"/>
  <c r="AM264" i="8" s="1"/>
  <c r="AQ264" i="8" s="1"/>
  <c r="G265" i="8" s="1"/>
  <c r="AP264" i="8"/>
  <c r="F265" i="8" s="1"/>
  <c r="AG264" i="8" l="1"/>
  <c r="AH264" i="8" s="1"/>
  <c r="AN264" i="8" s="1"/>
  <c r="AR264" i="8" s="1"/>
  <c r="H265" i="8" s="1"/>
  <c r="I265" i="8" l="1"/>
  <c r="AO264" i="8"/>
  <c r="AS264" i="8" l="1"/>
  <c r="J265" i="8"/>
  <c r="N265" i="8" s="1"/>
  <c r="O265" i="8"/>
  <c r="R265" i="8" l="1"/>
  <c r="K265" i="8"/>
  <c r="M265" i="8" s="1"/>
  <c r="P265" i="8" l="1"/>
  <c r="Q265" i="8" s="1"/>
  <c r="X265" i="8"/>
  <c r="L265" i="8"/>
  <c r="AU265" i="8" s="1"/>
  <c r="AI265" i="8"/>
  <c r="AJ265" i="8" l="1"/>
  <c r="Z265" i="8"/>
  <c r="AB265" i="8" s="1"/>
  <c r="Y265" i="8"/>
  <c r="AA265" i="8" s="1"/>
  <c r="S265" i="8"/>
  <c r="AK265" i="8"/>
  <c r="T265" i="8" l="1"/>
  <c r="V265" i="8" s="1"/>
  <c r="AT265" i="8" s="1"/>
  <c r="AC265" i="8"/>
  <c r="AD265" i="8" l="1"/>
  <c r="AE265" i="8" l="1"/>
  <c r="AL265" i="8"/>
  <c r="AF265" i="8"/>
  <c r="AM265" i="8" s="1"/>
  <c r="AQ265" i="8" s="1"/>
  <c r="G266" i="8" s="1"/>
  <c r="AP265" i="8"/>
  <c r="F266" i="8" s="1"/>
  <c r="AG265" i="8" l="1"/>
  <c r="AH265" i="8" s="1"/>
  <c r="AN265" i="8" s="1"/>
  <c r="AR265" i="8" s="1"/>
  <c r="H266" i="8" s="1"/>
  <c r="I266" i="8" l="1"/>
  <c r="AO265" i="8"/>
  <c r="AS265" i="8"/>
  <c r="J266" i="8" l="1"/>
  <c r="N266" i="8" s="1"/>
  <c r="O266" i="8"/>
  <c r="R266" i="8" l="1"/>
  <c r="K266" i="8"/>
  <c r="M266" i="8" s="1"/>
  <c r="X266" i="8" l="1"/>
  <c r="P266" i="8"/>
  <c r="Q266" i="8" s="1"/>
  <c r="L266" i="8"/>
  <c r="AU266" i="8" s="1"/>
  <c r="AI266" i="8"/>
  <c r="Y266" i="8" l="1"/>
  <c r="AA266" i="8" s="1"/>
  <c r="Z266" i="8"/>
  <c r="AB266" i="8" s="1"/>
  <c r="S266" i="8"/>
  <c r="AJ266" i="8"/>
  <c r="T266" i="8"/>
  <c r="V266" i="8" s="1"/>
  <c r="AC266" i="8" l="1"/>
  <c r="AK266" i="8"/>
  <c r="AD266" i="8"/>
  <c r="AT266" i="8"/>
  <c r="AL266" i="8" l="1"/>
  <c r="AE266" i="8"/>
  <c r="AP266" i="8" l="1"/>
  <c r="F267" i="8" s="1"/>
  <c r="AF266" i="8"/>
  <c r="AM266" i="8" s="1"/>
  <c r="AQ266" i="8" s="1"/>
  <c r="G267" i="8" s="1"/>
  <c r="AG266" i="8" l="1"/>
  <c r="AH266" i="8" s="1"/>
  <c r="AN266" i="8" s="1"/>
  <c r="AR266" i="8" s="1"/>
  <c r="H267" i="8" s="1"/>
  <c r="AO266" i="8" l="1"/>
  <c r="I267" i="8"/>
  <c r="AS266" i="8" l="1"/>
  <c r="J267" i="8"/>
  <c r="N267" i="8" s="1"/>
  <c r="O267" i="8"/>
  <c r="K267" i="8"/>
  <c r="M267" i="8" s="1"/>
  <c r="R267" i="8" l="1"/>
  <c r="AI267" i="8"/>
  <c r="P267" i="8"/>
  <c r="Q267" i="8" s="1"/>
  <c r="X267" i="8"/>
  <c r="L267" i="8"/>
  <c r="AJ267" i="8" l="1"/>
  <c r="S267" i="8"/>
  <c r="Y267" i="8"/>
  <c r="AA267" i="8" s="1"/>
  <c r="Z267" i="8"/>
  <c r="AB267" i="8" s="1"/>
  <c r="AU267" i="8"/>
  <c r="AC267" i="8" l="1"/>
  <c r="AK267" i="8"/>
  <c r="T267" i="8"/>
  <c r="V267" i="8" s="1"/>
  <c r="AT267" i="8" l="1"/>
  <c r="AD267" i="8"/>
  <c r="AE267" i="8" l="1"/>
  <c r="AL267" i="8"/>
  <c r="AF267" i="8" l="1"/>
  <c r="AM267" i="8" s="1"/>
  <c r="AQ267" i="8" s="1"/>
  <c r="G268" i="8" s="1"/>
  <c r="AP267" i="8"/>
  <c r="F268" i="8" s="1"/>
  <c r="AG267" i="8" l="1"/>
  <c r="AH267" i="8" s="1"/>
  <c r="AN267" i="8" s="1"/>
  <c r="AO267" i="8" l="1"/>
  <c r="AR267" i="8"/>
  <c r="H268" i="8" s="1"/>
  <c r="I268" i="8" l="1"/>
  <c r="O268" i="8"/>
  <c r="AS267" i="8"/>
  <c r="J268" i="8" l="1"/>
  <c r="N268" i="8" s="1"/>
  <c r="R268" i="8" l="1"/>
  <c r="K268" i="8"/>
  <c r="M268" i="8" s="1"/>
  <c r="L268" i="8" l="1"/>
  <c r="AU268" i="8" s="1"/>
  <c r="AI268" i="8"/>
  <c r="X268" i="8"/>
  <c r="P268" i="8"/>
  <c r="Q268" i="8" s="1"/>
  <c r="AJ268" i="8" l="1"/>
  <c r="Y268" i="8"/>
  <c r="AA268" i="8" s="1"/>
  <c r="Z268" i="8"/>
  <c r="AB268" i="8" s="1"/>
  <c r="S268" i="8"/>
  <c r="AC268" i="8" l="1"/>
  <c r="T268" i="8"/>
  <c r="V268" i="8" s="1"/>
  <c r="AK268" i="8"/>
  <c r="AD268" i="8" l="1"/>
  <c r="AL268" i="8" s="1"/>
  <c r="AT268" i="8"/>
  <c r="AP268" i="8" l="1"/>
  <c r="F269" i="8" s="1"/>
  <c r="AE268" i="8"/>
  <c r="AF268" i="8" l="1"/>
  <c r="AM268" i="8" s="1"/>
  <c r="AG268" i="8" l="1"/>
  <c r="AH268" i="8" s="1"/>
  <c r="AN268" i="8" s="1"/>
  <c r="AR268" i="8" s="1"/>
  <c r="H269" i="8" s="1"/>
  <c r="AQ268" i="8"/>
  <c r="G269" i="8" s="1"/>
  <c r="I269" i="8" l="1"/>
  <c r="AO268" i="8"/>
  <c r="AS268" i="8"/>
  <c r="J269" i="8"/>
  <c r="N269" i="8" s="1"/>
  <c r="O269" i="8" l="1"/>
  <c r="R269" i="8"/>
  <c r="K269" i="8"/>
  <c r="M269" i="8" s="1"/>
  <c r="X269" i="8" l="1"/>
  <c r="AI269" i="8"/>
  <c r="P269" i="8"/>
  <c r="Q269" i="8" s="1"/>
  <c r="L269" i="8"/>
  <c r="Y269" i="8" l="1"/>
  <c r="AA269" i="8" s="1"/>
  <c r="Z269" i="8"/>
  <c r="AB269" i="8" s="1"/>
  <c r="AJ269" i="8"/>
  <c r="S269" i="8"/>
  <c r="AU269" i="8"/>
  <c r="T269" i="8" l="1"/>
  <c r="V269" i="8" s="1"/>
  <c r="AC269" i="8"/>
  <c r="AK269" i="8"/>
  <c r="AT269" i="8" l="1"/>
  <c r="AD269" i="8"/>
  <c r="AE269" i="8" l="1"/>
  <c r="AL269" i="8"/>
  <c r="AF269" i="8" l="1"/>
  <c r="AM269" i="8" s="1"/>
  <c r="AQ269" i="8" s="1"/>
  <c r="G270" i="8" s="1"/>
  <c r="AP269" i="8"/>
  <c r="F270" i="8" s="1"/>
  <c r="AG269" i="8" l="1"/>
  <c r="AH269" i="8" s="1"/>
  <c r="AN269" i="8" s="1"/>
  <c r="AR269" i="8" s="1"/>
  <c r="H270" i="8" s="1"/>
  <c r="I270" i="8" l="1"/>
  <c r="AO269" i="8"/>
  <c r="O270" i="8" l="1"/>
  <c r="J270" i="8"/>
  <c r="N270" i="8" s="1"/>
  <c r="AS269" i="8"/>
  <c r="R270" i="8" l="1"/>
  <c r="K270" i="8"/>
  <c r="M270" i="8" s="1"/>
  <c r="X270" i="8" l="1"/>
  <c r="P270" i="8"/>
  <c r="Q270" i="8" s="1"/>
  <c r="AI270" i="8"/>
  <c r="L270" i="8"/>
  <c r="AU270" i="8" s="1"/>
  <c r="Z270" i="8" l="1"/>
  <c r="AB270" i="8" s="1"/>
  <c r="Y270" i="8"/>
  <c r="AA270" i="8" s="1"/>
  <c r="S270" i="8"/>
  <c r="AJ270" i="8"/>
  <c r="AC270" i="8" l="1"/>
  <c r="T270" i="8"/>
  <c r="V270" i="8" s="1"/>
  <c r="AK270" i="8"/>
  <c r="AT270" i="8" l="1"/>
  <c r="AD270" i="8"/>
  <c r="AE270" i="8" l="1"/>
  <c r="AL270" i="8"/>
  <c r="AF270" i="8" l="1"/>
  <c r="AM270" i="8" s="1"/>
  <c r="AQ270" i="8" s="1"/>
  <c r="G271" i="8" s="1"/>
  <c r="AP270" i="8"/>
  <c r="F271" i="8" s="1"/>
  <c r="AG270" i="8" l="1"/>
  <c r="AH270" i="8" s="1"/>
  <c r="AN270" i="8" s="1"/>
  <c r="AR270" i="8" l="1"/>
  <c r="H271" i="8" s="1"/>
  <c r="AO270" i="8"/>
  <c r="I271" i="8" l="1"/>
  <c r="AS270" i="8"/>
  <c r="J271" i="8" l="1"/>
  <c r="N271" i="8" s="1"/>
  <c r="O271" i="8"/>
  <c r="K271" i="8" l="1"/>
  <c r="M271" i="8" s="1"/>
  <c r="R271" i="8"/>
  <c r="P271" i="8" l="1"/>
  <c r="Q271" i="8" s="1"/>
  <c r="L271" i="8"/>
  <c r="X271" i="8"/>
  <c r="AI271" i="8"/>
  <c r="AJ271" i="8" l="1"/>
  <c r="Y271" i="8"/>
  <c r="AA271" i="8" s="1"/>
  <c r="AU271" i="8"/>
  <c r="Z271" i="8"/>
  <c r="AB271" i="8" s="1"/>
  <c r="S271" i="8"/>
  <c r="AK271" i="8" l="1"/>
  <c r="AC271" i="8"/>
  <c r="T271" i="8"/>
  <c r="V271" i="8" s="1"/>
  <c r="AD271" i="8" l="1"/>
  <c r="AT271" i="8"/>
  <c r="AE271" i="8" l="1"/>
  <c r="AL271" i="8"/>
  <c r="AF271" i="8" l="1"/>
  <c r="AM271" i="8" s="1"/>
  <c r="AQ271" i="8" s="1"/>
  <c r="G272" i="8" s="1"/>
  <c r="AP271" i="8"/>
  <c r="F272" i="8" s="1"/>
  <c r="AG271" i="8"/>
  <c r="AH271" i="8" s="1"/>
  <c r="AN271" i="8" s="1"/>
  <c r="AR271" i="8" s="1"/>
  <c r="H272" i="8" s="1"/>
  <c r="I272" i="8" l="1"/>
  <c r="AO271" i="8"/>
  <c r="AS271" i="8" l="1"/>
  <c r="J272" i="8"/>
  <c r="N272" i="8" s="1"/>
  <c r="O272" i="8"/>
  <c r="R272" i="8" l="1"/>
  <c r="K272" i="8"/>
  <c r="L272" i="8" l="1"/>
  <c r="M272" i="8"/>
  <c r="AU272" i="8" l="1"/>
  <c r="P272" i="8"/>
  <c r="Q272" i="8" s="1"/>
  <c r="X272" i="8"/>
  <c r="AI272" i="8"/>
  <c r="S272" i="8" l="1"/>
  <c r="Y272" i="8"/>
  <c r="AA272" i="8" s="1"/>
  <c r="Z272" i="8"/>
  <c r="AB272" i="8" s="1"/>
  <c r="AJ272" i="8"/>
  <c r="AC272" i="8" l="1"/>
  <c r="AK272" i="8"/>
  <c r="T272" i="8"/>
  <c r="V272" i="8" s="1"/>
  <c r="AT272" i="8" s="1"/>
  <c r="AD272" i="8" l="1"/>
  <c r="AL272" i="8" s="1"/>
  <c r="AP272" i="8" l="1"/>
  <c r="F273" i="8" s="1"/>
  <c r="AE272" i="8"/>
  <c r="AF272" i="8" l="1"/>
  <c r="AM272" i="8" s="1"/>
  <c r="AG272" i="8" l="1"/>
  <c r="AH272" i="8" s="1"/>
  <c r="AN272" i="8" s="1"/>
  <c r="AR272" i="8" s="1"/>
  <c r="H273" i="8" s="1"/>
  <c r="I273" i="8" s="1"/>
  <c r="AQ272" i="8"/>
  <c r="G273" i="8" s="1"/>
  <c r="J273" i="8" l="1"/>
  <c r="N273" i="8" s="1"/>
  <c r="O273" i="8"/>
  <c r="AO272" i="8"/>
  <c r="AS272" i="8" s="1"/>
  <c r="K273" i="8" l="1"/>
  <c r="M273" i="8" s="1"/>
  <c r="R273" i="8"/>
  <c r="P273" i="8" l="1"/>
  <c r="Q273" i="8" s="1"/>
  <c r="S273" i="8" s="1"/>
  <c r="X273" i="8"/>
  <c r="L273" i="8"/>
  <c r="AI273" i="8"/>
  <c r="AJ273" i="8" s="1"/>
  <c r="Y273" i="8"/>
  <c r="AA273" i="8" s="1"/>
  <c r="Z273" i="8"/>
  <c r="AB273" i="8" s="1"/>
  <c r="AU273" i="8" l="1"/>
  <c r="T273" i="8"/>
  <c r="V273" i="8" s="1"/>
  <c r="AT273" i="8" s="1"/>
  <c r="AK273" i="8"/>
  <c r="AC273" i="8"/>
  <c r="AD273" i="8"/>
  <c r="AL273" i="8" s="1"/>
  <c r="AP273" i="8" l="1"/>
  <c r="F274" i="8" s="1"/>
  <c r="AE273" i="8"/>
  <c r="AF273" i="8" l="1"/>
  <c r="AM273" i="8" s="1"/>
  <c r="AG273" i="8" l="1"/>
  <c r="AH273" i="8" s="1"/>
  <c r="AN273" i="8" s="1"/>
  <c r="AR273" i="8" s="1"/>
  <c r="H274" i="8" s="1"/>
  <c r="AQ273" i="8"/>
  <c r="G274" i="8" s="1"/>
  <c r="AO273" i="8" l="1"/>
  <c r="I274" i="8"/>
  <c r="J274" i="8" s="1"/>
  <c r="N274" i="8" s="1"/>
  <c r="O274" i="8"/>
  <c r="K274" i="8"/>
  <c r="M274" i="8" s="1"/>
  <c r="R274" i="8" l="1"/>
  <c r="AS273" i="8"/>
  <c r="L274" i="8"/>
  <c r="X274" i="8"/>
  <c r="P274" i="8"/>
  <c r="Q274" i="8" s="1"/>
  <c r="AI274" i="8"/>
  <c r="AU274" i="8" l="1"/>
  <c r="Y274" i="8"/>
  <c r="AA274" i="8" s="1"/>
  <c r="Z274" i="8"/>
  <c r="AB274" i="8" s="1"/>
  <c r="S274" i="8"/>
  <c r="AJ274" i="8"/>
  <c r="AC274" i="8" l="1"/>
  <c r="T274" i="8"/>
  <c r="V274" i="8" s="1"/>
  <c r="AK274" i="8"/>
  <c r="AD274" i="8" l="1"/>
  <c r="AT274" i="8"/>
  <c r="AL274" i="8" l="1"/>
  <c r="AE274" i="8"/>
  <c r="AP274" i="8" l="1"/>
  <c r="F275" i="8" s="1"/>
  <c r="AF274" i="8"/>
  <c r="AM274" i="8" s="1"/>
  <c r="AQ274" i="8" s="1"/>
  <c r="G275" i="8" s="1"/>
  <c r="AG274" i="8" l="1"/>
  <c r="AH274" i="8" s="1"/>
  <c r="AN274" i="8" s="1"/>
  <c r="AR274" i="8" s="1"/>
  <c r="H275" i="8" s="1"/>
  <c r="AO274" i="8" l="1"/>
  <c r="AS274" i="8" s="1"/>
  <c r="I275" i="8"/>
  <c r="O275" i="8"/>
  <c r="J275" i="8" l="1"/>
  <c r="N275" i="8" s="1"/>
  <c r="R275" i="8" s="1"/>
  <c r="K275" i="8" l="1"/>
  <c r="M275" i="8" s="1"/>
  <c r="X275" i="8" l="1"/>
  <c r="L275" i="8"/>
  <c r="P275" i="8"/>
  <c r="Q275" i="8" s="1"/>
  <c r="AI275" i="8"/>
  <c r="AJ275" i="8"/>
  <c r="Y275" i="8" l="1"/>
  <c r="AA275" i="8" s="1"/>
  <c r="S275" i="8"/>
  <c r="Z275" i="8"/>
  <c r="AB275" i="8" s="1"/>
  <c r="AU275" i="8"/>
  <c r="AK275" i="8"/>
  <c r="AC275" i="8" l="1"/>
  <c r="T275" i="8"/>
  <c r="V275" i="8" s="1"/>
  <c r="AD275" i="8" l="1"/>
  <c r="AT275" i="8"/>
  <c r="AE275" i="8" l="1"/>
  <c r="AL275" i="8"/>
  <c r="AP275" i="8"/>
  <c r="F276" i="8" s="1"/>
  <c r="AF275" i="8" l="1"/>
  <c r="AM275" i="8" s="1"/>
  <c r="AQ275" i="8" s="1"/>
  <c r="G276" i="8" s="1"/>
  <c r="AG275" i="8" l="1"/>
  <c r="AH275" i="8" s="1"/>
  <c r="AN275" i="8" s="1"/>
  <c r="AR275" i="8" s="1"/>
  <c r="H276" i="8" s="1"/>
  <c r="I276" i="8"/>
  <c r="AO275" i="8" l="1"/>
  <c r="J276" i="8"/>
  <c r="N276" i="8" s="1"/>
  <c r="R276" i="8" s="1"/>
  <c r="O276" i="8"/>
  <c r="AS275" i="8" l="1"/>
  <c r="K276" i="8"/>
  <c r="L276" i="8" l="1"/>
  <c r="M276" i="8"/>
  <c r="AI276" i="8"/>
  <c r="AU276" i="8" l="1"/>
  <c r="X276" i="8"/>
  <c r="P276" i="8"/>
  <c r="Q276" i="8" s="1"/>
  <c r="S276" i="8"/>
  <c r="AJ276" i="8"/>
  <c r="Z276" i="8" l="1"/>
  <c r="AB276" i="8" s="1"/>
  <c r="Y276" i="8"/>
  <c r="AA276" i="8" s="1"/>
  <c r="AK276" i="8"/>
  <c r="T276" i="8"/>
  <c r="V276" i="8" s="1"/>
  <c r="AC276" i="8" l="1"/>
  <c r="AD276" i="8"/>
  <c r="AT276" i="8"/>
  <c r="AL276" i="8" l="1"/>
  <c r="AE276" i="8"/>
  <c r="AP276" i="8" l="1"/>
  <c r="F277" i="8" s="1"/>
  <c r="AF276" i="8"/>
  <c r="AM276" i="8" s="1"/>
  <c r="AQ276" i="8" s="1"/>
  <c r="G277" i="8" s="1"/>
  <c r="AG276" i="8" l="1"/>
  <c r="AH276" i="8" s="1"/>
  <c r="AN276" i="8" s="1"/>
  <c r="AR276" i="8" s="1"/>
  <c r="H277" i="8" s="1"/>
  <c r="I277" i="8" s="1"/>
  <c r="J277" i="8" l="1"/>
  <c r="N277" i="8" s="1"/>
  <c r="R277" i="8" s="1"/>
  <c r="O277" i="8"/>
  <c r="AO276" i="8"/>
  <c r="AS276" i="8" l="1"/>
  <c r="K277" i="8"/>
  <c r="M277" i="8" s="1"/>
  <c r="P277" i="8" s="1"/>
  <c r="Q277" i="8" s="1"/>
  <c r="AI277" i="8" l="1"/>
  <c r="X277" i="8"/>
  <c r="L277" i="8"/>
  <c r="AU277" i="8"/>
  <c r="S277" i="8"/>
  <c r="AJ277" i="8" l="1"/>
  <c r="Y277" i="8"/>
  <c r="AA277" i="8" s="1"/>
  <c r="Z277" i="8"/>
  <c r="AB277" i="8" s="1"/>
  <c r="T277" i="8"/>
  <c r="V277" i="8" s="1"/>
  <c r="AK277" i="8" l="1"/>
  <c r="AC277" i="8"/>
  <c r="AT277" i="8"/>
  <c r="AD277" i="8"/>
  <c r="AE277" i="8"/>
  <c r="AL277" i="8" l="1"/>
  <c r="AP277" i="8" s="1"/>
  <c r="F278" i="8" s="1"/>
  <c r="AF277" i="8"/>
  <c r="AM277" i="8" s="1"/>
  <c r="AQ277" i="8" s="1"/>
  <c r="G278" i="8" s="1"/>
  <c r="AG277" i="8" l="1"/>
  <c r="AH277" i="8" s="1"/>
  <c r="AN277" i="8" s="1"/>
  <c r="AR277" i="8" s="1"/>
  <c r="H278" i="8" s="1"/>
  <c r="AO277" i="8" l="1"/>
  <c r="AS277" i="8"/>
  <c r="I278" i="8"/>
  <c r="O278" i="8" l="1"/>
  <c r="J278" i="8"/>
  <c r="N278" i="8"/>
  <c r="R278" i="8" s="1"/>
  <c r="K278" i="8" l="1"/>
  <c r="M278" i="8" s="1"/>
  <c r="AI278" i="8"/>
  <c r="L278" i="8"/>
  <c r="AU278" i="8" s="1"/>
  <c r="P278" i="8" l="1"/>
  <c r="Q278" i="8" s="1"/>
  <c r="X278" i="8"/>
  <c r="AJ278" i="8"/>
  <c r="S278" i="8" l="1"/>
  <c r="Y278" i="8"/>
  <c r="AA278" i="8" s="1"/>
  <c r="Z278" i="8"/>
  <c r="AB278" i="8" s="1"/>
  <c r="AK278" i="8"/>
  <c r="AC278" i="8" l="1"/>
  <c r="T278" i="8"/>
  <c r="V278" i="8" s="1"/>
  <c r="AT278" i="8" l="1"/>
  <c r="AD278" i="8"/>
  <c r="AE278" i="8"/>
  <c r="AL278" i="8" l="1"/>
  <c r="AF278" i="8"/>
  <c r="AM278" i="8" s="1"/>
  <c r="AQ278" i="8" s="1"/>
  <c r="G279" i="8" s="1"/>
  <c r="AP278" i="8" l="1"/>
  <c r="F279" i="8" s="1"/>
  <c r="AG278" i="8"/>
  <c r="AH278" i="8" s="1"/>
  <c r="AN278" i="8" s="1"/>
  <c r="AR278" i="8" s="1"/>
  <c r="H279" i="8" s="1"/>
  <c r="AO278" i="8" l="1"/>
  <c r="I279" i="8"/>
  <c r="AS278" i="8"/>
  <c r="J279" i="8"/>
  <c r="N279" i="8" s="1"/>
  <c r="R279" i="8" s="1"/>
  <c r="O279" i="8" l="1"/>
  <c r="K279" i="8"/>
  <c r="M279" i="8" s="1"/>
  <c r="X279" i="8" l="1"/>
  <c r="P279" i="8"/>
  <c r="Q279" i="8" s="1"/>
  <c r="AI279" i="8"/>
  <c r="L279" i="8"/>
  <c r="AU279" i="8" s="1"/>
  <c r="Y279" i="8" l="1"/>
  <c r="AA279" i="8" s="1"/>
  <c r="Z279" i="8"/>
  <c r="AB279" i="8" s="1"/>
  <c r="S279" i="8"/>
  <c r="AJ279" i="8"/>
  <c r="AC279" i="8" l="1"/>
  <c r="T279" i="8"/>
  <c r="V279" i="8" s="1"/>
  <c r="AK279" i="8"/>
  <c r="AT279" i="8" l="1"/>
  <c r="AD279" i="8"/>
  <c r="AL279" i="8" l="1"/>
  <c r="AE279" i="8"/>
  <c r="AP279" i="8" l="1"/>
  <c r="F280" i="8" s="1"/>
  <c r="AF279" i="8"/>
  <c r="AM279" i="8" s="1"/>
  <c r="AQ279" i="8" s="1"/>
  <c r="G280" i="8" s="1"/>
  <c r="AG279" i="8" l="1"/>
  <c r="AH279" i="8" s="1"/>
  <c r="AN279" i="8" s="1"/>
  <c r="AR279" i="8" s="1"/>
  <c r="H280" i="8" s="1"/>
  <c r="I280" i="8" s="1"/>
  <c r="AO279" i="8" l="1"/>
  <c r="J280" i="8"/>
  <c r="N280" i="8" s="1"/>
  <c r="R280" i="8" s="1"/>
  <c r="O280" i="8"/>
  <c r="AS279" i="8" l="1"/>
  <c r="K280" i="8"/>
  <c r="M280" i="8" s="1"/>
  <c r="X280" i="8" l="1"/>
  <c r="P280" i="8"/>
  <c r="Q280" i="8" s="1"/>
  <c r="S280" i="8" s="1"/>
  <c r="AI280" i="8"/>
  <c r="AJ280" i="8" s="1"/>
  <c r="L280" i="8"/>
  <c r="Z280" i="8" l="1"/>
  <c r="AB280" i="8" s="1"/>
  <c r="Y280" i="8"/>
  <c r="AA280" i="8" s="1"/>
  <c r="AC280" i="8" s="1"/>
  <c r="AU280" i="8"/>
  <c r="T280" i="8"/>
  <c r="V280" i="8" s="1"/>
  <c r="AK280" i="8"/>
  <c r="AT280" i="8" l="1"/>
  <c r="AD280" i="8"/>
  <c r="AE280" i="8" l="1"/>
  <c r="AL280" i="8"/>
  <c r="AF280" i="8" l="1"/>
  <c r="AM280" i="8" s="1"/>
  <c r="AQ280" i="8" s="1"/>
  <c r="G281" i="8" s="1"/>
  <c r="AP280" i="8"/>
  <c r="F281" i="8" s="1"/>
  <c r="AG280" i="8" l="1"/>
  <c r="AH280" i="8" s="1"/>
  <c r="AN280" i="8" s="1"/>
  <c r="AR280" i="8" s="1"/>
  <c r="H281" i="8" s="1"/>
  <c r="I281" i="8" l="1"/>
  <c r="AO280" i="8"/>
  <c r="J281" i="8" l="1"/>
  <c r="N281" i="8" s="1"/>
  <c r="R281" i="8" s="1"/>
  <c r="O281" i="8"/>
  <c r="AS280" i="8"/>
  <c r="K281" i="8" l="1"/>
  <c r="M281" i="8" s="1"/>
  <c r="X281" i="8"/>
  <c r="AI281" i="8"/>
  <c r="L281" i="8"/>
  <c r="P281" i="8"/>
  <c r="Q281" i="8" s="1"/>
  <c r="Y281" i="8"/>
  <c r="AA281" i="8" s="1"/>
  <c r="Z281" i="8" l="1"/>
  <c r="AB281" i="8" s="1"/>
  <c r="AJ281" i="8"/>
  <c r="AU281" i="8"/>
  <c r="S281" i="8"/>
  <c r="T281" i="8"/>
  <c r="V281" i="8" s="1"/>
  <c r="AT281" i="8" s="1"/>
  <c r="AC281" i="8" l="1"/>
  <c r="AK281" i="8"/>
  <c r="AD281" i="8"/>
  <c r="AL281" i="8" s="1"/>
  <c r="AP281" i="8" s="1"/>
  <c r="F282" i="8" s="1"/>
  <c r="AE281" i="8" l="1"/>
  <c r="AF281" i="8" s="1"/>
  <c r="AM281" i="8" s="1"/>
  <c r="AQ281" i="8" l="1"/>
  <c r="G282" i="8" s="1"/>
  <c r="AG281" i="8"/>
  <c r="AH281" i="8" s="1"/>
  <c r="AN281" i="8" s="1"/>
  <c r="AR281" i="8" s="1"/>
  <c r="H282" i="8" s="1"/>
  <c r="I282" i="8" s="1"/>
  <c r="AO281" i="8" l="1"/>
  <c r="J282" i="8"/>
  <c r="N282" i="8" s="1"/>
  <c r="R282" i="8" s="1"/>
  <c r="O282" i="8"/>
  <c r="AS281" i="8" l="1"/>
  <c r="K282" i="8"/>
  <c r="M282" i="8" s="1"/>
  <c r="L282" i="8" l="1"/>
  <c r="P282" i="8"/>
  <c r="Q282" i="8" s="1"/>
  <c r="S282" i="8" s="1"/>
  <c r="X282" i="8"/>
  <c r="Y282" i="8" s="1"/>
  <c r="AA282" i="8" s="1"/>
  <c r="AI282" i="8"/>
  <c r="AJ282" i="8" s="1"/>
  <c r="Z282" i="8"/>
  <c r="AB282" i="8" s="1"/>
  <c r="AK282" i="8"/>
  <c r="T282" i="8"/>
  <c r="V282" i="8" s="1"/>
  <c r="AT282" i="8" s="1"/>
  <c r="AU282" i="8" l="1"/>
  <c r="AC282" i="8"/>
  <c r="AD282" i="8" l="1"/>
  <c r="AL282" i="8" s="1"/>
  <c r="AP282" i="8"/>
  <c r="F283" i="8" s="1"/>
  <c r="AE282" i="8" l="1"/>
  <c r="AF282" i="8" l="1"/>
  <c r="AM282" i="8" s="1"/>
  <c r="AQ282" i="8" l="1"/>
  <c r="G283" i="8" s="1"/>
  <c r="AG282" i="8"/>
  <c r="AH282" i="8" s="1"/>
  <c r="AN282" i="8" s="1"/>
  <c r="AR282" i="8" s="1"/>
  <c r="H283" i="8" s="1"/>
  <c r="I283" i="8" s="1"/>
  <c r="AS282" i="8" l="1"/>
  <c r="J283" i="8"/>
  <c r="N283" i="8" s="1"/>
  <c r="O283" i="8"/>
  <c r="AO282" i="8"/>
  <c r="K283" i="8" l="1"/>
  <c r="M283" i="8" s="1"/>
  <c r="R283" i="8"/>
  <c r="AI283" i="8" l="1"/>
  <c r="P283" i="8"/>
  <c r="Q283" i="8" s="1"/>
  <c r="X283" i="8"/>
  <c r="L283" i="8"/>
  <c r="AU283" i="8"/>
  <c r="Z283" i="8" l="1"/>
  <c r="AB283" i="8" s="1"/>
  <c r="AJ283" i="8"/>
  <c r="S283" i="8"/>
  <c r="Y283" i="8"/>
  <c r="AA283" i="8" s="1"/>
  <c r="T283" i="8"/>
  <c r="V283" i="8" s="1"/>
  <c r="AK283" i="8" l="1"/>
  <c r="AC283" i="8"/>
  <c r="AT283" i="8"/>
  <c r="AD283" i="8"/>
  <c r="AE283" i="8" l="1"/>
  <c r="AL283" i="8"/>
  <c r="AF283" i="8" l="1"/>
  <c r="AM283" i="8" s="1"/>
  <c r="AQ283" i="8" s="1"/>
  <c r="G284" i="8" s="1"/>
  <c r="AP283" i="8"/>
  <c r="F284" i="8" s="1"/>
  <c r="AG283" i="8" l="1"/>
  <c r="AH283" i="8" s="1"/>
  <c r="AN283" i="8" s="1"/>
  <c r="AR283" i="8" l="1"/>
  <c r="H284" i="8" s="1"/>
  <c r="AO283" i="8"/>
  <c r="AS283" i="8"/>
  <c r="I284" i="8" l="1"/>
  <c r="J284" i="8" l="1"/>
  <c r="N284" i="8" s="1"/>
  <c r="O284" i="8"/>
  <c r="R284" i="8" l="1"/>
  <c r="K284" i="8"/>
  <c r="M284" i="8" s="1"/>
  <c r="P284" i="8" l="1"/>
  <c r="Q284" i="8" s="1"/>
  <c r="X284" i="8"/>
  <c r="AI284" i="8"/>
  <c r="L284" i="8"/>
  <c r="AU284" i="8" s="1"/>
  <c r="AJ284" i="8" l="1"/>
  <c r="Z284" i="8"/>
  <c r="AB284" i="8" s="1"/>
  <c r="Y284" i="8"/>
  <c r="AA284" i="8" s="1"/>
  <c r="S284" i="8"/>
  <c r="AK284" i="8" l="1"/>
  <c r="T284" i="8"/>
  <c r="V284" i="8" s="1"/>
  <c r="AC284" i="8"/>
  <c r="AD284" i="8" s="1"/>
  <c r="AT284" i="8" l="1"/>
  <c r="AL284" i="8"/>
  <c r="AE284" i="8"/>
  <c r="AP284" i="8"/>
  <c r="F285" i="8" s="1"/>
  <c r="AF284" i="8" l="1"/>
  <c r="AM284" i="8" s="1"/>
  <c r="AQ284" i="8" s="1"/>
  <c r="G285" i="8" s="1"/>
  <c r="AG284" i="8" l="1"/>
  <c r="AH284" i="8" s="1"/>
  <c r="AN284" i="8" s="1"/>
  <c r="AO284" i="8" l="1"/>
  <c r="AR284" i="8"/>
  <c r="H285" i="8" s="1"/>
  <c r="I285" i="8" l="1"/>
  <c r="AS284" i="8"/>
  <c r="O285" i="8" l="1"/>
  <c r="J285" i="8"/>
  <c r="N285" i="8" s="1"/>
  <c r="R285" i="8" l="1"/>
  <c r="K285" i="8"/>
  <c r="M285" i="8" s="1"/>
  <c r="X285" i="8" l="1"/>
  <c r="P285" i="8"/>
  <c r="Q285" i="8" s="1"/>
  <c r="AI285" i="8"/>
  <c r="L285" i="8"/>
  <c r="AU285" i="8"/>
  <c r="Z285" i="8" l="1"/>
  <c r="AB285" i="8" s="1"/>
  <c r="Y285" i="8"/>
  <c r="AA285" i="8" s="1"/>
  <c r="S285" i="8"/>
  <c r="AJ285" i="8"/>
  <c r="AC285" i="8"/>
  <c r="AK285" i="8"/>
  <c r="T285" i="8" l="1"/>
  <c r="V285" i="8" s="1"/>
  <c r="AD285" i="8"/>
  <c r="AT285" i="8" l="1"/>
  <c r="AE285" i="8"/>
  <c r="AL285" i="8"/>
  <c r="AF285" i="8" l="1"/>
  <c r="AM285" i="8" s="1"/>
  <c r="AQ285" i="8" s="1"/>
  <c r="G286" i="8" s="1"/>
  <c r="AP285" i="8"/>
  <c r="F286" i="8" s="1"/>
  <c r="AG285" i="8" l="1"/>
  <c r="AH285" i="8" s="1"/>
  <c r="AN285" i="8" s="1"/>
  <c r="AO285" i="8" l="1"/>
  <c r="AR285" i="8"/>
  <c r="H286" i="8" s="1"/>
  <c r="I286" i="8" l="1"/>
  <c r="AS285" i="8"/>
  <c r="O286" i="8" l="1"/>
  <c r="J286" i="8"/>
  <c r="N286" i="8" s="1"/>
  <c r="R286" i="8" l="1"/>
  <c r="K286" i="8"/>
  <c r="M286" i="8" s="1"/>
  <c r="X286" i="8" l="1"/>
  <c r="P286" i="8"/>
  <c r="Q286" i="8" s="1"/>
  <c r="AI286" i="8"/>
  <c r="L286" i="8"/>
  <c r="Z286" i="8" l="1"/>
  <c r="AB286" i="8" s="1"/>
  <c r="Y286" i="8"/>
  <c r="AA286" i="8" s="1"/>
  <c r="S286" i="8"/>
  <c r="AJ286" i="8"/>
  <c r="AU286" i="8"/>
  <c r="AC286" i="8" l="1"/>
  <c r="T286" i="8"/>
  <c r="V286" i="8" s="1"/>
  <c r="AK286" i="8"/>
  <c r="AD286" i="8" l="1"/>
  <c r="AT286" i="8"/>
  <c r="AE286" i="8" l="1"/>
  <c r="AL286" i="8"/>
  <c r="AF286" i="8" l="1"/>
  <c r="AM286" i="8" s="1"/>
  <c r="AQ286" i="8" s="1"/>
  <c r="G287" i="8" s="1"/>
  <c r="AP286" i="8"/>
  <c r="F287" i="8" s="1"/>
  <c r="AG286" i="8" l="1"/>
  <c r="AH286" i="8" s="1"/>
  <c r="AN286" i="8" s="1"/>
  <c r="AR286" i="8" s="1"/>
  <c r="H287" i="8" s="1"/>
  <c r="I287" i="8" l="1"/>
  <c r="AO286" i="8"/>
  <c r="O287" i="8" l="1"/>
  <c r="AS286" i="8"/>
  <c r="J287" i="8"/>
  <c r="K287" i="8" l="1"/>
  <c r="M287" i="8" s="1"/>
  <c r="N287" i="8"/>
  <c r="R287" i="8" s="1"/>
  <c r="L287" i="8" l="1"/>
  <c r="P287" i="8"/>
  <c r="Q287" i="8" s="1"/>
  <c r="S287" i="8" s="1"/>
  <c r="AI287" i="8"/>
  <c r="AJ287" i="8" s="1"/>
  <c r="X287" i="8"/>
  <c r="AU287" i="8" l="1"/>
  <c r="AK287" i="8"/>
  <c r="Z287" i="8"/>
  <c r="AB287" i="8" s="1"/>
  <c r="Y287" i="8"/>
  <c r="AA287" i="8" s="1"/>
  <c r="T287" i="8"/>
  <c r="V287" i="8" s="1"/>
  <c r="AC287" i="8" l="1"/>
  <c r="AD287" i="8" s="1"/>
  <c r="AT287" i="8"/>
  <c r="AL287" i="8" l="1"/>
  <c r="AE287" i="8"/>
  <c r="AP287" i="8" l="1"/>
  <c r="F288" i="8" s="1"/>
  <c r="AF287" i="8"/>
  <c r="AM287" i="8" s="1"/>
  <c r="AQ287" i="8" s="1"/>
  <c r="G288" i="8" s="1"/>
  <c r="AG287" i="8" l="1"/>
  <c r="AH287" i="8" s="1"/>
  <c r="AN287" i="8" s="1"/>
  <c r="AR287" i="8" s="1"/>
  <c r="H288" i="8" s="1"/>
  <c r="I288" i="8" l="1"/>
  <c r="AO287" i="8"/>
  <c r="AS287" i="8" l="1"/>
  <c r="J288" i="8"/>
  <c r="N288" i="8" s="1"/>
  <c r="O288" i="8"/>
  <c r="R288" i="8" l="1"/>
  <c r="K288" i="8"/>
  <c r="M288" i="8" s="1"/>
  <c r="X288" i="8" l="1"/>
  <c r="P288" i="8"/>
  <c r="Q288" i="8" s="1"/>
  <c r="AI288" i="8"/>
  <c r="L288" i="8"/>
  <c r="Z288" i="8" l="1"/>
  <c r="AB288" i="8" s="1"/>
  <c r="Y288" i="8"/>
  <c r="AA288" i="8" s="1"/>
  <c r="S288" i="8"/>
  <c r="AJ288" i="8"/>
  <c r="AU288" i="8"/>
  <c r="T288" i="8" l="1"/>
  <c r="V288" i="8" s="1"/>
  <c r="AT288" i="8" s="1"/>
  <c r="AC288" i="8"/>
  <c r="AK288" i="8"/>
  <c r="AD288" i="8" l="1"/>
  <c r="AE288" i="8" l="1"/>
  <c r="AL288" i="8"/>
  <c r="AF288" i="8"/>
  <c r="AM288" i="8" s="1"/>
  <c r="AQ288" i="8" s="1"/>
  <c r="G289" i="8" s="1"/>
  <c r="AP288" i="8" l="1"/>
  <c r="F289" i="8" s="1"/>
  <c r="AG288" i="8"/>
  <c r="AH288" i="8" s="1"/>
  <c r="AN288" i="8" s="1"/>
  <c r="AO288" i="8" l="1"/>
  <c r="AR288" i="8"/>
  <c r="H289" i="8" s="1"/>
  <c r="I289" i="8" l="1"/>
  <c r="AS288" i="8"/>
  <c r="O289" i="8" l="1"/>
  <c r="J289" i="8"/>
  <c r="N289" i="8" s="1"/>
  <c r="R289" i="8" l="1"/>
  <c r="K289" i="8"/>
  <c r="M289" i="8" s="1"/>
  <c r="P289" i="8" l="1"/>
  <c r="Q289" i="8" s="1"/>
  <c r="X289" i="8"/>
  <c r="AI289" i="8"/>
  <c r="L289" i="8"/>
  <c r="S289" i="8" l="1"/>
  <c r="Z289" i="8"/>
  <c r="AB289" i="8" s="1"/>
  <c r="Y289" i="8"/>
  <c r="AA289" i="8" s="1"/>
  <c r="AJ289" i="8"/>
  <c r="AU289" i="8"/>
  <c r="T289" i="8" l="1"/>
  <c r="V289" i="8" s="1"/>
  <c r="AC289" i="8"/>
  <c r="AK289" i="8"/>
  <c r="AT289" i="8" l="1"/>
  <c r="AD289" i="8"/>
  <c r="AE289" i="8" l="1"/>
  <c r="AL289" i="8"/>
  <c r="AF289" i="8" l="1"/>
  <c r="AM289" i="8" s="1"/>
  <c r="AQ289" i="8" s="1"/>
  <c r="G290" i="8" s="1"/>
  <c r="AP289" i="8"/>
  <c r="F290" i="8" s="1"/>
  <c r="AG289" i="8" l="1"/>
  <c r="AH289" i="8" s="1"/>
  <c r="AN289" i="8" s="1"/>
  <c r="AO289" i="8" l="1"/>
  <c r="AR289" i="8"/>
  <c r="H290" i="8" s="1"/>
  <c r="I290" i="8" l="1"/>
  <c r="AS289" i="8"/>
  <c r="J290" i="8" l="1"/>
  <c r="N290" i="8" s="1"/>
  <c r="O290" i="8"/>
  <c r="R290" i="8" l="1"/>
  <c r="K290" i="8"/>
  <c r="M290" i="8" s="1"/>
  <c r="AI290" i="8" l="1"/>
  <c r="P290" i="8"/>
  <c r="Q290" i="8" s="1"/>
  <c r="X290" i="8"/>
  <c r="L290" i="8"/>
  <c r="AJ290" i="8" l="1"/>
  <c r="S290" i="8"/>
  <c r="Y290" i="8"/>
  <c r="AA290" i="8" s="1"/>
  <c r="Z290" i="8"/>
  <c r="AB290" i="8" s="1"/>
  <c r="AU290" i="8"/>
  <c r="T290" i="8" l="1"/>
  <c r="V290" i="8" s="1"/>
  <c r="AC290" i="8"/>
  <c r="AK290" i="8"/>
  <c r="AT290" i="8" l="1"/>
  <c r="AD290" i="8"/>
  <c r="AE290" i="8" l="1"/>
  <c r="AL290" i="8"/>
  <c r="AF290" i="8" l="1"/>
  <c r="AM290" i="8" s="1"/>
  <c r="AQ290" i="8" s="1"/>
  <c r="G291" i="8" s="1"/>
  <c r="AP290" i="8"/>
  <c r="F291" i="8" s="1"/>
  <c r="AG290" i="8" l="1"/>
  <c r="AH290" i="8" s="1"/>
  <c r="AN290" i="8" s="1"/>
  <c r="AO290" i="8" l="1"/>
  <c r="AR290" i="8"/>
  <c r="H291" i="8" s="1"/>
  <c r="I291" i="8" l="1"/>
  <c r="AS290" i="8"/>
  <c r="J291" i="8" l="1"/>
  <c r="N291" i="8" s="1"/>
  <c r="O291" i="8"/>
  <c r="R291" i="8" l="1"/>
  <c r="K291" i="8"/>
  <c r="M291" i="8" s="1"/>
  <c r="X291" i="8" l="1"/>
  <c r="P291" i="8"/>
  <c r="Q291" i="8" s="1"/>
  <c r="AI291" i="8"/>
  <c r="L291" i="8"/>
  <c r="AU291" i="8" l="1"/>
  <c r="Z291" i="8"/>
  <c r="AB291" i="8" s="1"/>
  <c r="Y291" i="8"/>
  <c r="AA291" i="8" s="1"/>
  <c r="S291" i="8"/>
  <c r="AJ291" i="8"/>
  <c r="AC291" i="8" l="1"/>
  <c r="T291" i="8"/>
  <c r="V291" i="8" s="1"/>
  <c r="AT291" i="8" s="1"/>
  <c r="AK291" i="8"/>
  <c r="AD291" i="8" l="1"/>
  <c r="AE291" i="8" l="1"/>
  <c r="AL291" i="8"/>
  <c r="AF291" i="8" l="1"/>
  <c r="AM291" i="8" s="1"/>
  <c r="AQ291" i="8" s="1"/>
  <c r="G292" i="8" s="1"/>
  <c r="AP291" i="8"/>
  <c r="F292" i="8" s="1"/>
  <c r="AG291" i="8" l="1"/>
  <c r="AH291" i="8" s="1"/>
  <c r="AN291" i="8" s="1"/>
  <c r="AR291" i="8" s="1"/>
  <c r="H292" i="8" s="1"/>
  <c r="I292" i="8" l="1"/>
  <c r="AO291" i="8"/>
  <c r="AS291" i="8" l="1"/>
  <c r="O292" i="8"/>
  <c r="J292" i="8"/>
  <c r="N292" i="8" s="1"/>
  <c r="R292" i="8" l="1"/>
  <c r="K292" i="8"/>
  <c r="M292" i="8" s="1"/>
  <c r="AI292" i="8" l="1"/>
  <c r="P292" i="8"/>
  <c r="Q292" i="8" s="1"/>
  <c r="X292" i="8"/>
  <c r="L292" i="8"/>
  <c r="AU292" i="8" l="1"/>
  <c r="AJ292" i="8"/>
  <c r="S292" i="8"/>
  <c r="Z292" i="8"/>
  <c r="AB292" i="8" s="1"/>
  <c r="Y292" i="8"/>
  <c r="AA292" i="8" s="1"/>
  <c r="AC292" i="8" l="1"/>
  <c r="T292" i="8"/>
  <c r="V292" i="8" s="1"/>
  <c r="AK292" i="8"/>
  <c r="AT292" i="8" l="1"/>
  <c r="AD292" i="8"/>
  <c r="AE292" i="8" l="1"/>
  <c r="AL292" i="8"/>
  <c r="AF292" i="8" l="1"/>
  <c r="AM292" i="8" s="1"/>
  <c r="AQ292" i="8" s="1"/>
  <c r="G293" i="8" s="1"/>
  <c r="AP292" i="8"/>
  <c r="F293" i="8" s="1"/>
  <c r="AG292" i="8" l="1"/>
  <c r="AH292" i="8" s="1"/>
  <c r="AN292" i="8" s="1"/>
  <c r="AO292" i="8" l="1"/>
  <c r="AR292" i="8"/>
  <c r="H293" i="8" s="1"/>
  <c r="I293" i="8" l="1"/>
  <c r="AS292" i="8"/>
  <c r="J293" i="8" l="1"/>
  <c r="N293" i="8" s="1"/>
  <c r="O293" i="8"/>
  <c r="K293" i="8" l="1"/>
  <c r="M293" i="8" s="1"/>
  <c r="R293" i="8"/>
  <c r="AI293" i="8" l="1"/>
  <c r="L293" i="8"/>
  <c r="P293" i="8"/>
  <c r="Q293" i="8" s="1"/>
  <c r="X293" i="8"/>
  <c r="AJ293" i="8" l="1"/>
  <c r="AU293" i="8"/>
  <c r="Z293" i="8"/>
  <c r="AB293" i="8" s="1"/>
  <c r="Y293" i="8"/>
  <c r="AA293" i="8" s="1"/>
  <c r="S293" i="8"/>
  <c r="T293" i="8" l="1"/>
  <c r="V293" i="8" s="1"/>
  <c r="AK293" i="8"/>
  <c r="AC293" i="8"/>
  <c r="AT293" i="8" l="1"/>
  <c r="AD293" i="8"/>
  <c r="AE293" i="8" l="1"/>
  <c r="AL293" i="8"/>
  <c r="AF293" i="8"/>
  <c r="AM293" i="8" s="1"/>
  <c r="AQ293" i="8" s="1"/>
  <c r="G294" i="8" s="1"/>
  <c r="AP293" i="8" l="1"/>
  <c r="F294" i="8" s="1"/>
  <c r="AG293" i="8"/>
  <c r="AH293" i="8" s="1"/>
  <c r="AN293" i="8" s="1"/>
  <c r="AR293" i="8" l="1"/>
  <c r="H294" i="8" s="1"/>
  <c r="AO293" i="8"/>
  <c r="AS293" i="8" l="1"/>
  <c r="I294" i="8"/>
  <c r="J294" i="8" l="1"/>
  <c r="N294" i="8" s="1"/>
  <c r="O294" i="8"/>
  <c r="R294" i="8" l="1"/>
  <c r="K294" i="8"/>
  <c r="M294" i="8" s="1"/>
  <c r="X294" i="8" l="1"/>
  <c r="P294" i="8"/>
  <c r="Q294" i="8" s="1"/>
  <c r="AI294" i="8"/>
  <c r="L294" i="8"/>
  <c r="AU294" i="8" l="1"/>
  <c r="Z294" i="8"/>
  <c r="AB294" i="8" s="1"/>
  <c r="Y294" i="8"/>
  <c r="AA294" i="8" s="1"/>
  <c r="S294" i="8"/>
  <c r="AJ294" i="8"/>
  <c r="T294" i="8" l="1"/>
  <c r="V294" i="8" s="1"/>
  <c r="AC294" i="8"/>
  <c r="AK294" i="8"/>
  <c r="AT294" i="8" l="1"/>
  <c r="AD294" i="8"/>
  <c r="AE294" i="8" l="1"/>
  <c r="AL294" i="8"/>
  <c r="AF294" i="8" l="1"/>
  <c r="AM294" i="8" s="1"/>
  <c r="AQ294" i="8" s="1"/>
  <c r="G295" i="8" s="1"/>
  <c r="AP294" i="8"/>
  <c r="F295" i="8" s="1"/>
  <c r="AG294" i="8" l="1"/>
  <c r="AH294" i="8" s="1"/>
  <c r="AN294" i="8" s="1"/>
  <c r="AR294" i="8" s="1"/>
  <c r="H295" i="8" s="1"/>
  <c r="I295" i="8" l="1"/>
  <c r="AO294" i="8"/>
  <c r="O295" i="8" l="1"/>
  <c r="AS294" i="8"/>
  <c r="J295" i="8"/>
  <c r="N295" i="8" s="1"/>
  <c r="R295" i="8" l="1"/>
  <c r="K295" i="8"/>
  <c r="M295" i="8" s="1"/>
  <c r="AI295" i="8" l="1"/>
  <c r="X295" i="8"/>
  <c r="P295" i="8"/>
  <c r="Q295" i="8" s="1"/>
  <c r="L295" i="8"/>
  <c r="AJ295" i="8" l="1"/>
  <c r="Z295" i="8"/>
  <c r="AB295" i="8" s="1"/>
  <c r="Y295" i="8"/>
  <c r="AA295" i="8" s="1"/>
  <c r="S295" i="8"/>
  <c r="AU295" i="8"/>
  <c r="AC295" i="8" l="1"/>
  <c r="T295" i="8"/>
  <c r="V295" i="8" s="1"/>
  <c r="AT295" i="8" s="1"/>
  <c r="AK295" i="8"/>
  <c r="AD295" i="8" l="1"/>
  <c r="AL295" i="8" l="1"/>
  <c r="AE295" i="8"/>
  <c r="AP295" i="8" l="1"/>
  <c r="F296" i="8" s="1"/>
  <c r="AF295" i="8"/>
  <c r="AM295" i="8" s="1"/>
  <c r="AQ295" i="8" s="1"/>
  <c r="G296" i="8" s="1"/>
  <c r="AG295" i="8" l="1"/>
  <c r="AH295" i="8" s="1"/>
  <c r="AN295" i="8" s="1"/>
  <c r="AR295" i="8" s="1"/>
  <c r="H296" i="8" s="1"/>
  <c r="I296" i="8" l="1"/>
  <c r="AO295" i="8"/>
  <c r="O296" i="8" l="1"/>
  <c r="J296" i="8"/>
  <c r="N296" i="8" s="1"/>
  <c r="AS295" i="8"/>
  <c r="R296" i="8" l="1"/>
  <c r="K296" i="8"/>
  <c r="M296" i="8" s="1"/>
  <c r="L296" i="8" l="1"/>
  <c r="P296" i="8"/>
  <c r="Q296" i="8" s="1"/>
  <c r="X296" i="8"/>
  <c r="AI296" i="8"/>
  <c r="Y296" i="8" l="1"/>
  <c r="AA296" i="8" s="1"/>
  <c r="AJ296" i="8"/>
  <c r="Z296" i="8"/>
  <c r="AB296" i="8" s="1"/>
  <c r="AU296" i="8"/>
  <c r="S296" i="8"/>
  <c r="AC296" i="8" l="1"/>
  <c r="AK296" i="8"/>
  <c r="T296" i="8"/>
  <c r="V296" i="8" s="1"/>
  <c r="AD296" i="8"/>
  <c r="AT296" i="8" l="1"/>
  <c r="AL296" i="8"/>
  <c r="AE296" i="8"/>
  <c r="AP296" i="8" l="1"/>
  <c r="F297" i="8" s="1"/>
  <c r="AF296" i="8"/>
  <c r="AM296" i="8" s="1"/>
  <c r="AQ296" i="8" s="1"/>
  <c r="G297" i="8" s="1"/>
  <c r="AG296" i="8" l="1"/>
  <c r="AH296" i="8" s="1"/>
  <c r="AN296" i="8" s="1"/>
  <c r="AR296" i="8" s="1"/>
  <c r="H297" i="8" s="1"/>
  <c r="I297" i="8" l="1"/>
  <c r="AO296" i="8"/>
  <c r="AS296" i="8" l="1"/>
  <c r="J297" i="8"/>
  <c r="N297" i="8" s="1"/>
  <c r="O297" i="8"/>
  <c r="R297" i="8" l="1"/>
  <c r="K297" i="8"/>
  <c r="M297" i="8" s="1"/>
  <c r="P297" i="8" l="1"/>
  <c r="Q297" i="8" s="1"/>
  <c r="X297" i="8"/>
  <c r="AI297" i="8"/>
  <c r="L297" i="8"/>
  <c r="S297" i="8" l="1"/>
  <c r="Y297" i="8"/>
  <c r="AA297" i="8" s="1"/>
  <c r="Z297" i="8"/>
  <c r="AB297" i="8" s="1"/>
  <c r="AJ297" i="8"/>
  <c r="AU297" i="8"/>
  <c r="AC297" i="8" l="1"/>
  <c r="T297" i="8"/>
  <c r="V297" i="8" s="1"/>
  <c r="AT297" i="8" s="1"/>
  <c r="AK297" i="8"/>
  <c r="AD297" i="8" l="1"/>
  <c r="AE297" i="8" l="1"/>
  <c r="AL297" i="8"/>
  <c r="AF297" i="8" l="1"/>
  <c r="AM297" i="8" s="1"/>
  <c r="AQ297" i="8" s="1"/>
  <c r="G298" i="8" s="1"/>
  <c r="AP297" i="8"/>
  <c r="F298" i="8" s="1"/>
  <c r="AG297" i="8" l="1"/>
  <c r="AH297" i="8" s="1"/>
  <c r="AN297" i="8" s="1"/>
  <c r="AO297" i="8" l="1"/>
  <c r="AR297" i="8"/>
  <c r="H298" i="8" s="1"/>
  <c r="AS297" i="8" l="1"/>
  <c r="I298" i="8"/>
  <c r="O298" i="8" l="1"/>
  <c r="J298" i="8"/>
  <c r="N298" i="8" s="1"/>
  <c r="R298" i="8" l="1"/>
  <c r="K298" i="8"/>
  <c r="M298" i="8" s="1"/>
  <c r="X298" i="8" l="1"/>
  <c r="P298" i="8"/>
  <c r="Q298" i="8" s="1"/>
  <c r="AI298" i="8"/>
  <c r="L298" i="8"/>
  <c r="Z298" i="8" l="1"/>
  <c r="AB298" i="8" s="1"/>
  <c r="Y298" i="8"/>
  <c r="AA298" i="8" s="1"/>
  <c r="S298" i="8"/>
  <c r="AJ298" i="8"/>
  <c r="AU298" i="8"/>
  <c r="AC298" i="8" l="1"/>
  <c r="T298" i="8"/>
  <c r="V298" i="8" s="1"/>
  <c r="AK298" i="8"/>
  <c r="AT298" i="8" l="1"/>
  <c r="AD298" i="8"/>
  <c r="AL298" i="8" l="1"/>
  <c r="AE298" i="8"/>
  <c r="AP298" i="8" l="1"/>
  <c r="F299" i="8" s="1"/>
  <c r="AF298" i="8"/>
  <c r="AM298" i="8" s="1"/>
  <c r="AQ298" i="8" s="1"/>
  <c r="G299" i="8" s="1"/>
  <c r="AG298" i="8" l="1"/>
  <c r="AH298" i="8" s="1"/>
  <c r="AN298" i="8" s="1"/>
  <c r="AR298" i="8" s="1"/>
  <c r="H299" i="8" s="1"/>
  <c r="AO298" i="8" l="1"/>
  <c r="I299" i="8"/>
  <c r="J299" i="8" l="1"/>
  <c r="N299" i="8" s="1"/>
  <c r="O299" i="8"/>
  <c r="AS298" i="8"/>
  <c r="K299" i="8" l="1"/>
  <c r="M299" i="8" s="1"/>
  <c r="R299" i="8"/>
  <c r="P299" i="8" l="1"/>
  <c r="Q299" i="8" s="1"/>
  <c r="S299" i="8" s="1"/>
  <c r="X299" i="8"/>
  <c r="AI299" i="8"/>
  <c r="AJ299" i="8" s="1"/>
  <c r="L299" i="8"/>
  <c r="AU299" i="8" l="1"/>
  <c r="Z299" i="8"/>
  <c r="AB299" i="8" s="1"/>
  <c r="Y299" i="8"/>
  <c r="AA299" i="8" s="1"/>
  <c r="AK299" i="8"/>
  <c r="T299" i="8"/>
  <c r="V299" i="8" s="1"/>
  <c r="AC299" i="8" l="1"/>
  <c r="AT299" i="8"/>
  <c r="AD299" i="8" l="1"/>
  <c r="AE299" i="8" l="1"/>
  <c r="AF299" i="8" s="1"/>
  <c r="AM299" i="8" s="1"/>
  <c r="AQ299" i="8" s="1"/>
  <c r="G300" i="8" s="1"/>
  <c r="AL299" i="8"/>
  <c r="AP299" i="8"/>
  <c r="F300" i="8" s="1"/>
  <c r="AG299" i="8"/>
  <c r="AH299" i="8" s="1"/>
  <c r="AN299" i="8" s="1"/>
  <c r="AR299" i="8" s="1"/>
  <c r="H300" i="8" s="1"/>
  <c r="I300" i="8" l="1"/>
  <c r="AO299" i="8"/>
  <c r="AS299" i="8" l="1"/>
  <c r="O300" i="8"/>
  <c r="J300" i="8"/>
  <c r="N300" i="8" s="1"/>
  <c r="R300" i="8" l="1"/>
  <c r="K300" i="8"/>
  <c r="M300" i="8" s="1"/>
  <c r="X300" i="8" l="1"/>
  <c r="P300" i="8"/>
  <c r="Q300" i="8" s="1"/>
  <c r="AI300" i="8"/>
  <c r="L300" i="8"/>
  <c r="AU300" i="8" l="1"/>
  <c r="Z300" i="8"/>
  <c r="AB300" i="8" s="1"/>
  <c r="Y300" i="8"/>
  <c r="AA300" i="8" s="1"/>
  <c r="S300" i="8"/>
  <c r="AJ300" i="8"/>
  <c r="AC300" i="8" l="1"/>
  <c r="T300" i="8"/>
  <c r="V300" i="8" s="1"/>
  <c r="AK300" i="8"/>
  <c r="AD300" i="8" l="1"/>
  <c r="AT300" i="8"/>
  <c r="AE300" i="8" l="1"/>
  <c r="AL300" i="8"/>
  <c r="AF300" i="8" l="1"/>
  <c r="AM300" i="8" s="1"/>
  <c r="AQ300" i="8" s="1"/>
  <c r="G301" i="8" s="1"/>
  <c r="AP300" i="8"/>
  <c r="F301" i="8" s="1"/>
  <c r="AG300" i="8" l="1"/>
  <c r="AH300" i="8" s="1"/>
  <c r="AN300" i="8" s="1"/>
  <c r="AO300" i="8" l="1"/>
  <c r="AR300" i="8"/>
  <c r="H301" i="8" s="1"/>
  <c r="I301" i="8"/>
  <c r="AS300" i="8" l="1"/>
  <c r="J301" i="8"/>
  <c r="N301" i="8" s="1"/>
  <c r="O301" i="8"/>
  <c r="R301" i="8" l="1"/>
  <c r="K301" i="8"/>
  <c r="M301" i="8" s="1"/>
  <c r="L301" i="8" l="1"/>
  <c r="X301" i="8"/>
  <c r="AI301" i="8"/>
  <c r="P301" i="8"/>
  <c r="Q301" i="8" s="1"/>
  <c r="AU301" i="8" l="1"/>
  <c r="Z301" i="8"/>
  <c r="AB301" i="8" s="1"/>
  <c r="Y301" i="8"/>
  <c r="AA301" i="8" s="1"/>
  <c r="AJ301" i="8"/>
  <c r="S301" i="8"/>
  <c r="AC301" i="8" l="1"/>
  <c r="T301" i="8"/>
  <c r="V301" i="8" s="1"/>
  <c r="AK301" i="8"/>
  <c r="AT301" i="8" l="1"/>
  <c r="AD301" i="8"/>
  <c r="AE301" i="8" l="1"/>
  <c r="AL301" i="8"/>
  <c r="AF301" i="8" l="1"/>
  <c r="AM301" i="8" s="1"/>
  <c r="AQ301" i="8" s="1"/>
  <c r="G302" i="8" s="1"/>
  <c r="AP301" i="8"/>
  <c r="F302" i="8" s="1"/>
  <c r="AG301" i="8" l="1"/>
  <c r="AH301" i="8" s="1"/>
  <c r="AN301" i="8" s="1"/>
  <c r="AR301" i="8" s="1"/>
  <c r="H302" i="8" s="1"/>
  <c r="I302" i="8" l="1"/>
  <c r="AO301" i="8"/>
  <c r="AS301" i="8" l="1"/>
  <c r="J302" i="8"/>
  <c r="N302" i="8" s="1"/>
  <c r="O302" i="8"/>
  <c r="R302" i="8" l="1"/>
  <c r="K302" i="8"/>
  <c r="M302" i="8" s="1"/>
  <c r="AI302" i="8" l="1"/>
  <c r="P302" i="8"/>
  <c r="Q302" i="8" s="1"/>
  <c r="X302" i="8"/>
  <c r="L302" i="8"/>
  <c r="Z302" i="8" l="1"/>
  <c r="AB302" i="8" s="1"/>
  <c r="Y302" i="8"/>
  <c r="AA302" i="8" s="1"/>
  <c r="AU302" i="8"/>
  <c r="AJ302" i="8"/>
  <c r="S302" i="8"/>
  <c r="AC302" i="8" l="1"/>
  <c r="AK302" i="8"/>
  <c r="T302" i="8"/>
  <c r="V302" i="8" s="1"/>
  <c r="AD302" i="8" l="1"/>
  <c r="AT302" i="8"/>
  <c r="AE302" i="8" l="1"/>
  <c r="AL302" i="8"/>
  <c r="AF302" i="8" l="1"/>
  <c r="AM302" i="8" s="1"/>
  <c r="AQ302" i="8" s="1"/>
  <c r="G303" i="8" s="1"/>
  <c r="AP302" i="8"/>
  <c r="F303" i="8" s="1"/>
  <c r="AG302" i="8" l="1"/>
  <c r="AH302" i="8" s="1"/>
  <c r="AN302" i="8" s="1"/>
  <c r="AO302" i="8" l="1"/>
  <c r="AR302" i="8"/>
  <c r="H303" i="8" s="1"/>
  <c r="AS302" i="8" l="1"/>
  <c r="I303" i="8"/>
  <c r="J303" i="8" l="1"/>
  <c r="N303" i="8" s="1"/>
  <c r="O303" i="8"/>
  <c r="K303" i="8"/>
  <c r="M303" i="8" s="1"/>
  <c r="R303" i="8" l="1"/>
  <c r="P303" i="8"/>
  <c r="Q303" i="8" s="1"/>
  <c r="AI303" i="8"/>
  <c r="X303" i="8"/>
  <c r="L303" i="8"/>
  <c r="S303" i="8" l="1"/>
  <c r="AJ303" i="8"/>
  <c r="Z303" i="8"/>
  <c r="AB303" i="8" s="1"/>
  <c r="Y303" i="8"/>
  <c r="AA303" i="8" s="1"/>
  <c r="AU303" i="8"/>
  <c r="AK303" i="8" l="1"/>
  <c r="T303" i="8"/>
  <c r="V303" i="8" s="1"/>
  <c r="AC303" i="8"/>
  <c r="AD303" i="8"/>
  <c r="AT303" i="8" l="1"/>
  <c r="AE303" i="8"/>
  <c r="AL303" i="8"/>
  <c r="AF303" i="8" l="1"/>
  <c r="AM303" i="8" s="1"/>
  <c r="AQ303" i="8" s="1"/>
  <c r="G304" i="8" s="1"/>
  <c r="AP303" i="8"/>
  <c r="F304" i="8" s="1"/>
  <c r="AG303" i="8" l="1"/>
  <c r="AH303" i="8" s="1"/>
  <c r="AN303" i="8" s="1"/>
  <c r="AR303" i="8" s="1"/>
  <c r="H304" i="8" s="1"/>
  <c r="AO303" i="8" l="1"/>
  <c r="I304" i="8"/>
  <c r="AS303" i="8" l="1"/>
  <c r="J304" i="8"/>
  <c r="N304" i="8" s="1"/>
  <c r="O304" i="8"/>
  <c r="K304" i="8" l="1"/>
  <c r="M304" i="8" s="1"/>
  <c r="R304" i="8"/>
  <c r="P304" i="8" l="1"/>
  <c r="Q304" i="8" s="1"/>
  <c r="L304" i="8"/>
  <c r="X304" i="8"/>
  <c r="AI304" i="8"/>
  <c r="S304" i="8" l="1"/>
  <c r="Z304" i="8"/>
  <c r="AB304" i="8" s="1"/>
  <c r="Y304" i="8"/>
  <c r="AA304" i="8" s="1"/>
  <c r="AJ304" i="8"/>
  <c r="AU304" i="8"/>
  <c r="T304" i="8" l="1"/>
  <c r="V304" i="8" s="1"/>
  <c r="AK304" i="8"/>
  <c r="AC304" i="8"/>
  <c r="AD304" i="8" l="1"/>
  <c r="AT304" i="8"/>
  <c r="AL304" i="8" l="1"/>
  <c r="AE304" i="8"/>
  <c r="AF304" i="8" s="1"/>
  <c r="AM304" i="8" s="1"/>
  <c r="AQ304" i="8" s="1"/>
  <c r="G305" i="8" s="1"/>
  <c r="AP304" i="8"/>
  <c r="F305" i="8" s="1"/>
  <c r="AG304" i="8" l="1"/>
  <c r="AH304" i="8" s="1"/>
  <c r="AN304" i="8" s="1"/>
  <c r="AR304" i="8" s="1"/>
  <c r="H305" i="8" s="1"/>
  <c r="AO304" i="8" l="1"/>
  <c r="I305" i="8"/>
  <c r="J305" i="8" s="1"/>
  <c r="N305" i="8" s="1"/>
  <c r="AS304" i="8" l="1"/>
  <c r="O305" i="8"/>
  <c r="R305" i="8"/>
  <c r="K305" i="8"/>
  <c r="M305" i="8" s="1"/>
  <c r="P305" i="8" l="1"/>
  <c r="Q305" i="8" s="1"/>
  <c r="L305" i="8"/>
  <c r="AI305" i="8"/>
  <c r="X305" i="8"/>
  <c r="Z305" i="8"/>
  <c r="AB305" i="8" s="1"/>
  <c r="Y305" i="8"/>
  <c r="AA305" i="8" s="1"/>
  <c r="S305" i="8" l="1"/>
  <c r="AJ305" i="8"/>
  <c r="AU305" i="8"/>
  <c r="AC305" i="8"/>
  <c r="T305" i="8"/>
  <c r="V305" i="8" s="1"/>
  <c r="AT305" i="8" s="1"/>
  <c r="AK305" i="8" l="1"/>
  <c r="AD305" i="8"/>
  <c r="AL305" i="8" l="1"/>
  <c r="AE305" i="8"/>
  <c r="AF305" i="8" l="1"/>
  <c r="AM305" i="8" s="1"/>
  <c r="AQ305" i="8" s="1"/>
  <c r="G306" i="8" s="1"/>
  <c r="AP305" i="8"/>
  <c r="F306" i="8" s="1"/>
  <c r="AG305" i="8" l="1"/>
  <c r="AH305" i="8" s="1"/>
  <c r="AN305" i="8" s="1"/>
  <c r="AO305" i="8" l="1"/>
  <c r="AR305" i="8"/>
  <c r="H306" i="8" s="1"/>
  <c r="AS305" i="8" l="1"/>
  <c r="I306" i="8"/>
  <c r="J306" i="8"/>
  <c r="N306" i="8" s="1"/>
  <c r="O306" i="8" l="1"/>
  <c r="R306" i="8"/>
  <c r="K306" i="8"/>
  <c r="M306" i="8" l="1"/>
  <c r="L306" i="8"/>
  <c r="AU306" i="8" l="1"/>
  <c r="X306" i="8"/>
  <c r="P306" i="8"/>
  <c r="Q306" i="8" s="1"/>
  <c r="AI306" i="8"/>
  <c r="Z306" i="8" l="1"/>
  <c r="AB306" i="8" s="1"/>
  <c r="Y306" i="8"/>
  <c r="AA306" i="8" s="1"/>
  <c r="S306" i="8"/>
  <c r="AJ306" i="8"/>
  <c r="AC306" i="8" l="1"/>
  <c r="T306" i="8"/>
  <c r="V306" i="8" s="1"/>
  <c r="AK306" i="8"/>
  <c r="AD306" i="8" l="1"/>
  <c r="AT306" i="8"/>
  <c r="AE306" i="8" l="1"/>
  <c r="AL306" i="8"/>
  <c r="AP306" i="8" l="1"/>
  <c r="F307" i="8" s="1"/>
  <c r="AF306" i="8"/>
  <c r="AM306" i="8" s="1"/>
  <c r="AQ306" i="8" s="1"/>
  <c r="G307" i="8" s="1"/>
  <c r="AG306" i="8" l="1"/>
  <c r="AH306" i="8" s="1"/>
  <c r="AN306" i="8" s="1"/>
  <c r="AR306" i="8" s="1"/>
  <c r="H307" i="8" s="1"/>
  <c r="I307" i="8" l="1"/>
  <c r="AO306" i="8"/>
  <c r="AS306" i="8" l="1"/>
  <c r="O307" i="8"/>
  <c r="J307" i="8"/>
  <c r="N307" i="8" s="1"/>
  <c r="R307" i="8" s="1"/>
  <c r="K307" i="8" l="1"/>
  <c r="M307" i="8" s="1"/>
  <c r="P307" i="8" l="1"/>
  <c r="Q307" i="8" s="1"/>
  <c r="L307" i="8"/>
  <c r="AI307" i="8"/>
  <c r="AJ307" i="8" s="1"/>
  <c r="X307" i="8"/>
  <c r="Y307" i="8" l="1"/>
  <c r="AA307" i="8" s="1"/>
  <c r="S307" i="8"/>
  <c r="AU307" i="8"/>
  <c r="Z307" i="8"/>
  <c r="AB307" i="8" s="1"/>
  <c r="AK307" i="8"/>
  <c r="AC307" i="8" l="1"/>
  <c r="T307" i="8"/>
  <c r="V307" i="8" s="1"/>
  <c r="AT307" i="8" s="1"/>
  <c r="AD307" i="8" l="1"/>
  <c r="AE307" i="8" l="1"/>
  <c r="AL307" i="8"/>
  <c r="AF307" i="8"/>
  <c r="AM307" i="8" s="1"/>
  <c r="AQ307" i="8" s="1"/>
  <c r="G308" i="8" s="1"/>
  <c r="AP307" i="8"/>
  <c r="F308" i="8" s="1"/>
  <c r="AG307" i="8" l="1"/>
  <c r="AH307" i="8" s="1"/>
  <c r="AN307" i="8" s="1"/>
  <c r="AR307" i="8" s="1"/>
  <c r="H308" i="8" s="1"/>
  <c r="I308" i="8" l="1"/>
  <c r="AO307" i="8"/>
  <c r="O308" i="8"/>
  <c r="J308" i="8"/>
  <c r="N308" i="8" s="1"/>
  <c r="AS307" i="8" l="1"/>
  <c r="R308" i="8"/>
  <c r="K308" i="8"/>
  <c r="L308" i="8" l="1"/>
  <c r="M308" i="8"/>
  <c r="AU308" i="8" l="1"/>
  <c r="X308" i="8"/>
  <c r="P308" i="8"/>
  <c r="Q308" i="8" s="1"/>
  <c r="AI308" i="8"/>
  <c r="Z308" i="8" l="1"/>
  <c r="AB308" i="8" s="1"/>
  <c r="Y308" i="8"/>
  <c r="AA308" i="8" s="1"/>
  <c r="S308" i="8"/>
  <c r="AJ308" i="8"/>
  <c r="AC308" i="8" l="1"/>
  <c r="AK308" i="8"/>
  <c r="T308" i="8"/>
  <c r="V308" i="8" s="1"/>
  <c r="AD308" i="8" l="1"/>
  <c r="AT308" i="8"/>
  <c r="AE308" i="8" l="1"/>
  <c r="AL308" i="8"/>
  <c r="AF308" i="8" l="1"/>
  <c r="AM308" i="8" s="1"/>
  <c r="AQ308" i="8" s="1"/>
  <c r="G309" i="8" s="1"/>
  <c r="AP308" i="8"/>
  <c r="F309" i="8" s="1"/>
  <c r="AG308" i="8" l="1"/>
  <c r="AH308" i="8" s="1"/>
  <c r="AN308" i="8" s="1"/>
  <c r="AR308" i="8" s="1"/>
  <c r="H309" i="8" s="1"/>
  <c r="I309" i="8" l="1"/>
  <c r="AO308" i="8"/>
  <c r="AS308" i="8" l="1"/>
  <c r="J309" i="8"/>
  <c r="N309" i="8" s="1"/>
  <c r="O309" i="8"/>
  <c r="R309" i="8" l="1"/>
  <c r="K309" i="8"/>
  <c r="M309" i="8" s="1"/>
  <c r="L309" i="8" l="1"/>
  <c r="P309" i="8"/>
  <c r="Q309" i="8" s="1"/>
  <c r="AI309" i="8"/>
  <c r="X309" i="8"/>
  <c r="AU309" i="8" l="1"/>
  <c r="S309" i="8"/>
  <c r="AJ309" i="8"/>
  <c r="Z309" i="8"/>
  <c r="AB309" i="8" s="1"/>
  <c r="Y309" i="8"/>
  <c r="AA309" i="8" s="1"/>
  <c r="AC309" i="8" l="1"/>
  <c r="T309" i="8"/>
  <c r="V309" i="8" s="1"/>
  <c r="AK309" i="8"/>
  <c r="AT309" i="8" l="1"/>
  <c r="AD309" i="8"/>
  <c r="AE309" i="8" l="1"/>
  <c r="AL309" i="8"/>
  <c r="AF309" i="8" l="1"/>
  <c r="AM309" i="8" s="1"/>
  <c r="AQ309" i="8" s="1"/>
  <c r="G310" i="8" s="1"/>
  <c r="AP309" i="8"/>
  <c r="F310" i="8" s="1"/>
  <c r="AG309" i="8" l="1"/>
  <c r="AH309" i="8" s="1"/>
  <c r="AN309" i="8" s="1"/>
  <c r="AR309" i="8" l="1"/>
  <c r="H310" i="8" s="1"/>
  <c r="AO309" i="8"/>
  <c r="AS309" i="8" l="1"/>
  <c r="I310" i="8"/>
  <c r="O310" i="8" l="1"/>
  <c r="J310" i="8"/>
  <c r="N310" i="8" s="1"/>
  <c r="R310" i="8" l="1"/>
  <c r="K310" i="8"/>
  <c r="M310" i="8" s="1"/>
  <c r="X310" i="8" l="1"/>
  <c r="P310" i="8"/>
  <c r="Q310" i="8" s="1"/>
  <c r="AI310" i="8"/>
  <c r="L310" i="8"/>
  <c r="Z310" i="8" l="1"/>
  <c r="AB310" i="8" s="1"/>
  <c r="Y310" i="8"/>
  <c r="AA310" i="8" s="1"/>
  <c r="S310" i="8"/>
  <c r="AJ310" i="8"/>
  <c r="AU310" i="8"/>
  <c r="AC310" i="8" l="1"/>
  <c r="T310" i="8"/>
  <c r="V310" i="8" s="1"/>
  <c r="AK310" i="8"/>
  <c r="AD310" i="8" l="1"/>
  <c r="AT310" i="8"/>
  <c r="AE310" i="8" l="1"/>
  <c r="AL310" i="8"/>
  <c r="AF310" i="8" l="1"/>
  <c r="AM310" i="8" s="1"/>
  <c r="AQ310" i="8" s="1"/>
  <c r="G311" i="8" s="1"/>
  <c r="AP310" i="8"/>
  <c r="F311" i="8" s="1"/>
  <c r="AG310" i="8" l="1"/>
  <c r="AH310" i="8" s="1"/>
  <c r="AN310" i="8" s="1"/>
  <c r="AR310" i="8" s="1"/>
  <c r="H311" i="8" s="1"/>
  <c r="I311" i="8" l="1"/>
  <c r="AO310" i="8"/>
  <c r="J311" i="8" l="1"/>
  <c r="N311" i="8" s="1"/>
  <c r="AS310" i="8"/>
  <c r="O311" i="8"/>
  <c r="R311" i="8" l="1"/>
  <c r="K311" i="8"/>
  <c r="L311" i="8" l="1"/>
  <c r="M311" i="8"/>
  <c r="AU311" i="8" l="1"/>
  <c r="AI311" i="8"/>
  <c r="P311" i="8"/>
  <c r="Q311" i="8" s="1"/>
  <c r="X311" i="8"/>
  <c r="Z311" i="8" l="1"/>
  <c r="AB311" i="8" s="1"/>
  <c r="Y311" i="8"/>
  <c r="AA311" i="8" s="1"/>
  <c r="AJ311" i="8"/>
  <c r="S311" i="8"/>
  <c r="AC311" i="8" l="1"/>
  <c r="T311" i="8"/>
  <c r="V311" i="8" s="1"/>
  <c r="AT311" i="8" s="1"/>
  <c r="AK311" i="8"/>
  <c r="AD311" i="8" l="1"/>
  <c r="AE311" i="8" l="1"/>
  <c r="AL311" i="8"/>
  <c r="AP311" i="8" l="1"/>
  <c r="F312" i="8" s="1"/>
  <c r="AF311" i="8"/>
  <c r="AM311" i="8" s="1"/>
  <c r="AQ311" i="8" s="1"/>
  <c r="G312" i="8" s="1"/>
  <c r="AG311" i="8" l="1"/>
  <c r="AH311" i="8" s="1"/>
  <c r="AN311" i="8" s="1"/>
  <c r="AO311" i="8" l="1"/>
  <c r="AR311" i="8"/>
  <c r="H312" i="8" s="1"/>
  <c r="I312" i="8"/>
  <c r="AS311" i="8" l="1"/>
  <c r="O312" i="8"/>
  <c r="J312" i="8"/>
  <c r="N312" i="8" s="1"/>
  <c r="K312" i="8" l="1"/>
  <c r="M312" i="8" s="1"/>
  <c r="R312" i="8"/>
  <c r="AI312" i="8" l="1"/>
  <c r="P312" i="8"/>
  <c r="Q312" i="8" s="1"/>
  <c r="L312" i="8"/>
  <c r="X312" i="8"/>
  <c r="Z312" i="8" l="1"/>
  <c r="AB312" i="8" s="1"/>
  <c r="Y312" i="8"/>
  <c r="AA312" i="8" s="1"/>
  <c r="S312" i="8"/>
  <c r="AJ312" i="8"/>
  <c r="AU312" i="8"/>
  <c r="T312" i="8" l="1"/>
  <c r="V312" i="8" s="1"/>
  <c r="AT312" i="8" s="1"/>
  <c r="AK312" i="8"/>
  <c r="AC312" i="8"/>
  <c r="AD312" i="8" l="1"/>
  <c r="AE312" i="8" l="1"/>
  <c r="AL312" i="8"/>
  <c r="AP312" i="8" l="1"/>
  <c r="F313" i="8" s="1"/>
  <c r="AF312" i="8"/>
  <c r="AM312" i="8" s="1"/>
  <c r="AQ312" i="8" s="1"/>
  <c r="G313" i="8" s="1"/>
  <c r="AG312" i="8" l="1"/>
  <c r="AH312" i="8" s="1"/>
  <c r="AN312" i="8" s="1"/>
  <c r="AO312" i="8" l="1"/>
  <c r="AR312" i="8"/>
  <c r="H313" i="8" s="1"/>
  <c r="AS312" i="8" l="1"/>
  <c r="I313" i="8"/>
  <c r="J313" i="8" l="1"/>
  <c r="N313" i="8" s="1"/>
  <c r="R313" i="8" s="1"/>
  <c r="O313" i="8"/>
  <c r="K313" i="8" l="1"/>
  <c r="M313" i="8" s="1"/>
  <c r="L313" i="8" l="1"/>
  <c r="P313" i="8"/>
  <c r="Q313" i="8" s="1"/>
  <c r="X313" i="8"/>
  <c r="AI313" i="8"/>
  <c r="AU313" i="8" l="1"/>
  <c r="S313" i="8"/>
  <c r="Y313" i="8"/>
  <c r="AA313" i="8" s="1"/>
  <c r="Z313" i="8"/>
  <c r="AB313" i="8" s="1"/>
  <c r="AJ313" i="8"/>
  <c r="AC313" i="8" l="1"/>
  <c r="AK313" i="8"/>
  <c r="T313" i="8"/>
  <c r="V313" i="8" s="1"/>
  <c r="AT313" i="8" l="1"/>
  <c r="AD313" i="8"/>
  <c r="AL313" i="8" l="1"/>
  <c r="AE313" i="8"/>
  <c r="AP313" i="8" l="1"/>
  <c r="F314" i="8" s="1"/>
  <c r="AF313" i="8"/>
  <c r="AM313" i="8" s="1"/>
  <c r="AQ313" i="8" s="1"/>
  <c r="G314" i="8" s="1"/>
  <c r="AG313" i="8" l="1"/>
  <c r="AH313" i="8" s="1"/>
  <c r="AN313" i="8" s="1"/>
  <c r="AR313" i="8" s="1"/>
  <c r="H314" i="8" s="1"/>
  <c r="I314" i="8" l="1"/>
  <c r="AO313" i="8"/>
  <c r="AS313" i="8" s="1"/>
  <c r="J314" i="8" l="1"/>
  <c r="N314" i="8" s="1"/>
  <c r="R314" i="8" s="1"/>
  <c r="O314" i="8"/>
  <c r="K314" i="8" l="1"/>
  <c r="M314" i="8" s="1"/>
  <c r="X314" i="8" l="1"/>
  <c r="P314" i="8"/>
  <c r="Q314" i="8" s="1"/>
  <c r="L314" i="8"/>
  <c r="AI314" i="8"/>
  <c r="AJ314" i="8" l="1"/>
  <c r="Y314" i="8"/>
  <c r="AA314" i="8" s="1"/>
  <c r="Z314" i="8"/>
  <c r="AB314" i="8" s="1"/>
  <c r="S314" i="8"/>
  <c r="AU314" i="8"/>
  <c r="T314" i="8"/>
  <c r="V314" i="8" s="1"/>
  <c r="AK314" i="8" l="1"/>
  <c r="AC314" i="8"/>
  <c r="AT314" i="8"/>
  <c r="AD314" i="8" l="1"/>
  <c r="AE314" i="8" l="1"/>
  <c r="AL314" i="8"/>
  <c r="AF314" i="8"/>
  <c r="AM314" i="8" s="1"/>
  <c r="AQ314" i="8" s="1"/>
  <c r="G315" i="8" s="1"/>
  <c r="AP314" i="8" l="1"/>
  <c r="F315" i="8" s="1"/>
  <c r="AG314" i="8"/>
  <c r="AH314" i="8" s="1"/>
  <c r="AN314" i="8" s="1"/>
  <c r="AR314" i="8" s="1"/>
  <c r="H315" i="8" s="1"/>
  <c r="I315" i="8" l="1"/>
  <c r="AO314" i="8"/>
  <c r="J315" i="8" l="1"/>
  <c r="N315" i="8" s="1"/>
  <c r="R315" i="8" s="1"/>
  <c r="O315" i="8"/>
  <c r="AS314" i="8"/>
  <c r="K315" i="8" l="1"/>
  <c r="L315" i="8" l="1"/>
  <c r="M315" i="8"/>
  <c r="AU315" i="8" l="1"/>
  <c r="AI315" i="8"/>
  <c r="X315" i="8"/>
  <c r="P315" i="8"/>
  <c r="Q315" i="8" s="1"/>
  <c r="AJ315" i="8" l="1"/>
  <c r="Y315" i="8"/>
  <c r="AA315" i="8" s="1"/>
  <c r="Z315" i="8"/>
  <c r="AB315" i="8" s="1"/>
  <c r="S315" i="8"/>
  <c r="AC315" i="8" l="1"/>
  <c r="T315" i="8"/>
  <c r="V315" i="8" s="1"/>
  <c r="AK315" i="8"/>
  <c r="AT315" i="8" l="1"/>
  <c r="AD315" i="8"/>
  <c r="AE315" i="8" l="1"/>
  <c r="AL315" i="8"/>
  <c r="AF315" i="8" l="1"/>
  <c r="AM315" i="8" s="1"/>
  <c r="AQ315" i="8" s="1"/>
  <c r="G316" i="8" s="1"/>
  <c r="AP315" i="8"/>
  <c r="F316" i="8" s="1"/>
  <c r="AG315" i="8" l="1"/>
  <c r="AH315" i="8" s="1"/>
  <c r="AN315" i="8" s="1"/>
  <c r="AR315" i="8" s="1"/>
  <c r="H316" i="8" s="1"/>
  <c r="I316" i="8" l="1"/>
  <c r="AO315" i="8"/>
  <c r="O316" i="8" l="1"/>
  <c r="J316" i="8"/>
  <c r="N316" i="8" s="1"/>
  <c r="R316" i="8" s="1"/>
  <c r="AS315" i="8"/>
  <c r="K316" i="8" l="1"/>
  <c r="M316" i="8" s="1"/>
  <c r="L316" i="8" l="1"/>
  <c r="P316" i="8"/>
  <c r="Q316" i="8" s="1"/>
  <c r="AI316" i="8"/>
  <c r="X316" i="8"/>
  <c r="Z316" i="8"/>
  <c r="AB316" i="8" s="1"/>
  <c r="Y316" i="8" l="1"/>
  <c r="AA316" i="8" s="1"/>
  <c r="AU316" i="8"/>
  <c r="S316" i="8"/>
  <c r="AJ316" i="8"/>
  <c r="AK316" i="8" l="1"/>
  <c r="AC316" i="8"/>
  <c r="T316" i="8"/>
  <c r="V316" i="8" s="1"/>
  <c r="AT316" i="8"/>
  <c r="AD316" i="8" l="1"/>
  <c r="AL316" i="8"/>
  <c r="AE316" i="8" l="1"/>
  <c r="AP316" i="8"/>
  <c r="F317" i="8" s="1"/>
  <c r="AF316" i="8" l="1"/>
  <c r="AM316" i="8" s="1"/>
  <c r="AQ316" i="8" s="1"/>
  <c r="G317" i="8" s="1"/>
  <c r="AG316" i="8" l="1"/>
  <c r="AH316" i="8" s="1"/>
  <c r="AN316" i="8" s="1"/>
  <c r="AR316" i="8" s="1"/>
  <c r="H317" i="8" s="1"/>
  <c r="I317" i="8" l="1"/>
  <c r="AO316" i="8"/>
  <c r="O317" i="8"/>
  <c r="AS316" i="8"/>
  <c r="J317" i="8"/>
  <c r="N317" i="8" s="1"/>
  <c r="R317" i="8" s="1"/>
  <c r="K317" i="8" l="1"/>
  <c r="M317" i="8" s="1"/>
  <c r="L317" i="8" l="1"/>
  <c r="AU317" i="8" s="1"/>
  <c r="P317" i="8"/>
  <c r="Q317" i="8" s="1"/>
  <c r="X317" i="8"/>
  <c r="AI317" i="8"/>
  <c r="Z317" i="8" l="1"/>
  <c r="AB317" i="8" s="1"/>
  <c r="S317" i="8"/>
  <c r="Y317" i="8"/>
  <c r="AA317" i="8" s="1"/>
  <c r="AJ317" i="8"/>
  <c r="T317" i="8" l="1"/>
  <c r="V317" i="8" s="1"/>
  <c r="AC317" i="8"/>
  <c r="AK317" i="8"/>
  <c r="AD317" i="8" l="1"/>
  <c r="AT317" i="8"/>
  <c r="AE317" i="8" l="1"/>
  <c r="AL317" i="8"/>
  <c r="AF317" i="8" l="1"/>
  <c r="AM317" i="8" s="1"/>
  <c r="AQ317" i="8" s="1"/>
  <c r="G318" i="8" s="1"/>
  <c r="AP317" i="8"/>
  <c r="F318" i="8" s="1"/>
  <c r="AG317" i="8" l="1"/>
  <c r="AH317" i="8" s="1"/>
  <c r="AN317" i="8" s="1"/>
  <c r="AR317" i="8" s="1"/>
  <c r="H318" i="8" s="1"/>
  <c r="I318" i="8" l="1"/>
  <c r="AO317" i="8"/>
  <c r="J318" i="8" l="1"/>
  <c r="N318" i="8" s="1"/>
  <c r="R318" i="8" s="1"/>
  <c r="O318" i="8"/>
  <c r="AS317" i="8"/>
  <c r="K318" i="8" l="1"/>
  <c r="M318" i="8" s="1"/>
  <c r="P318" i="8" l="1"/>
  <c r="Q318" i="8" s="1"/>
  <c r="X318" i="8"/>
  <c r="AI318" i="8"/>
  <c r="L318" i="8"/>
  <c r="AU318" i="8" l="1"/>
  <c r="S318" i="8"/>
  <c r="Z318" i="8"/>
  <c r="AB318" i="8" s="1"/>
  <c r="Y318" i="8"/>
  <c r="AA318" i="8" s="1"/>
  <c r="AJ318" i="8"/>
  <c r="AK318" i="8" l="1"/>
  <c r="T318" i="8"/>
  <c r="V318" i="8" s="1"/>
  <c r="AC318" i="8"/>
  <c r="AT318" i="8" l="1"/>
  <c r="AD318" i="8"/>
  <c r="AE318" i="8" l="1"/>
  <c r="AF318" i="8" s="1"/>
  <c r="AM318" i="8" s="1"/>
  <c r="AL318" i="8"/>
  <c r="AP318" i="8" s="1"/>
  <c r="F319" i="8" s="1"/>
  <c r="AQ318" i="8" l="1"/>
  <c r="G319" i="8" s="1"/>
  <c r="AG318" i="8"/>
  <c r="AH318" i="8" s="1"/>
  <c r="AN318" i="8" s="1"/>
  <c r="AR318" i="8" s="1"/>
  <c r="H319" i="8" s="1"/>
  <c r="I319" i="8" l="1"/>
  <c r="AO318" i="8"/>
  <c r="O319" i="8"/>
  <c r="AS318" i="8"/>
  <c r="J319" i="8"/>
  <c r="N319" i="8" s="1"/>
  <c r="R319" i="8" s="1"/>
  <c r="K319" i="8" l="1"/>
  <c r="M319" i="8" s="1"/>
  <c r="X319" i="8" l="1"/>
  <c r="AI319" i="8"/>
  <c r="P319" i="8"/>
  <c r="Q319" i="8" s="1"/>
  <c r="L319" i="8"/>
  <c r="Z319" i="8" l="1"/>
  <c r="AB319" i="8" s="1"/>
  <c r="Y319" i="8"/>
  <c r="AA319" i="8" s="1"/>
  <c r="AJ319" i="8"/>
  <c r="S319" i="8"/>
  <c r="AU319" i="8"/>
  <c r="T319" i="8" l="1"/>
  <c r="V319" i="8" s="1"/>
  <c r="AC319" i="8"/>
  <c r="AK319" i="8"/>
  <c r="AD319" i="8" l="1"/>
  <c r="AL319" i="8" s="1"/>
  <c r="AP319" i="8" s="1"/>
  <c r="F320" i="8" s="1"/>
  <c r="AT319" i="8"/>
  <c r="AE319" i="8" l="1"/>
  <c r="AF319" i="8" l="1"/>
  <c r="AM319" i="8" s="1"/>
  <c r="AG319" i="8" l="1"/>
  <c r="AH319" i="8" s="1"/>
  <c r="AN319" i="8" s="1"/>
  <c r="AR319" i="8" s="1"/>
  <c r="H320" i="8" s="1"/>
  <c r="AQ319" i="8"/>
  <c r="G320" i="8" s="1"/>
  <c r="I320" i="8" l="1"/>
  <c r="J320" i="8" s="1"/>
  <c r="N320" i="8" s="1"/>
  <c r="R320" i="8" s="1"/>
  <c r="AO319" i="8"/>
  <c r="AS319" i="8"/>
  <c r="O320" i="8" l="1"/>
  <c r="K320" i="8"/>
  <c r="M320" i="8" s="1"/>
  <c r="X320" i="8" l="1"/>
  <c r="P320" i="8"/>
  <c r="Q320" i="8" s="1"/>
  <c r="S320" i="8" s="1"/>
  <c r="AI320" i="8"/>
  <c r="AJ320" i="8" s="1"/>
  <c r="L320" i="8"/>
  <c r="Y320" i="8" l="1"/>
  <c r="AA320" i="8" s="1"/>
  <c r="Z320" i="8"/>
  <c r="AB320" i="8" s="1"/>
  <c r="T320" i="8"/>
  <c r="V320" i="8" s="1"/>
  <c r="AT320" i="8" s="1"/>
  <c r="AK320" i="8"/>
  <c r="AU320" i="8"/>
  <c r="AC320" i="8" l="1"/>
  <c r="AD320" i="8" l="1"/>
  <c r="AL320" i="8" s="1"/>
  <c r="AP320" i="8" l="1"/>
  <c r="F321" i="8" s="1"/>
  <c r="AE320" i="8"/>
  <c r="AF320" i="8" s="1"/>
  <c r="AM320" i="8" s="1"/>
  <c r="AQ320" i="8" s="1"/>
  <c r="G321" i="8" s="1"/>
  <c r="AG320" i="8" l="1"/>
  <c r="AH320" i="8" s="1"/>
  <c r="AN320" i="8" s="1"/>
  <c r="AR320" i="8" s="1"/>
  <c r="H321" i="8" s="1"/>
  <c r="I321" i="8" l="1"/>
  <c r="AO320" i="8"/>
  <c r="AS320" i="8" l="1"/>
  <c r="O321" i="8"/>
  <c r="J321" i="8"/>
  <c r="N321" i="8" s="1"/>
  <c r="R321" i="8" l="1"/>
  <c r="K321" i="8"/>
  <c r="M321" i="8" s="1"/>
  <c r="X321" i="8" l="1"/>
  <c r="P321" i="8"/>
  <c r="Q321" i="8" s="1"/>
  <c r="AI321" i="8"/>
  <c r="L321" i="8"/>
  <c r="AU321" i="8" s="1"/>
  <c r="Z321" i="8" l="1"/>
  <c r="AB321" i="8" s="1"/>
  <c r="Y321" i="8"/>
  <c r="AA321" i="8" s="1"/>
  <c r="S321" i="8"/>
  <c r="AJ321" i="8"/>
  <c r="T321" i="8" l="1"/>
  <c r="V321" i="8" s="1"/>
  <c r="AC321" i="8"/>
  <c r="AD321" i="8"/>
  <c r="AK321" i="8"/>
  <c r="AT321" i="8" l="1"/>
  <c r="AE321" i="8"/>
  <c r="AL321" i="8"/>
  <c r="AF321" i="8"/>
  <c r="AM321" i="8" s="1"/>
  <c r="AQ321" i="8" s="1"/>
  <c r="G322" i="8" s="1"/>
  <c r="AP321" i="8" l="1"/>
  <c r="F322" i="8" s="1"/>
  <c r="AG321" i="8"/>
  <c r="AH321" i="8" s="1"/>
  <c r="AN321" i="8" s="1"/>
  <c r="AR321" i="8" s="1"/>
  <c r="H322" i="8" s="1"/>
  <c r="I322" i="8" l="1"/>
  <c r="AO321" i="8"/>
  <c r="O322" i="8" l="1"/>
  <c r="J322" i="8"/>
  <c r="N322" i="8" s="1"/>
  <c r="AS321" i="8"/>
  <c r="R322" i="8" l="1"/>
  <c r="K322" i="8"/>
  <c r="M322" i="8" s="1"/>
  <c r="X322" i="8" l="1"/>
  <c r="P322" i="8"/>
  <c r="Q322" i="8" s="1"/>
  <c r="AI322" i="8"/>
  <c r="L322" i="8"/>
  <c r="AU322" i="8" l="1"/>
  <c r="Y322" i="8"/>
  <c r="AA322" i="8" s="1"/>
  <c r="Z322" i="8"/>
  <c r="AB322" i="8" s="1"/>
  <c r="S322" i="8"/>
  <c r="AJ322" i="8"/>
  <c r="AC322" i="8" l="1"/>
  <c r="T322" i="8"/>
  <c r="V322" i="8" s="1"/>
  <c r="AK322" i="8"/>
  <c r="AD322" i="8" l="1"/>
  <c r="AT322" i="8"/>
  <c r="AE322" i="8" l="1"/>
  <c r="AL322" i="8"/>
  <c r="AF322" i="8" l="1"/>
  <c r="AM322" i="8" s="1"/>
  <c r="AQ322" i="8" s="1"/>
  <c r="G323" i="8" s="1"/>
  <c r="AP322" i="8"/>
  <c r="F323" i="8" s="1"/>
  <c r="AG322" i="8" l="1"/>
  <c r="AH322" i="8" s="1"/>
  <c r="AN322" i="8" s="1"/>
  <c r="AR322" i="8" s="1"/>
  <c r="H323" i="8" s="1"/>
  <c r="I323" i="8" l="1"/>
  <c r="AO322" i="8"/>
  <c r="AS322" i="8" s="1"/>
  <c r="O323" i="8" l="1"/>
  <c r="J323" i="8"/>
  <c r="N323" i="8" s="1"/>
  <c r="R323" i="8" l="1"/>
  <c r="K323" i="8"/>
  <c r="M323" i="8" s="1"/>
  <c r="AI323" i="8" l="1"/>
  <c r="P323" i="8"/>
  <c r="Q323" i="8" s="1"/>
  <c r="X323" i="8"/>
  <c r="L323" i="8"/>
  <c r="AU323" i="8" s="1"/>
  <c r="AJ323" i="8" l="1"/>
  <c r="S323" i="8"/>
  <c r="Y323" i="8"/>
  <c r="AA323" i="8" s="1"/>
  <c r="Z323" i="8"/>
  <c r="AB323" i="8" s="1"/>
  <c r="AC323" i="8" l="1"/>
  <c r="AK323" i="8"/>
  <c r="T323" i="8"/>
  <c r="V323" i="8" s="1"/>
  <c r="AT323" i="8" l="1"/>
  <c r="AD323" i="8"/>
  <c r="AE323" i="8" l="1"/>
  <c r="AL323" i="8"/>
  <c r="AF323" i="8" l="1"/>
  <c r="AM323" i="8" s="1"/>
  <c r="AQ323" i="8" s="1"/>
  <c r="G324" i="8" s="1"/>
  <c r="AP323" i="8"/>
  <c r="F324" i="8" s="1"/>
  <c r="AG323" i="8" l="1"/>
  <c r="AH323" i="8" s="1"/>
  <c r="AN323" i="8" s="1"/>
  <c r="AO323" i="8" l="1"/>
  <c r="AR323" i="8"/>
  <c r="H324" i="8" s="1"/>
  <c r="I324" i="8" l="1"/>
  <c r="AS323" i="8"/>
  <c r="O324" i="8" l="1"/>
  <c r="J324" i="8"/>
  <c r="N324" i="8" s="1"/>
  <c r="R324" i="8" l="1"/>
  <c r="K324" i="8"/>
  <c r="M324" i="8" s="1"/>
  <c r="X324" i="8" l="1"/>
  <c r="P324" i="8"/>
  <c r="Q324" i="8" s="1"/>
  <c r="AI324" i="8"/>
  <c r="L324" i="8"/>
  <c r="Z324" i="8" l="1"/>
  <c r="AB324" i="8" s="1"/>
  <c r="Y324" i="8"/>
  <c r="AA324" i="8" s="1"/>
  <c r="S324" i="8"/>
  <c r="AJ324" i="8"/>
  <c r="AU324" i="8"/>
  <c r="AC324" i="8" l="1"/>
  <c r="T324" i="8"/>
  <c r="V324" i="8" s="1"/>
  <c r="AT324" i="8" s="1"/>
  <c r="AK324" i="8"/>
  <c r="AD324" i="8" l="1"/>
  <c r="AE324" i="8" l="1"/>
  <c r="AL324" i="8"/>
  <c r="AF324" i="8" l="1"/>
  <c r="AM324" i="8" s="1"/>
  <c r="AQ324" i="8" s="1"/>
  <c r="G325" i="8" s="1"/>
  <c r="AP324" i="8"/>
  <c r="F325" i="8" s="1"/>
  <c r="AG324" i="8" l="1"/>
  <c r="AH324" i="8" s="1"/>
  <c r="AN324" i="8" s="1"/>
  <c r="AO324" i="8" l="1"/>
  <c r="AR324" i="8"/>
  <c r="H325" i="8" s="1"/>
  <c r="I325" i="8" l="1"/>
  <c r="AS324" i="8"/>
  <c r="O325" i="8" l="1"/>
  <c r="J325" i="8"/>
  <c r="N325" i="8" s="1"/>
  <c r="R325" i="8" l="1"/>
  <c r="K325" i="8"/>
  <c r="M325" i="8" s="1"/>
  <c r="X325" i="8" l="1"/>
  <c r="P325" i="8"/>
  <c r="Q325" i="8" s="1"/>
  <c r="AI325" i="8"/>
  <c r="L325" i="8"/>
  <c r="Z325" i="8" l="1"/>
  <c r="AB325" i="8" s="1"/>
  <c r="Y325" i="8"/>
  <c r="AA325" i="8" s="1"/>
  <c r="S325" i="8"/>
  <c r="AJ325" i="8"/>
  <c r="AU325" i="8"/>
  <c r="AK325" i="8" l="1"/>
  <c r="AC325" i="8"/>
  <c r="T325" i="8"/>
  <c r="V325" i="8" s="1"/>
  <c r="AD325" i="8" l="1"/>
  <c r="AT325" i="8"/>
  <c r="AL325" i="8" l="1"/>
  <c r="AE325" i="8"/>
  <c r="AP325" i="8" l="1"/>
  <c r="F326" i="8" s="1"/>
  <c r="AF325" i="8"/>
  <c r="AM325" i="8" s="1"/>
  <c r="AQ325" i="8" s="1"/>
  <c r="G326" i="8" s="1"/>
  <c r="AG325" i="8" l="1"/>
  <c r="AH325" i="8" s="1"/>
  <c r="AN325" i="8" s="1"/>
  <c r="AR325" i="8" s="1"/>
  <c r="H326" i="8" s="1"/>
  <c r="I326" i="8" l="1"/>
  <c r="J326" i="8" s="1"/>
  <c r="N326" i="8" s="1"/>
  <c r="AO325" i="8"/>
  <c r="O326" i="8" l="1"/>
  <c r="AS325" i="8"/>
  <c r="R326" i="8"/>
  <c r="K326" i="8"/>
  <c r="M326" i="8" s="1"/>
  <c r="AI326" i="8" l="1"/>
  <c r="P326" i="8"/>
  <c r="Q326" i="8" s="1"/>
  <c r="X326" i="8"/>
  <c r="L326" i="8"/>
  <c r="Z326" i="8" l="1"/>
  <c r="AB326" i="8" s="1"/>
  <c r="AJ326" i="8"/>
  <c r="S326" i="8"/>
  <c r="Y326" i="8"/>
  <c r="AA326" i="8" s="1"/>
  <c r="AU326" i="8"/>
  <c r="T326" i="8" l="1"/>
  <c r="V326" i="8" s="1"/>
  <c r="AK326" i="8"/>
  <c r="AC326" i="8"/>
  <c r="AT326" i="8" l="1"/>
  <c r="AD326" i="8"/>
  <c r="AE326" i="8" l="1"/>
  <c r="AL326" i="8"/>
  <c r="AF326" i="8" l="1"/>
  <c r="AM326" i="8" s="1"/>
  <c r="AQ326" i="8" s="1"/>
  <c r="G327" i="8" s="1"/>
  <c r="AP326" i="8"/>
  <c r="F327" i="8" s="1"/>
  <c r="AG326" i="8" l="1"/>
  <c r="AH326" i="8" s="1"/>
  <c r="AN326" i="8" s="1"/>
  <c r="AR326" i="8" s="1"/>
  <c r="H327" i="8" s="1"/>
  <c r="I327" i="8" l="1"/>
  <c r="AO326" i="8"/>
  <c r="AS326" i="8" l="1"/>
  <c r="J327" i="8"/>
  <c r="N327" i="8" s="1"/>
  <c r="O327" i="8"/>
  <c r="K327" i="8"/>
  <c r="M327" i="8" s="1"/>
  <c r="R327" i="8" l="1"/>
  <c r="X327" i="8"/>
  <c r="P327" i="8"/>
  <c r="Q327" i="8" s="1"/>
  <c r="AI327" i="8"/>
  <c r="L327" i="8"/>
  <c r="AU327" i="8" l="1"/>
  <c r="Y327" i="8"/>
  <c r="AA327" i="8" s="1"/>
  <c r="Z327" i="8"/>
  <c r="AB327" i="8" s="1"/>
  <c r="S327" i="8"/>
  <c r="AJ327" i="8"/>
  <c r="AC327" i="8" l="1"/>
  <c r="T327" i="8"/>
  <c r="V327" i="8" s="1"/>
  <c r="AT327" i="8" s="1"/>
  <c r="AK327" i="8"/>
  <c r="AD327" i="8" l="1"/>
  <c r="AE327" i="8" l="1"/>
  <c r="AL327" i="8"/>
  <c r="AF327" i="8" l="1"/>
  <c r="AM327" i="8" s="1"/>
  <c r="AQ327" i="8" s="1"/>
  <c r="G328" i="8" s="1"/>
  <c r="AP327" i="8"/>
  <c r="F328" i="8" s="1"/>
  <c r="AG327" i="8" l="1"/>
  <c r="AH327" i="8" s="1"/>
  <c r="AN327" i="8" s="1"/>
  <c r="AO327" i="8" l="1"/>
  <c r="AS327" i="8" s="1"/>
  <c r="AR327" i="8"/>
  <c r="H328" i="8" s="1"/>
  <c r="I328" i="8" l="1"/>
  <c r="J328" i="8" l="1"/>
  <c r="N328" i="8" s="1"/>
  <c r="O328" i="8"/>
  <c r="R328" i="8" l="1"/>
  <c r="K328" i="8"/>
  <c r="M328" i="8" s="1"/>
  <c r="L328" i="8" l="1"/>
  <c r="X328" i="8"/>
  <c r="P328" i="8"/>
  <c r="Q328" i="8" s="1"/>
  <c r="AI328" i="8"/>
  <c r="AU328" i="8" l="1"/>
  <c r="Y328" i="8"/>
  <c r="AA328" i="8" s="1"/>
  <c r="Z328" i="8"/>
  <c r="AB328" i="8" s="1"/>
  <c r="S328" i="8"/>
  <c r="AJ328" i="8"/>
  <c r="AC328" i="8" l="1"/>
  <c r="T328" i="8"/>
  <c r="V328" i="8" s="1"/>
  <c r="AK328" i="8"/>
  <c r="AT328" i="8" l="1"/>
  <c r="AD328" i="8"/>
  <c r="AE328" i="8" l="1"/>
  <c r="AL328" i="8"/>
  <c r="AF328" i="8" l="1"/>
  <c r="AM328" i="8" s="1"/>
  <c r="AQ328" i="8" s="1"/>
  <c r="G329" i="8" s="1"/>
  <c r="AP328" i="8"/>
  <c r="F329" i="8" s="1"/>
  <c r="AG328" i="8" l="1"/>
  <c r="AH328" i="8" s="1"/>
  <c r="AN328" i="8" s="1"/>
  <c r="AR328" i="8" s="1"/>
  <c r="H329" i="8" s="1"/>
  <c r="I329" i="8" l="1"/>
  <c r="AO328" i="8"/>
  <c r="AS328" i="8" l="1"/>
  <c r="J329" i="8"/>
  <c r="N329" i="8" s="1"/>
  <c r="O329" i="8"/>
  <c r="R329" i="8" l="1"/>
  <c r="K329" i="8"/>
  <c r="M329" i="8" s="1"/>
  <c r="X329" i="8" l="1"/>
  <c r="P329" i="8"/>
  <c r="Q329" i="8" s="1"/>
  <c r="AI329" i="8"/>
  <c r="L329" i="8"/>
  <c r="AU329" i="8" l="1"/>
  <c r="Z329" i="8"/>
  <c r="AB329" i="8" s="1"/>
  <c r="Y329" i="8"/>
  <c r="AA329" i="8" s="1"/>
  <c r="S329" i="8"/>
  <c r="AJ329" i="8"/>
  <c r="AK329" i="8" l="1"/>
  <c r="AC329" i="8"/>
  <c r="T329" i="8"/>
  <c r="V329" i="8" s="1"/>
  <c r="AT329" i="8" l="1"/>
  <c r="AD329" i="8"/>
  <c r="AL329" i="8" l="1"/>
  <c r="AE329" i="8"/>
  <c r="AP329" i="8" l="1"/>
  <c r="F330" i="8" s="1"/>
  <c r="AF329" i="8"/>
  <c r="AM329" i="8" s="1"/>
  <c r="AQ329" i="8" s="1"/>
  <c r="G330" i="8" s="1"/>
  <c r="AG329" i="8" l="1"/>
  <c r="AH329" i="8" s="1"/>
  <c r="AN329" i="8" s="1"/>
  <c r="AO329" i="8" l="1"/>
  <c r="AR329" i="8"/>
  <c r="H330" i="8" s="1"/>
  <c r="I330" i="8" l="1"/>
  <c r="AS329" i="8"/>
  <c r="O330" i="8" l="1"/>
  <c r="J330" i="8"/>
  <c r="N330" i="8" s="1"/>
  <c r="K330" i="8" l="1"/>
  <c r="M330" i="8" s="1"/>
  <c r="R330" i="8"/>
  <c r="AI330" i="8" l="1"/>
  <c r="P330" i="8"/>
  <c r="Q330" i="8" s="1"/>
  <c r="X330" i="8"/>
  <c r="L330" i="8"/>
  <c r="S330" i="8" l="1"/>
  <c r="AJ330" i="8"/>
  <c r="Y330" i="8"/>
  <c r="AA330" i="8" s="1"/>
  <c r="Z330" i="8"/>
  <c r="AB330" i="8" s="1"/>
  <c r="AU330" i="8"/>
  <c r="T330" i="8" l="1"/>
  <c r="V330" i="8" s="1"/>
  <c r="AK330" i="8"/>
  <c r="AC330" i="8"/>
  <c r="AT330" i="8" l="1"/>
  <c r="AD330" i="8"/>
  <c r="AE330" i="8" l="1"/>
  <c r="AL330" i="8"/>
  <c r="AF330" i="8" l="1"/>
  <c r="AM330" i="8" s="1"/>
  <c r="AQ330" i="8" s="1"/>
  <c r="G331" i="8" s="1"/>
  <c r="AP330" i="8"/>
  <c r="F331" i="8" s="1"/>
  <c r="AG330" i="8" l="1"/>
  <c r="AH330" i="8" s="1"/>
  <c r="AN330" i="8" s="1"/>
  <c r="AR330" i="8" s="1"/>
  <c r="H331" i="8" s="1"/>
  <c r="I331" i="8" l="1"/>
  <c r="AO330" i="8"/>
  <c r="AS330" i="8" l="1"/>
  <c r="J331" i="8"/>
  <c r="N331" i="8" s="1"/>
  <c r="O331" i="8"/>
  <c r="R331" i="8" l="1"/>
  <c r="K331" i="8"/>
  <c r="M331" i="8" s="1"/>
  <c r="X331" i="8"/>
  <c r="P331" i="8"/>
  <c r="Q331" i="8" s="1"/>
  <c r="AI331" i="8"/>
  <c r="L331" i="8"/>
  <c r="AU331" i="8" s="1"/>
  <c r="Z331" i="8" l="1"/>
  <c r="AB331" i="8" s="1"/>
  <c r="Y331" i="8"/>
  <c r="AA331" i="8" s="1"/>
  <c r="S331" i="8"/>
  <c r="AJ331" i="8"/>
  <c r="T331" i="8" l="1"/>
  <c r="V331" i="8" s="1"/>
  <c r="AC331" i="8"/>
  <c r="AK331" i="8"/>
  <c r="AD331" i="8"/>
  <c r="AT331" i="8" l="1"/>
  <c r="AE331" i="8"/>
  <c r="AL331" i="8"/>
  <c r="AF331" i="8" l="1"/>
  <c r="AM331" i="8" s="1"/>
  <c r="AQ331" i="8" s="1"/>
  <c r="G332" i="8" s="1"/>
  <c r="AP331" i="8"/>
  <c r="F332" i="8" s="1"/>
  <c r="AG331" i="8" l="1"/>
  <c r="AH331" i="8" s="1"/>
  <c r="AN331" i="8" s="1"/>
  <c r="AR331" i="8" s="1"/>
  <c r="H332" i="8" s="1"/>
  <c r="I332" i="8" l="1"/>
  <c r="AO331" i="8"/>
  <c r="J332" i="8" l="1"/>
  <c r="N332" i="8" s="1"/>
  <c r="AS331" i="8"/>
  <c r="O332" i="8"/>
  <c r="R332" i="8" l="1"/>
  <c r="K332" i="8"/>
  <c r="M332" i="8" s="1"/>
  <c r="L332" i="8" l="1"/>
  <c r="AI332" i="8"/>
  <c r="P332" i="8"/>
  <c r="Q332" i="8" s="1"/>
  <c r="X332" i="8"/>
  <c r="AU332" i="8" l="1"/>
  <c r="AJ332" i="8"/>
  <c r="S332" i="8"/>
  <c r="Z332" i="8"/>
  <c r="AB332" i="8" s="1"/>
  <c r="Y332" i="8"/>
  <c r="AA332" i="8" s="1"/>
  <c r="AK332" i="8" l="1"/>
  <c r="AC332" i="8"/>
  <c r="T332" i="8"/>
  <c r="V332" i="8" s="1"/>
  <c r="AD332" i="8" l="1"/>
  <c r="AT332" i="8"/>
  <c r="AE332" i="8" l="1"/>
  <c r="AL332" i="8"/>
  <c r="AF332" i="8" l="1"/>
  <c r="AM332" i="8" s="1"/>
  <c r="AQ332" i="8" s="1"/>
  <c r="G333" i="8" s="1"/>
  <c r="AP332" i="8"/>
  <c r="F333" i="8" s="1"/>
  <c r="AG332" i="8" l="1"/>
  <c r="AH332" i="8" s="1"/>
  <c r="AN332" i="8" s="1"/>
  <c r="AR332" i="8" s="1"/>
  <c r="H333" i="8" s="1"/>
  <c r="I333" i="8" l="1"/>
  <c r="AO332" i="8"/>
  <c r="AS332" i="8" l="1"/>
  <c r="J333" i="8"/>
  <c r="N333" i="8" s="1"/>
  <c r="O333" i="8"/>
  <c r="R333" i="8" l="1"/>
  <c r="K333" i="8"/>
  <c r="M333" i="8" s="1"/>
  <c r="X333" i="8" l="1"/>
  <c r="P333" i="8"/>
  <c r="Q333" i="8" s="1"/>
  <c r="AI333" i="8"/>
  <c r="L333" i="8"/>
  <c r="Z333" i="8" l="1"/>
  <c r="AB333" i="8" s="1"/>
  <c r="Y333" i="8"/>
  <c r="AA333" i="8" s="1"/>
  <c r="S333" i="8"/>
  <c r="AJ333" i="8"/>
  <c r="AU333" i="8"/>
  <c r="AC333" i="8" l="1"/>
  <c r="T333" i="8"/>
  <c r="V333" i="8" s="1"/>
  <c r="AK333" i="8"/>
  <c r="AD333" i="8"/>
  <c r="AL333" i="8" s="1"/>
  <c r="AT333" i="8" l="1"/>
  <c r="AE333" i="8"/>
  <c r="AP333" i="8"/>
  <c r="F334" i="8" s="1"/>
  <c r="AF333" i="8" l="1"/>
  <c r="AM333" i="8" s="1"/>
  <c r="AQ333" i="8" s="1"/>
  <c r="G334" i="8" s="1"/>
  <c r="AG333" i="8" l="1"/>
  <c r="AH333" i="8" s="1"/>
  <c r="AN333" i="8" s="1"/>
  <c r="AR333" i="8" s="1"/>
  <c r="H334" i="8" s="1"/>
  <c r="I334" i="8" s="1"/>
  <c r="AO333" i="8" l="1"/>
  <c r="J334" i="8"/>
  <c r="N334" i="8" s="1"/>
  <c r="O334" i="8"/>
  <c r="AS333" i="8" l="1"/>
  <c r="R334" i="8"/>
  <c r="K334" i="8"/>
  <c r="M334" i="8" s="1"/>
  <c r="X334" i="8" l="1"/>
  <c r="P334" i="8"/>
  <c r="Q334" i="8" s="1"/>
  <c r="AI334" i="8"/>
  <c r="L334" i="8"/>
  <c r="Y334" i="8" l="1"/>
  <c r="AA334" i="8" s="1"/>
  <c r="Z334" i="8"/>
  <c r="AB334" i="8" s="1"/>
  <c r="S334" i="8"/>
  <c r="AJ334" i="8"/>
  <c r="AU334" i="8"/>
  <c r="AC334" i="8" l="1"/>
  <c r="T334" i="8"/>
  <c r="V334" i="8" s="1"/>
  <c r="AK334" i="8"/>
  <c r="AT334" i="8"/>
  <c r="AD334" i="8" l="1"/>
  <c r="AL334" i="8"/>
  <c r="AE334" i="8" l="1"/>
  <c r="AF334" i="8" s="1"/>
  <c r="AM334" i="8" s="1"/>
  <c r="AQ334" i="8" s="1"/>
  <c r="G335" i="8" s="1"/>
  <c r="AP334" i="8"/>
  <c r="F335" i="8" s="1"/>
  <c r="AG334" i="8" l="1"/>
  <c r="AH334" i="8" s="1"/>
  <c r="AN334" i="8" s="1"/>
  <c r="AO334" i="8" l="1"/>
  <c r="AR334" i="8"/>
  <c r="H335" i="8" s="1"/>
  <c r="I335" i="8"/>
  <c r="AS334" i="8" l="1"/>
  <c r="O335" i="8"/>
  <c r="J335" i="8"/>
  <c r="N335" i="8" s="1"/>
  <c r="R335" i="8" l="1"/>
  <c r="K335" i="8"/>
  <c r="M335" i="8" s="1"/>
  <c r="P335" i="8" l="1"/>
  <c r="Q335" i="8" s="1"/>
  <c r="AI335" i="8"/>
  <c r="X335" i="8"/>
  <c r="L335" i="8"/>
  <c r="AU335" i="8" s="1"/>
  <c r="S335" i="8" l="1"/>
  <c r="AJ335" i="8"/>
  <c r="Y335" i="8"/>
  <c r="AA335" i="8" s="1"/>
  <c r="Z335" i="8"/>
  <c r="AB335" i="8" s="1"/>
  <c r="AC335" i="8" l="1"/>
  <c r="T335" i="8"/>
  <c r="V335" i="8" s="1"/>
  <c r="AK335" i="8"/>
  <c r="AD335" i="8" l="1"/>
  <c r="AT335" i="8"/>
  <c r="AE335" i="8" l="1"/>
  <c r="AL335" i="8"/>
  <c r="AF335" i="8" l="1"/>
  <c r="AM335" i="8" s="1"/>
  <c r="AQ335" i="8" s="1"/>
  <c r="G336" i="8" s="1"/>
  <c r="AP335" i="8"/>
  <c r="F336" i="8" s="1"/>
  <c r="AG335" i="8" l="1"/>
  <c r="AH335" i="8" s="1"/>
  <c r="AN335" i="8" s="1"/>
  <c r="AR335" i="8" s="1"/>
  <c r="H336" i="8" s="1"/>
  <c r="I336" i="8" l="1"/>
  <c r="AO335" i="8"/>
  <c r="J336" i="8" l="1"/>
  <c r="N336" i="8" s="1"/>
  <c r="AS335" i="8"/>
  <c r="O336" i="8"/>
  <c r="R336" i="8" l="1"/>
  <c r="K336" i="8"/>
  <c r="L336" i="8" l="1"/>
  <c r="M336" i="8"/>
  <c r="AI336" i="8" l="1"/>
  <c r="X336" i="8"/>
  <c r="P336" i="8"/>
  <c r="Q336" i="8" s="1"/>
  <c r="AU336" i="8"/>
  <c r="AJ336" i="8" l="1"/>
  <c r="Z336" i="8"/>
  <c r="AB336" i="8" s="1"/>
  <c r="Y336" i="8"/>
  <c r="AA336" i="8" s="1"/>
  <c r="S336" i="8"/>
  <c r="AK336" i="8" l="1"/>
  <c r="AC336" i="8"/>
  <c r="T336" i="8"/>
  <c r="V336" i="8" s="1"/>
  <c r="AD336" i="8" l="1"/>
  <c r="AT336" i="8"/>
  <c r="AE336" i="8" l="1"/>
  <c r="AL336" i="8"/>
  <c r="AF336" i="8"/>
  <c r="AM336" i="8" s="1"/>
  <c r="AQ336" i="8" s="1"/>
  <c r="G337" i="8" s="1"/>
  <c r="AP336" i="8" l="1"/>
  <c r="F337" i="8" s="1"/>
  <c r="AG336" i="8"/>
  <c r="AH336" i="8" s="1"/>
  <c r="AN336" i="8" s="1"/>
  <c r="AR336" i="8" s="1"/>
  <c r="H337" i="8" s="1"/>
  <c r="I337" i="8" l="1"/>
  <c r="AO336" i="8"/>
  <c r="J337" i="8" l="1"/>
  <c r="N337" i="8" s="1"/>
  <c r="O337" i="8"/>
  <c r="AS336" i="8"/>
  <c r="R337" i="8" l="1"/>
  <c r="K337" i="8"/>
  <c r="M337" i="8" s="1"/>
  <c r="L337" i="8" l="1"/>
  <c r="X337" i="8"/>
  <c r="P337" i="8"/>
  <c r="Q337" i="8" s="1"/>
  <c r="AI337" i="8"/>
  <c r="Z337" i="8"/>
  <c r="AB337" i="8" s="1"/>
  <c r="Y337" i="8" l="1"/>
  <c r="AA337" i="8" s="1"/>
  <c r="AU337" i="8"/>
  <c r="S337" i="8"/>
  <c r="AJ337" i="8"/>
  <c r="AC337" i="8"/>
  <c r="T337" i="8" l="1"/>
  <c r="V337" i="8" s="1"/>
  <c r="AK337" i="8"/>
  <c r="AD337" i="8"/>
  <c r="AT337" i="8" l="1"/>
  <c r="AE337" i="8"/>
  <c r="AL337" i="8"/>
  <c r="AF337" i="8" l="1"/>
  <c r="AM337" i="8" s="1"/>
  <c r="AQ337" i="8" s="1"/>
  <c r="G338" i="8" s="1"/>
  <c r="AP337" i="8"/>
  <c r="F338" i="8" s="1"/>
  <c r="AG337" i="8" l="1"/>
  <c r="AH337" i="8" s="1"/>
  <c r="AN337" i="8" s="1"/>
  <c r="AR337" i="8" s="1"/>
  <c r="H338" i="8" s="1"/>
  <c r="AO337" i="8" l="1"/>
  <c r="I338" i="8"/>
  <c r="O338" i="8" l="1"/>
  <c r="AS337" i="8"/>
  <c r="J338" i="8"/>
  <c r="N338" i="8" s="1"/>
  <c r="R338" i="8" l="1"/>
  <c r="K338" i="8"/>
  <c r="M338" i="8" s="1"/>
  <c r="L338" i="8" l="1"/>
  <c r="AI338" i="8"/>
  <c r="P338" i="8"/>
  <c r="Q338" i="8" s="1"/>
  <c r="X338" i="8"/>
  <c r="AU338" i="8" l="1"/>
  <c r="AJ338" i="8"/>
  <c r="S338" i="8"/>
  <c r="Y338" i="8"/>
  <c r="AA338" i="8" s="1"/>
  <c r="Z338" i="8"/>
  <c r="AB338" i="8" s="1"/>
  <c r="AC338" i="8" l="1"/>
  <c r="T338" i="8"/>
  <c r="V338" i="8" s="1"/>
  <c r="AK338" i="8"/>
  <c r="AT338" i="8" l="1"/>
  <c r="AD338" i="8"/>
  <c r="AL338" i="8" l="1"/>
  <c r="AE338" i="8"/>
  <c r="AP338" i="8" l="1"/>
  <c r="F339" i="8" s="1"/>
  <c r="AF338" i="8"/>
  <c r="AM338" i="8" s="1"/>
  <c r="AQ338" i="8" s="1"/>
  <c r="G339" i="8" s="1"/>
  <c r="AG338" i="8" l="1"/>
  <c r="AH338" i="8" s="1"/>
  <c r="AN338" i="8" s="1"/>
  <c r="AR338" i="8" s="1"/>
  <c r="H339" i="8" s="1"/>
  <c r="I339" i="8" l="1"/>
  <c r="AO338" i="8"/>
  <c r="J339" i="8" l="1"/>
  <c r="N339" i="8" s="1"/>
  <c r="AS338" i="8"/>
  <c r="O339" i="8"/>
  <c r="R339" i="8" l="1"/>
  <c r="K339" i="8"/>
  <c r="M339" i="8" s="1"/>
  <c r="P339" i="8" l="1"/>
  <c r="Q339" i="8" s="1"/>
  <c r="X339" i="8"/>
  <c r="L339" i="8"/>
  <c r="AU339" i="8" s="1"/>
  <c r="AI339" i="8"/>
  <c r="AJ339" i="8" l="1"/>
  <c r="Z339" i="8"/>
  <c r="AB339" i="8" s="1"/>
  <c r="S339" i="8"/>
  <c r="Y339" i="8"/>
  <c r="AA339" i="8" s="1"/>
  <c r="AK339" i="8" l="1"/>
  <c r="AC339" i="8"/>
  <c r="T339" i="8"/>
  <c r="V339" i="8" s="1"/>
  <c r="AT339" i="8" l="1"/>
  <c r="AD339" i="8"/>
  <c r="AL339" i="8" l="1"/>
  <c r="AE339" i="8"/>
  <c r="AF339" i="8" l="1"/>
  <c r="AM339" i="8" s="1"/>
  <c r="AQ339" i="8" s="1"/>
  <c r="G340" i="8" s="1"/>
  <c r="AP339" i="8"/>
  <c r="F340" i="8" s="1"/>
  <c r="AG339" i="8" l="1"/>
  <c r="AH339" i="8" s="1"/>
  <c r="AN339" i="8" s="1"/>
  <c r="AR339" i="8" s="1"/>
  <c r="H340" i="8" s="1"/>
  <c r="AO339" i="8" l="1"/>
  <c r="I340" i="8"/>
  <c r="AS339" i="8"/>
  <c r="O340" i="8"/>
  <c r="J340" i="8"/>
  <c r="N340" i="8" s="1"/>
  <c r="R340" i="8" l="1"/>
  <c r="K340" i="8"/>
  <c r="M340" i="8" s="1"/>
  <c r="X340" i="8" l="1"/>
  <c r="P340" i="8"/>
  <c r="Q340" i="8" s="1"/>
  <c r="AI340" i="8"/>
  <c r="L340" i="8"/>
  <c r="AU340" i="8" s="1"/>
  <c r="Z340" i="8" l="1"/>
  <c r="AB340" i="8" s="1"/>
  <c r="Y340" i="8"/>
  <c r="AA340" i="8" s="1"/>
  <c r="S340" i="8"/>
  <c r="AJ340" i="8"/>
  <c r="AC340" i="8" l="1"/>
  <c r="T340" i="8"/>
  <c r="V340" i="8" s="1"/>
  <c r="AK340" i="8"/>
  <c r="AD340" i="8" l="1"/>
  <c r="AT340" i="8"/>
  <c r="AE340" i="8" l="1"/>
  <c r="AL340" i="8"/>
  <c r="AF340" i="8" l="1"/>
  <c r="AM340" i="8" s="1"/>
  <c r="AQ340" i="8" s="1"/>
  <c r="G341" i="8" s="1"/>
  <c r="AP340" i="8"/>
  <c r="F341" i="8" s="1"/>
  <c r="AG340" i="8" l="1"/>
  <c r="AH340" i="8" s="1"/>
  <c r="AN340" i="8" s="1"/>
  <c r="AR340" i="8" s="1"/>
  <c r="H341" i="8" s="1"/>
  <c r="I341" i="8" l="1"/>
  <c r="AO340" i="8"/>
  <c r="AS340" i="8"/>
  <c r="J341" i="8" l="1"/>
  <c r="N341" i="8" s="1"/>
  <c r="O341" i="8"/>
  <c r="R341" i="8" l="1"/>
  <c r="K341" i="8"/>
  <c r="L341" i="8" l="1"/>
  <c r="AU341" i="8" s="1"/>
  <c r="M341" i="8"/>
  <c r="AI341" i="8" l="1"/>
  <c r="X341" i="8"/>
  <c r="P341" i="8"/>
  <c r="Q341" i="8" s="1"/>
  <c r="Z341" i="8" l="1"/>
  <c r="AB341" i="8" s="1"/>
  <c r="Y341" i="8"/>
  <c r="AA341" i="8" s="1"/>
  <c r="S341" i="8"/>
  <c r="AJ341" i="8"/>
  <c r="AK341" i="8" l="1"/>
  <c r="T341" i="8"/>
  <c r="V341" i="8" s="1"/>
  <c r="AC341" i="8"/>
  <c r="AT341" i="8" l="1"/>
  <c r="AD341" i="8"/>
  <c r="AL341" i="8" l="1"/>
  <c r="AE341" i="8"/>
  <c r="AP341" i="8" l="1"/>
  <c r="AF341" i="8"/>
  <c r="AM341" i="8" s="1"/>
  <c r="AQ341" i="8" s="1"/>
  <c r="G342" i="8" s="1"/>
  <c r="F342" i="8" l="1"/>
  <c r="AG341" i="8"/>
  <c r="AH341" i="8" s="1"/>
  <c r="AN341" i="8" s="1"/>
  <c r="AR341" i="8" s="1"/>
  <c r="H342" i="8" s="1"/>
  <c r="I342" i="8"/>
  <c r="AO341" i="8" l="1"/>
  <c r="O342" i="8"/>
  <c r="J342" i="8"/>
  <c r="N342" i="8" s="1"/>
  <c r="AS341" i="8" l="1"/>
  <c r="R342" i="8"/>
  <c r="K342" i="8"/>
  <c r="L342" i="8" l="1"/>
  <c r="M342" i="8"/>
  <c r="AU342" i="8" l="1"/>
  <c r="AI342" i="8"/>
  <c r="P342" i="8"/>
  <c r="Q342" i="8" s="1"/>
  <c r="X342" i="8"/>
  <c r="AJ342" i="8" l="1"/>
  <c r="S342" i="8"/>
  <c r="Z342" i="8"/>
  <c r="AB342" i="8" s="1"/>
  <c r="Y342" i="8"/>
  <c r="AA342" i="8" s="1"/>
  <c r="T342" i="8" l="1"/>
  <c r="V342" i="8" s="1"/>
  <c r="AK342" i="8"/>
  <c r="AC342" i="8"/>
  <c r="AT342" i="8" l="1"/>
  <c r="AD342" i="8"/>
  <c r="AE342" i="8" l="1"/>
  <c r="AL342" i="8"/>
  <c r="AP342" i="8" l="1"/>
  <c r="AF342" i="8"/>
  <c r="AM342" i="8" s="1"/>
  <c r="AQ342" i="8" s="1"/>
  <c r="G343" i="8" s="1"/>
  <c r="F343" i="8" l="1"/>
  <c r="AG342" i="8"/>
  <c r="AH342" i="8" s="1"/>
  <c r="AN342" i="8" s="1"/>
  <c r="AR342" i="8" s="1"/>
  <c r="H343" i="8" s="1"/>
  <c r="I343" i="8" l="1"/>
  <c r="AO342" i="8"/>
  <c r="AS342" i="8" l="1"/>
  <c r="J343" i="8"/>
  <c r="N343" i="8" s="1"/>
  <c r="O343" i="8"/>
  <c r="R343" i="8" l="1"/>
  <c r="K343" i="8"/>
  <c r="L343" i="8" l="1"/>
  <c r="M343" i="8"/>
  <c r="P343" i="8" l="1"/>
  <c r="Q343" i="8" s="1"/>
  <c r="X343" i="8"/>
  <c r="AI343" i="8"/>
  <c r="AU343" i="8"/>
  <c r="Y343" i="8"/>
  <c r="AA343" i="8" s="1"/>
  <c r="S343" i="8" l="1"/>
  <c r="Z343" i="8"/>
  <c r="AB343" i="8" s="1"/>
  <c r="AJ343" i="8"/>
  <c r="T343" i="8" l="1"/>
  <c r="V343" i="8" s="1"/>
  <c r="AK343" i="8"/>
  <c r="AC343" i="8"/>
  <c r="AD343" i="8"/>
  <c r="AT343" i="8" l="1"/>
  <c r="AE343" i="8"/>
  <c r="AL343" i="8"/>
  <c r="AF343" i="8" l="1"/>
  <c r="AM343" i="8" s="1"/>
  <c r="AQ343" i="8" s="1"/>
  <c r="G344" i="8" s="1"/>
  <c r="AP343" i="8"/>
  <c r="AG343" i="8" l="1"/>
  <c r="AH343" i="8" s="1"/>
  <c r="AN343" i="8" s="1"/>
  <c r="AR343" i="8" s="1"/>
  <c r="H344" i="8" s="1"/>
  <c r="F344" i="8"/>
  <c r="I344" i="8" l="1"/>
  <c r="AO343" i="8"/>
  <c r="O344" i="8" l="1"/>
  <c r="J344" i="8"/>
  <c r="N344" i="8" s="1"/>
  <c r="AS343" i="8"/>
  <c r="R344" i="8" l="1"/>
  <c r="K344" i="8"/>
  <c r="M344" i="8" s="1"/>
  <c r="L344" i="8" l="1"/>
  <c r="AU344" i="8" s="1"/>
  <c r="P344" i="8"/>
  <c r="Q344" i="8" s="1"/>
  <c r="X344" i="8"/>
  <c r="AI344" i="8"/>
  <c r="Z344" i="8" l="1"/>
  <c r="AB344" i="8" s="1"/>
  <c r="Y344" i="8"/>
  <c r="AA344" i="8" s="1"/>
  <c r="AJ344" i="8"/>
  <c r="S344" i="8"/>
  <c r="AC344" i="8" l="1"/>
  <c r="AK344" i="8"/>
  <c r="T344" i="8"/>
  <c r="V344" i="8" s="1"/>
  <c r="AT344" i="8" l="1"/>
  <c r="AD344" i="8"/>
  <c r="AE344" i="8" l="1"/>
  <c r="AL344" i="8"/>
  <c r="AF344" i="8"/>
  <c r="AM344" i="8" s="1"/>
  <c r="AQ344" i="8" s="1"/>
  <c r="G345" i="8" s="1"/>
  <c r="AP344" i="8" l="1"/>
  <c r="AG344" i="8"/>
  <c r="AH344" i="8" s="1"/>
  <c r="AN344" i="8" s="1"/>
  <c r="AR344" i="8" s="1"/>
  <c r="H345" i="8" s="1"/>
  <c r="F345" i="8" l="1"/>
  <c r="I345" i="8"/>
  <c r="AO344" i="8"/>
  <c r="O345" i="8" l="1"/>
  <c r="AS344" i="8"/>
  <c r="J345" i="8"/>
  <c r="N345" i="8" s="1"/>
  <c r="R345" i="8" l="1"/>
  <c r="K345" i="8"/>
  <c r="M345" i="8" s="1"/>
  <c r="L345" i="8" l="1"/>
  <c r="AI345" i="8"/>
  <c r="P345" i="8"/>
  <c r="Q345" i="8" s="1"/>
  <c r="X345" i="8"/>
  <c r="AU345" i="8" l="1"/>
  <c r="AJ345" i="8"/>
  <c r="S345" i="8"/>
  <c r="Z345" i="8"/>
  <c r="AB345" i="8" s="1"/>
  <c r="Y345" i="8"/>
  <c r="AA345" i="8" s="1"/>
  <c r="T345" i="8" l="1"/>
  <c r="V345" i="8" s="1"/>
  <c r="AT345" i="8" s="1"/>
  <c r="AC345" i="8"/>
  <c r="AK345" i="8"/>
  <c r="AD345" i="8" l="1"/>
  <c r="AE345" i="8" l="1"/>
  <c r="AL345" i="8"/>
  <c r="AF345" i="8" l="1"/>
  <c r="AM345" i="8" s="1"/>
  <c r="AQ345" i="8" s="1"/>
  <c r="G346" i="8" s="1"/>
  <c r="AP345" i="8"/>
  <c r="F346" i="8" s="1"/>
  <c r="AG345" i="8" l="1"/>
  <c r="AH345" i="8" s="1"/>
  <c r="AN345" i="8" s="1"/>
  <c r="AR345" i="8" s="1"/>
  <c r="H346" i="8" s="1"/>
  <c r="I346" i="8" l="1"/>
  <c r="AO345" i="8"/>
  <c r="AS345" i="8" l="1"/>
  <c r="O346" i="8"/>
  <c r="J346" i="8"/>
  <c r="N346" i="8" s="1"/>
  <c r="K346" i="8" l="1"/>
  <c r="M346" i="8" s="1"/>
  <c r="R346" i="8"/>
  <c r="AI346" i="8" l="1"/>
  <c r="P346" i="8"/>
  <c r="Q346" i="8" s="1"/>
  <c r="X346" i="8"/>
  <c r="L346" i="8"/>
  <c r="AJ346" i="8" l="1"/>
  <c r="S346" i="8"/>
  <c r="Z346" i="8"/>
  <c r="AB346" i="8" s="1"/>
  <c r="Y346" i="8"/>
  <c r="AA346" i="8" s="1"/>
  <c r="AU346" i="8"/>
  <c r="AK346" i="8" l="1"/>
  <c r="AC346" i="8"/>
  <c r="T346" i="8"/>
  <c r="V346" i="8" s="1"/>
  <c r="AT346" i="8" s="1"/>
  <c r="AD346" i="8" l="1"/>
  <c r="AL346" i="8" s="1"/>
  <c r="AP346" i="8" l="1"/>
  <c r="F347" i="8" s="1"/>
  <c r="AE346" i="8"/>
  <c r="AF346" i="8" l="1"/>
  <c r="AM346" i="8" s="1"/>
  <c r="AQ346" i="8"/>
  <c r="G347" i="8" s="1"/>
  <c r="AG346" i="8" l="1"/>
  <c r="AH346" i="8" s="1"/>
  <c r="AN346" i="8" s="1"/>
  <c r="AR346" i="8" s="1"/>
  <c r="H347" i="8" s="1"/>
  <c r="I347" i="8" l="1"/>
  <c r="J347" i="8" s="1"/>
  <c r="N347" i="8" s="1"/>
  <c r="AO346" i="8"/>
  <c r="R347" i="8"/>
  <c r="O347" i="8" l="1"/>
  <c r="AS346" i="8"/>
  <c r="K347" i="8"/>
  <c r="M347" i="8" s="1"/>
  <c r="P347" i="8" l="1"/>
  <c r="Q347" i="8" s="1"/>
  <c r="S347" i="8" s="1"/>
  <c r="X347" i="8"/>
  <c r="AI347" i="8"/>
  <c r="AJ347" i="8" s="1"/>
  <c r="L347" i="8"/>
  <c r="AU347" i="8"/>
  <c r="Y347" i="8"/>
  <c r="AA347" i="8" s="1"/>
  <c r="Z347" i="8"/>
  <c r="AB347" i="8" s="1"/>
  <c r="AK347" i="8" l="1"/>
  <c r="T347" i="8"/>
  <c r="V347" i="8" s="1"/>
  <c r="AC347" i="8"/>
  <c r="AT347" i="8" l="1"/>
  <c r="AD347" i="8"/>
  <c r="AE347" i="8" l="1"/>
  <c r="AL347" i="8"/>
  <c r="AF347" i="8"/>
  <c r="AM347" i="8" s="1"/>
  <c r="AQ347" i="8" s="1"/>
  <c r="G348" i="8" s="1"/>
  <c r="AP347" i="8" l="1"/>
  <c r="F348" i="8" s="1"/>
  <c r="AG347" i="8"/>
  <c r="AH347" i="8" s="1"/>
  <c r="AN347" i="8" s="1"/>
  <c r="AR347" i="8" s="1"/>
  <c r="H348" i="8" s="1"/>
  <c r="I348" i="8" l="1"/>
  <c r="AO347" i="8"/>
  <c r="O348" i="8" l="1"/>
  <c r="J348" i="8"/>
  <c r="N348" i="8" s="1"/>
  <c r="AS347" i="8"/>
  <c r="R348" i="8" l="1"/>
  <c r="K348" i="8"/>
  <c r="M348" i="8" s="1"/>
  <c r="X348" i="8" l="1"/>
  <c r="P348" i="8"/>
  <c r="Q348" i="8" s="1"/>
  <c r="AI348" i="8"/>
  <c r="L348" i="8"/>
  <c r="Z348" i="8" l="1"/>
  <c r="AB348" i="8" s="1"/>
  <c r="Y348" i="8"/>
  <c r="AA348" i="8" s="1"/>
  <c r="S348" i="8"/>
  <c r="AJ348" i="8"/>
  <c r="AU348" i="8"/>
  <c r="AC348" i="8"/>
  <c r="T348" i="8" l="1"/>
  <c r="V348" i="8" s="1"/>
  <c r="AK348" i="8"/>
  <c r="AD348" i="8"/>
  <c r="AT348" i="8" l="1"/>
  <c r="AE348" i="8"/>
  <c r="AL348" i="8"/>
  <c r="AF348" i="8" l="1"/>
  <c r="AM348" i="8" s="1"/>
  <c r="AQ348" i="8" s="1"/>
  <c r="G349" i="8" s="1"/>
  <c r="AP348" i="8"/>
  <c r="F349" i="8" s="1"/>
  <c r="AG348" i="8" l="1"/>
  <c r="AH348" i="8" s="1"/>
  <c r="AN348" i="8" s="1"/>
  <c r="AR348" i="8" s="1"/>
  <c r="H349" i="8" s="1"/>
  <c r="AO348" i="8" l="1"/>
  <c r="I349" i="8"/>
  <c r="J349" i="8" l="1"/>
  <c r="N349" i="8" s="1"/>
  <c r="AS348" i="8"/>
  <c r="O349" i="8"/>
  <c r="R349" i="8" l="1"/>
  <c r="K349" i="8"/>
  <c r="L349" i="8" l="1"/>
  <c r="M349" i="8"/>
  <c r="AU349" i="8" l="1"/>
  <c r="X349" i="8"/>
  <c r="P349" i="8"/>
  <c r="Q349" i="8" s="1"/>
  <c r="AI349" i="8"/>
  <c r="Z349" i="8" l="1"/>
  <c r="AB349" i="8" s="1"/>
  <c r="Y349" i="8"/>
  <c r="AA349" i="8" s="1"/>
  <c r="S349" i="8"/>
  <c r="AJ349" i="8"/>
  <c r="AC349" i="8" l="1"/>
  <c r="T349" i="8"/>
  <c r="V349" i="8" s="1"/>
  <c r="AK349" i="8"/>
  <c r="AD349" i="8" l="1"/>
  <c r="AT349" i="8"/>
  <c r="AL349" i="8" l="1"/>
  <c r="AE349" i="8"/>
  <c r="AP349" i="8" l="1"/>
  <c r="F350" i="8" s="1"/>
  <c r="AF349" i="8"/>
  <c r="AM349" i="8" s="1"/>
  <c r="AQ349" i="8" s="1"/>
  <c r="G350" i="8" s="1"/>
  <c r="AG349" i="8" l="1"/>
  <c r="AH349" i="8" s="1"/>
  <c r="AN349" i="8" s="1"/>
  <c r="AO349" i="8" l="1"/>
  <c r="AR349" i="8"/>
  <c r="H350" i="8" s="1"/>
  <c r="AS349" i="8" l="1"/>
  <c r="I350" i="8"/>
  <c r="J350" i="8" s="1"/>
  <c r="N350" i="8" s="1"/>
  <c r="O350" i="8" l="1"/>
  <c r="R350" i="8"/>
  <c r="K350" i="8"/>
  <c r="M350" i="8" s="1"/>
  <c r="P350" i="8" l="1"/>
  <c r="Q350" i="8" s="1"/>
  <c r="X350" i="8"/>
  <c r="AI350" i="8"/>
  <c r="L350" i="8"/>
  <c r="AU350" i="8" l="1"/>
  <c r="S350" i="8"/>
  <c r="Y350" i="8"/>
  <c r="AA350" i="8" s="1"/>
  <c r="Z350" i="8"/>
  <c r="AB350" i="8" s="1"/>
  <c r="AJ350" i="8"/>
  <c r="AK350" i="8"/>
  <c r="AC350" i="8" l="1"/>
  <c r="T350" i="8"/>
  <c r="V350" i="8" s="1"/>
  <c r="AT350" i="8" l="1"/>
  <c r="AD350" i="8"/>
  <c r="AE350" i="8"/>
  <c r="AL350" i="8" l="1"/>
  <c r="AF350" i="8"/>
  <c r="AM350" i="8" s="1"/>
  <c r="AQ350" i="8" s="1"/>
  <c r="G351" i="8" s="1"/>
  <c r="AP350" i="8" l="1"/>
  <c r="F351" i="8" s="1"/>
  <c r="AG350" i="8"/>
  <c r="AH350" i="8" s="1"/>
  <c r="AN350" i="8" s="1"/>
  <c r="AR350" i="8" l="1"/>
  <c r="H351" i="8" s="1"/>
  <c r="AO350" i="8"/>
  <c r="I351" i="8" l="1"/>
  <c r="AS350" i="8"/>
  <c r="J351" i="8" l="1"/>
  <c r="N351" i="8" s="1"/>
  <c r="O351" i="8"/>
  <c r="R351" i="8" l="1"/>
  <c r="K351" i="8"/>
  <c r="M351" i="8" s="1"/>
  <c r="AI351" i="8" l="1"/>
  <c r="P351" i="8"/>
  <c r="Q351" i="8" s="1"/>
  <c r="X351" i="8"/>
  <c r="L351" i="8"/>
  <c r="AJ351" i="8" l="1"/>
  <c r="S351" i="8"/>
  <c r="Z351" i="8"/>
  <c r="AB351" i="8" s="1"/>
  <c r="Y351" i="8"/>
  <c r="AA351" i="8" s="1"/>
  <c r="AU351" i="8"/>
  <c r="AC351" i="8" l="1"/>
  <c r="AK351" i="8"/>
  <c r="T351" i="8"/>
  <c r="V351" i="8" s="1"/>
  <c r="AD351" i="8" l="1"/>
  <c r="AT351" i="8"/>
  <c r="AE351" i="8" l="1"/>
  <c r="AL351" i="8"/>
  <c r="AF351" i="8" l="1"/>
  <c r="AM351" i="8" s="1"/>
  <c r="AQ351" i="8" s="1"/>
  <c r="G352" i="8" s="1"/>
  <c r="AP351" i="8"/>
  <c r="F352" i="8" s="1"/>
  <c r="AG351" i="8" l="1"/>
  <c r="AH351" i="8" s="1"/>
  <c r="AN351" i="8" s="1"/>
  <c r="AR351" i="8" s="1"/>
  <c r="H352" i="8" s="1"/>
  <c r="I352" i="8" l="1"/>
  <c r="AO351" i="8"/>
  <c r="J352" i="8" l="1"/>
  <c r="N352" i="8" s="1"/>
  <c r="AS351" i="8"/>
  <c r="O352" i="8"/>
  <c r="R352" i="8" l="1"/>
  <c r="K352" i="8"/>
  <c r="M352" i="8" s="1"/>
  <c r="X352" i="8" l="1"/>
  <c r="L352" i="8"/>
  <c r="P352" i="8"/>
  <c r="Q352" i="8" s="1"/>
  <c r="AI352" i="8"/>
  <c r="AJ352" i="8"/>
  <c r="Y352" i="8" l="1"/>
  <c r="AA352" i="8" s="1"/>
  <c r="AU352" i="8"/>
  <c r="Z352" i="8"/>
  <c r="AB352" i="8" s="1"/>
  <c r="S352" i="8"/>
  <c r="AK352" i="8"/>
  <c r="T352" i="8"/>
  <c r="V352" i="8" s="1"/>
  <c r="AT352" i="8" s="1"/>
  <c r="AC352" i="8" l="1"/>
  <c r="AD352" i="8" l="1"/>
  <c r="AE352" i="8" l="1"/>
  <c r="AL352" i="8"/>
  <c r="AF352" i="8" l="1"/>
  <c r="AM352" i="8" s="1"/>
  <c r="AQ352" i="8" s="1"/>
  <c r="G353" i="8" s="1"/>
  <c r="AP352" i="8"/>
  <c r="F353" i="8" s="1"/>
  <c r="AG352" i="8" l="1"/>
  <c r="AH352" i="8" s="1"/>
  <c r="AN352" i="8" s="1"/>
  <c r="AR352" i="8" s="1"/>
  <c r="H353" i="8" s="1"/>
  <c r="I353" i="8" l="1"/>
  <c r="AO352" i="8"/>
  <c r="O353" i="8"/>
  <c r="J353" i="8"/>
  <c r="N353" i="8" s="1"/>
  <c r="AS352" i="8" l="1"/>
  <c r="R353" i="8"/>
  <c r="K353" i="8"/>
  <c r="M353" i="8" s="1"/>
  <c r="X353" i="8" l="1"/>
  <c r="P353" i="8"/>
  <c r="Q353" i="8" s="1"/>
  <c r="AI353" i="8"/>
  <c r="L353" i="8"/>
  <c r="AU353" i="8" l="1"/>
  <c r="AJ353" i="8"/>
  <c r="S353" i="8"/>
  <c r="Z353" i="8"/>
  <c r="AB353" i="8" s="1"/>
  <c r="Y353" i="8"/>
  <c r="AA353" i="8" s="1"/>
  <c r="AK353" i="8" l="1"/>
  <c r="T353" i="8"/>
  <c r="V353" i="8" s="1"/>
  <c r="AC353" i="8"/>
  <c r="AD353" i="8" s="1"/>
  <c r="AT353" i="8" l="1"/>
  <c r="AL353" i="8"/>
  <c r="AE353" i="8"/>
  <c r="AF353" i="8" s="1"/>
  <c r="AM353" i="8" s="1"/>
  <c r="AQ353" i="8" s="1"/>
  <c r="G354" i="8" s="1"/>
  <c r="AP353" i="8" l="1"/>
  <c r="F354" i="8" s="1"/>
  <c r="AG353" i="8"/>
  <c r="AH353" i="8" s="1"/>
  <c r="AN353" i="8" s="1"/>
  <c r="AO353" i="8" l="1"/>
  <c r="AR353" i="8"/>
  <c r="H354" i="8" s="1"/>
  <c r="AS353" i="8" l="1"/>
  <c r="I354" i="8"/>
  <c r="O354" i="8" l="1"/>
  <c r="J354" i="8"/>
  <c r="N354" i="8" s="1"/>
  <c r="K354" i="8" l="1"/>
  <c r="M354" i="8" s="1"/>
  <c r="R354" i="8"/>
  <c r="AI354" i="8" l="1"/>
  <c r="P354" i="8"/>
  <c r="Q354" i="8" s="1"/>
  <c r="X354" i="8"/>
  <c r="L354" i="8"/>
  <c r="Z354" i="8" l="1"/>
  <c r="AB354" i="8" s="1"/>
  <c r="AU354" i="8"/>
  <c r="Y354" i="8"/>
  <c r="AA354" i="8" s="1"/>
  <c r="AJ354" i="8"/>
  <c r="S354" i="8"/>
  <c r="AC354" i="8" l="1"/>
  <c r="T354" i="8"/>
  <c r="V354" i="8" s="1"/>
  <c r="AT354" i="8" s="1"/>
  <c r="AK354" i="8"/>
  <c r="AD354" i="8" l="1"/>
  <c r="AE354" i="8" l="1"/>
  <c r="AL354" i="8"/>
  <c r="AF354" i="8"/>
  <c r="AM354" i="8" s="1"/>
  <c r="AQ354" i="8" s="1"/>
  <c r="G355" i="8" s="1"/>
  <c r="AP354" i="8" l="1"/>
  <c r="F355" i="8" s="1"/>
  <c r="AG354" i="8"/>
  <c r="AH354" i="8" s="1"/>
  <c r="AN354" i="8" s="1"/>
  <c r="AR354" i="8" s="1"/>
  <c r="H355" i="8" s="1"/>
  <c r="I355" i="8" l="1"/>
  <c r="AO354" i="8"/>
  <c r="AS354" i="8" l="1"/>
  <c r="J355" i="8"/>
  <c r="N355" i="8" s="1"/>
  <c r="O355" i="8"/>
  <c r="K355" i="8" l="1"/>
  <c r="M355" i="8" s="1"/>
  <c r="R355" i="8"/>
  <c r="AI355" i="8" l="1"/>
  <c r="P355" i="8"/>
  <c r="Q355" i="8" s="1"/>
  <c r="X355" i="8"/>
  <c r="L355" i="8"/>
  <c r="AJ355" i="8" l="1"/>
  <c r="S355" i="8"/>
  <c r="Z355" i="8"/>
  <c r="AB355" i="8" s="1"/>
  <c r="Y355" i="8"/>
  <c r="AA355" i="8" s="1"/>
  <c r="AU355" i="8"/>
  <c r="T355" i="8" l="1"/>
  <c r="V355" i="8" s="1"/>
  <c r="AK355" i="8"/>
  <c r="AC355" i="8"/>
  <c r="AD355" i="8" l="1"/>
  <c r="AT355" i="8"/>
  <c r="AL355" i="8" l="1"/>
  <c r="AE355" i="8"/>
  <c r="AF355" i="8" l="1"/>
  <c r="AM355" i="8" s="1"/>
  <c r="AQ355" i="8" s="1"/>
  <c r="G356" i="8" s="1"/>
  <c r="AP355" i="8"/>
  <c r="F356" i="8" s="1"/>
  <c r="AG355" i="8" l="1"/>
  <c r="AH355" i="8" s="1"/>
  <c r="AN355" i="8" s="1"/>
  <c r="AR355" i="8" s="1"/>
  <c r="H356" i="8" s="1"/>
  <c r="I356" i="8" l="1"/>
  <c r="AO355" i="8"/>
  <c r="AS355" i="8"/>
  <c r="O356" i="8"/>
  <c r="J356" i="8"/>
  <c r="N356" i="8" s="1"/>
  <c r="K356" i="8" l="1"/>
  <c r="M356" i="8" s="1"/>
  <c r="R356" i="8"/>
  <c r="P356" i="8" l="1"/>
  <c r="Q356" i="8" s="1"/>
  <c r="X356" i="8"/>
  <c r="AI356" i="8"/>
  <c r="L356" i="8"/>
  <c r="S356" i="8" l="1"/>
  <c r="Z356" i="8"/>
  <c r="AB356" i="8" s="1"/>
  <c r="Y356" i="8"/>
  <c r="AA356" i="8" s="1"/>
  <c r="AJ356" i="8"/>
  <c r="AU356" i="8"/>
  <c r="AC356" i="8" l="1"/>
  <c r="T356" i="8"/>
  <c r="V356" i="8" s="1"/>
  <c r="AK356" i="8"/>
  <c r="AT356" i="8" l="1"/>
  <c r="AD356" i="8"/>
  <c r="AE356" i="8" l="1"/>
  <c r="AL356" i="8"/>
  <c r="AF356" i="8"/>
  <c r="AM356" i="8" s="1"/>
  <c r="AQ356" i="8" s="1"/>
  <c r="G357" i="8" s="1"/>
  <c r="AP356" i="8" l="1"/>
  <c r="F357" i="8" s="1"/>
  <c r="AG356" i="8"/>
  <c r="AH356" i="8" s="1"/>
  <c r="AN356" i="8" s="1"/>
  <c r="AR356" i="8" s="1"/>
  <c r="H357" i="8" s="1"/>
  <c r="I357" i="8" l="1"/>
  <c r="AO356" i="8"/>
  <c r="AS356" i="8" l="1"/>
  <c r="O357" i="8"/>
  <c r="J357" i="8"/>
  <c r="N357" i="8" s="1"/>
  <c r="K357" i="8" l="1"/>
  <c r="M357" i="8" s="1"/>
  <c r="R357" i="8"/>
  <c r="X357" i="8" l="1"/>
  <c r="AI357" i="8"/>
  <c r="P357" i="8"/>
  <c r="Q357" i="8" s="1"/>
  <c r="L357" i="8"/>
  <c r="AJ357" i="8" l="1"/>
  <c r="S357" i="8"/>
  <c r="Z357" i="8"/>
  <c r="AB357" i="8" s="1"/>
  <c r="Y357" i="8"/>
  <c r="AA357" i="8" s="1"/>
  <c r="AU357" i="8"/>
  <c r="AK357" i="8" l="1"/>
  <c r="AC357" i="8"/>
  <c r="T357" i="8"/>
  <c r="V357" i="8" s="1"/>
  <c r="AT357" i="8" l="1"/>
  <c r="AD357" i="8"/>
  <c r="AE357" i="8" l="1"/>
  <c r="AL357" i="8"/>
  <c r="AF357" i="8" l="1"/>
  <c r="AM357" i="8" s="1"/>
  <c r="AQ357" i="8" s="1"/>
  <c r="G358" i="8" s="1"/>
  <c r="AP357" i="8"/>
  <c r="F358" i="8" s="1"/>
  <c r="AG357" i="8" l="1"/>
  <c r="AH357" i="8" s="1"/>
  <c r="AN357" i="8" s="1"/>
  <c r="AR357" i="8" s="1"/>
  <c r="H358" i="8" s="1"/>
  <c r="I358" i="8" l="1"/>
  <c r="AO357" i="8"/>
  <c r="AS357" i="8"/>
  <c r="O358" i="8" l="1"/>
  <c r="J358" i="8"/>
  <c r="N358" i="8" s="1"/>
  <c r="K358" i="8"/>
  <c r="M358" i="8" s="1"/>
  <c r="R358" i="8"/>
  <c r="AI358" i="8" l="1"/>
  <c r="X358" i="8"/>
  <c r="P358" i="8"/>
  <c r="Q358" i="8" s="1"/>
  <c r="L358" i="8"/>
  <c r="AJ358" i="8" l="1"/>
  <c r="Z358" i="8"/>
  <c r="AB358" i="8" s="1"/>
  <c r="Y358" i="8"/>
  <c r="AA358" i="8" s="1"/>
  <c r="AU358" i="8"/>
  <c r="S358" i="8"/>
  <c r="AC358" i="8" l="1"/>
  <c r="AK358" i="8"/>
  <c r="T358" i="8"/>
  <c r="V358" i="8" s="1"/>
  <c r="AT358" i="8" s="1"/>
  <c r="AD358" i="8" l="1"/>
  <c r="AE358" i="8" l="1"/>
  <c r="AL358" i="8"/>
  <c r="AF358" i="8" l="1"/>
  <c r="AM358" i="8" s="1"/>
  <c r="AQ358" i="8" s="1"/>
  <c r="G359" i="8" s="1"/>
  <c r="AP358" i="8"/>
  <c r="F359" i="8" s="1"/>
  <c r="AG358" i="8" l="1"/>
  <c r="AH358" i="8" s="1"/>
  <c r="AN358" i="8" s="1"/>
  <c r="AO358" i="8" l="1"/>
  <c r="AR358" i="8"/>
  <c r="H359" i="8" s="1"/>
  <c r="AS358" i="8" l="1"/>
  <c r="I359" i="8"/>
  <c r="O359" i="8"/>
  <c r="J359" i="8" l="1"/>
  <c r="N359" i="8" s="1"/>
  <c r="R359" i="8" l="1"/>
  <c r="K359" i="8"/>
  <c r="M359" i="8" s="1"/>
  <c r="L359" i="8" l="1"/>
  <c r="X359" i="8"/>
  <c r="P359" i="8"/>
  <c r="Q359" i="8" s="1"/>
  <c r="AI359" i="8"/>
  <c r="AU359" i="8" l="1"/>
  <c r="Y359" i="8"/>
  <c r="AA359" i="8" s="1"/>
  <c r="Z359" i="8"/>
  <c r="AB359" i="8" s="1"/>
  <c r="AJ359" i="8"/>
  <c r="S359" i="8"/>
  <c r="AC359" i="8" l="1"/>
  <c r="AK359" i="8"/>
  <c r="T359" i="8"/>
  <c r="V359" i="8" s="1"/>
  <c r="AD359" i="8" l="1"/>
  <c r="AT359" i="8"/>
  <c r="AE359" i="8" l="1"/>
  <c r="AL359" i="8"/>
  <c r="AF359" i="8" l="1"/>
  <c r="AM359" i="8" s="1"/>
  <c r="AQ359" i="8" s="1"/>
  <c r="G360" i="8" s="1"/>
  <c r="AP359" i="8"/>
  <c r="F360" i="8" s="1"/>
  <c r="AG359" i="8" l="1"/>
  <c r="AH359" i="8" s="1"/>
  <c r="AN359" i="8" s="1"/>
  <c r="AR359" i="8" s="1"/>
  <c r="H360" i="8" s="1"/>
  <c r="I360" i="8" l="1"/>
  <c r="AO359" i="8"/>
  <c r="J360" i="8" l="1"/>
  <c r="N360" i="8" s="1"/>
  <c r="O360" i="8"/>
  <c r="AS359" i="8"/>
  <c r="R360" i="8" l="1"/>
  <c r="K360" i="8"/>
  <c r="M360" i="8" s="1"/>
  <c r="X360" i="8" l="1"/>
  <c r="L360" i="8"/>
  <c r="P360" i="8"/>
  <c r="Q360" i="8" s="1"/>
  <c r="AI360" i="8"/>
  <c r="AU360" i="8" l="1"/>
  <c r="Z360" i="8"/>
  <c r="AB360" i="8" s="1"/>
  <c r="Y360" i="8"/>
  <c r="AA360" i="8" s="1"/>
  <c r="AJ360" i="8"/>
  <c r="S360" i="8"/>
  <c r="AC360" i="8" l="1"/>
  <c r="AK360" i="8"/>
  <c r="T360" i="8"/>
  <c r="V360" i="8" s="1"/>
  <c r="AD360" i="8" l="1"/>
  <c r="AT360" i="8"/>
  <c r="AE360" i="8"/>
  <c r="AL360" i="8"/>
  <c r="AF360" i="8" l="1"/>
  <c r="AM360" i="8" s="1"/>
  <c r="AQ360" i="8" s="1"/>
  <c r="G361" i="8" s="1"/>
  <c r="AP360" i="8"/>
  <c r="F361" i="8" s="1"/>
  <c r="AG360" i="8"/>
  <c r="AH360" i="8" s="1"/>
  <c r="AN360" i="8" s="1"/>
  <c r="AR360" i="8" s="1"/>
  <c r="H361" i="8" s="1"/>
  <c r="AO360" i="8" l="1"/>
  <c r="AS360" i="8" s="1"/>
  <c r="I361" i="8"/>
  <c r="O361" i="8" l="1"/>
  <c r="J361" i="8"/>
  <c r="N361" i="8" s="1"/>
  <c r="R361" i="8" l="1"/>
  <c r="K361" i="8"/>
  <c r="M361" i="8" l="1"/>
  <c r="L361" i="8"/>
  <c r="AU361" i="8" l="1"/>
  <c r="B4" i="9" s="1"/>
  <c r="C4" i="9" s="1"/>
  <c r="X361" i="8"/>
  <c r="P361" i="8"/>
  <c r="Q361" i="8" s="1"/>
  <c r="AI361" i="8"/>
  <c r="Z361" i="8" l="1"/>
  <c r="AB361" i="8" s="1"/>
  <c r="Y361" i="8"/>
  <c r="AA361" i="8" s="1"/>
  <c r="S361" i="8"/>
  <c r="AJ361" i="8"/>
  <c r="AK361" i="8" l="1"/>
  <c r="AC361" i="8"/>
  <c r="T361" i="8"/>
  <c r="V361" i="8" s="1"/>
  <c r="AT361" i="8" l="1"/>
  <c r="B3" i="9" s="1"/>
  <c r="C3" i="9" s="1"/>
  <c r="AD361" i="8"/>
  <c r="AE361" i="8" l="1"/>
  <c r="AL361" i="8"/>
  <c r="AF361" i="8" l="1"/>
  <c r="AM361" i="8" s="1"/>
  <c r="AQ361" i="8" s="1"/>
  <c r="B12" i="6" s="1"/>
  <c r="AP361" i="8"/>
  <c r="AG361" i="8" l="1"/>
  <c r="AH361" i="8" s="1"/>
  <c r="AN361" i="8" s="1"/>
  <c r="AR361" i="8" s="1"/>
  <c r="B11" i="6"/>
  <c r="B6" i="9"/>
  <c r="C6" i="9" s="1"/>
  <c r="AO361" i="8" l="1"/>
  <c r="AS361" i="8" s="1"/>
  <c r="B2" i="9" s="1"/>
  <c r="C2" i="9" s="1"/>
</calcChain>
</file>

<file path=xl/sharedStrings.xml><?xml version="1.0" encoding="utf-8"?>
<sst xmlns="http://schemas.openxmlformats.org/spreadsheetml/2006/main" count="245" uniqueCount="183">
  <si>
    <t>RMBS Interview Model Inputs</t>
  </si>
  <si>
    <t>Initial Pool Balance</t>
  </si>
  <si>
    <t>Loan Count</t>
  </si>
  <si>
    <t>Balance Per Loan</t>
  </si>
  <si>
    <t>WAC (annual)</t>
  </si>
  <si>
    <t>Remaining Term (months)</t>
  </si>
  <si>
    <t>Servicing/Admin Fee (annual)</t>
  </si>
  <si>
    <t>Class A Share</t>
  </si>
  <si>
    <t>Class B Share</t>
  </si>
  <si>
    <t>Equity Share</t>
  </si>
  <si>
    <t>Active Scenario</t>
  </si>
  <si>
    <t>Base</t>
  </si>
  <si>
    <t>CPR (annual, active scenario)</t>
  </si>
  <si>
    <t>CDR (annual, active scenario)</t>
  </si>
  <si>
    <t>Severity (active scenario)</t>
  </si>
  <si>
    <t>SMM (monthly)</t>
  </si>
  <si>
    <t>MDR (monthly)</t>
  </si>
  <si>
    <t>V2 Trigger Loss Threshold</t>
  </si>
  <si>
    <t>V2 Trigger DQ Threshold</t>
  </si>
  <si>
    <t>V2 Initial DQ30 Share</t>
  </si>
  <si>
    <t>V2 Initial DQ60 Share</t>
  </si>
  <si>
    <t>V2 Roll to 30 (annual)</t>
  </si>
  <si>
    <t>V2 Default from 60 (annual)</t>
  </si>
  <si>
    <t>V2 Cure30 (monthly)</t>
  </si>
  <si>
    <t>V2 Roll30-&gt;60 (monthly)</t>
  </si>
  <si>
    <t>V2 Cure60 (monthly)</t>
  </si>
  <si>
    <t>V2 SMM (monthly)</t>
  </si>
  <si>
    <t>V2 RollTo30 MDR (monthly)</t>
  </si>
  <si>
    <t>V2 Default60 MDR (monthly)</t>
  </si>
  <si>
    <t>V2 Severity (active scenario)</t>
  </si>
  <si>
    <t>Notes</t>
  </si>
  <si>
    <t>All downstream formulas should reference these inputs.</t>
  </si>
  <si>
    <t>Change B12 to Base, Mild_Stress, or Severe_Stress.</t>
  </si>
  <si>
    <t>Month</t>
  </si>
  <si>
    <t>Begin_Balance</t>
  </si>
  <si>
    <t>Scheduled_Payment</t>
  </si>
  <si>
    <t>Interest</t>
  </si>
  <si>
    <t>Scheduled_Principal</t>
  </si>
  <si>
    <t>Prepayment</t>
  </si>
  <si>
    <t>Default</t>
  </si>
  <si>
    <t>Loss</t>
  </si>
  <si>
    <t>Total_Principal_Outflow</t>
  </si>
  <si>
    <t>End_Balance</t>
  </si>
  <si>
    <t>Fee</t>
  </si>
  <si>
    <t>Interest_Available</t>
  </si>
  <si>
    <t>Principal_Available</t>
  </si>
  <si>
    <t>Pool_Interest_Available</t>
  </si>
  <si>
    <t>Pool_Principal_Available</t>
  </si>
  <si>
    <t>Pool_Loss</t>
  </si>
  <si>
    <t>A_Begin</t>
  </si>
  <si>
    <t>B_Begin</t>
  </si>
  <si>
    <t>E_Begin</t>
  </si>
  <si>
    <t>Loss_to_E</t>
  </si>
  <si>
    <t>Loss_to_B</t>
  </si>
  <si>
    <t>Loss_to_A</t>
  </si>
  <si>
    <t>A_After_Loss</t>
  </si>
  <si>
    <t>B_After_Loss</t>
  </si>
  <si>
    <t>E_After_Loss</t>
  </si>
  <si>
    <t>A_Int_Due</t>
  </si>
  <si>
    <t>A_Int_Paid</t>
  </si>
  <si>
    <t>A_Int_Shortfall</t>
  </si>
  <si>
    <t>B_Int_Due</t>
  </si>
  <si>
    <t>B_Int_Paid</t>
  </si>
  <si>
    <t>B_Int_Shortfall</t>
  </si>
  <si>
    <t>E_Residual_Int</t>
  </si>
  <si>
    <t>A_Principal_Paid</t>
  </si>
  <si>
    <t>B_Principal_Paid</t>
  </si>
  <si>
    <t>E_Principal_Paid</t>
  </si>
  <si>
    <t>A_End</t>
  </si>
  <si>
    <t>B_End</t>
  </si>
  <si>
    <t>E_End</t>
  </si>
  <si>
    <t>Principal_Diff</t>
  </si>
  <si>
    <t>Interest_Diff</t>
  </si>
  <si>
    <t>Loss_Diff</t>
  </si>
  <si>
    <t>Scenario</t>
  </si>
  <si>
    <t>CPR_Annual</t>
  </si>
  <si>
    <t>CDR_Annual</t>
  </si>
  <si>
    <t>Severity</t>
  </si>
  <si>
    <t>Mild_Stress</t>
  </si>
  <si>
    <t>Severe_Stress</t>
  </si>
  <si>
    <t>Active scenario output</t>
  </si>
  <si>
    <t>Cumulative Loss</t>
  </si>
  <si>
    <t>Final Class A Balance</t>
  </si>
  <si>
    <t>Final Class B Balance</t>
  </si>
  <si>
    <t>Final Equity Balance</t>
  </si>
  <si>
    <t>First Month Class A = 0</t>
  </si>
  <si>
    <t>Check</t>
  </si>
  <si>
    <t>Metric</t>
  </si>
  <si>
    <t>Status</t>
  </si>
  <si>
    <t>Target</t>
  </si>
  <si>
    <t>Principal allocation closes</t>
  </si>
  <si>
    <t>&lt;= 0.01</t>
  </si>
  <si>
    <t>Interest allocation closes</t>
  </si>
  <si>
    <t>Loss allocation closes</t>
  </si>
  <si>
    <t>No negative balances</t>
  </si>
  <si>
    <t>&gt;= -0.01</t>
  </si>
  <si>
    <t>Scenario ordering (stress increases credit loss params)</t>
  </si>
  <si>
    <t>1</t>
  </si>
  <si>
    <t>How to use</t>
  </si>
  <si>
    <t>1) Choose scenario in Inputs!B12.</t>
  </si>
  <si>
    <t>2) Recalculate workbook.</t>
  </si>
  <si>
    <t>3) Review this tab and Scenarios tab outputs.</t>
  </si>
  <si>
    <t>RollTo30_Annual</t>
  </si>
  <si>
    <t>DefaultFrom60_Annual</t>
  </si>
  <si>
    <t>Cure30_Monthly</t>
  </si>
  <si>
    <t>Roll30To60_Monthly</t>
  </si>
  <si>
    <t>Cure60_Monthly</t>
  </si>
  <si>
    <t>Cumulative Loss (V2)</t>
  </si>
  <si>
    <t>Max DQ Ratio (of initial)</t>
  </si>
  <si>
    <t>First Trigger Month</t>
  </si>
  <si>
    <t>Trigger_On</t>
  </si>
  <si>
    <t>Pool_Begin</t>
  </si>
  <si>
    <t>Current_Begin</t>
  </si>
  <si>
    <t>DQ30_Begin</t>
  </si>
  <si>
    <t>DQ60_Begin</t>
  </si>
  <si>
    <t>Remaining_Term</t>
  </si>
  <si>
    <t>Sched_Payment</t>
  </si>
  <si>
    <t>Sched_Principal</t>
  </si>
  <si>
    <t>Prepay</t>
  </si>
  <si>
    <t>Roll_to_30</t>
  </si>
  <si>
    <t>Cure30</t>
  </si>
  <si>
    <t>Roll30_to_60</t>
  </si>
  <si>
    <t>Cure60</t>
  </si>
  <si>
    <t>Principal_From_Pool</t>
  </si>
  <si>
    <t>Current_End</t>
  </si>
  <si>
    <t>DQ30_End</t>
  </si>
  <si>
    <t>DQ60_End</t>
  </si>
  <si>
    <t>Pool_End</t>
  </si>
  <si>
    <t>Cum_Loss</t>
  </si>
  <si>
    <t>DQ_Ratio_Init</t>
  </si>
  <si>
    <t>Trigger_Event</t>
  </si>
  <si>
    <t>Pool_Roll_Diff</t>
  </si>
  <si>
    <t>Unalloc_Loss</t>
  </si>
  <si>
    <t>Residual_Interest</t>
  </si>
  <si>
    <t>Trapped_Interest</t>
  </si>
  <si>
    <t>AB_Total</t>
  </si>
  <si>
    <t>A_Target_ProRata</t>
  </si>
  <si>
    <t>B_Target_ProRata</t>
  </si>
  <si>
    <t>A_Prin_ProRata</t>
  </si>
  <si>
    <t>B_Prin_ProRata</t>
  </si>
  <si>
    <t>Rem_After_ProRata</t>
  </si>
  <si>
    <t>Extra_A</t>
  </si>
  <si>
    <t>Rem_After_ExtraA</t>
  </si>
  <si>
    <t>Extra_B</t>
  </si>
  <si>
    <t>Rem_After_ExtraB</t>
  </si>
  <si>
    <t>E_Prin_ProRata</t>
  </si>
  <si>
    <t>A_Prin_Seq</t>
  </si>
  <si>
    <t>B_Prin_Seq</t>
  </si>
  <si>
    <t>E_Prin_Seq</t>
  </si>
  <si>
    <t>Unalloc_Principal</t>
  </si>
  <si>
    <t>Principal allocation closes (V2)</t>
  </si>
  <si>
    <t>Interest allocation closes (V2)</t>
  </si>
  <si>
    <t>Loss allocation closes (V2)</t>
  </si>
  <si>
    <t>Pool roll-forward closes (V2)</t>
  </si>
  <si>
    <t>No negative balances (V2)</t>
  </si>
  <si>
    <t>Trigger persistence (no 1-&gt;0)</t>
  </si>
  <si>
    <t>0</t>
  </si>
  <si>
    <t>Trigger event consistency</t>
  </si>
  <si>
    <t>Stress parameter ordering (V2)</t>
  </si>
  <si>
    <t>How to use (V2)</t>
  </si>
  <si>
    <t>1) Select scenario in Inputs!B12.</t>
  </si>
  <si>
    <t>3) Review Checks_V2 and Scenarios_V2 outputs.</t>
  </si>
  <si>
    <t>scenario</t>
  </si>
  <si>
    <t>month</t>
  </si>
  <si>
    <t>pool_begin</t>
  </si>
  <si>
    <t>pool_end</t>
  </si>
  <si>
    <t>interest_available</t>
  </si>
  <si>
    <t>principal_available</t>
  </si>
  <si>
    <t>loss</t>
  </si>
  <si>
    <t>a_end</t>
  </si>
  <si>
    <t>b_end</t>
  </si>
  <si>
    <t>e_end</t>
  </si>
  <si>
    <t>principal_diff</t>
  </si>
  <si>
    <t>interest_diff</t>
  </si>
  <si>
    <t>loss_diff</t>
  </si>
  <si>
    <t>Export Instructions</t>
  </si>
  <si>
    <t>1) Recalculate workbook in Excel.</t>
  </si>
  <si>
    <t>2) Keep one active scenario in Inputs!B12.</t>
  </si>
  <si>
    <t>3) Save CompareExport sheet as CSV.</t>
  </si>
  <si>
    <t>4) Run model/compare_excel_python.py with that CSV.</t>
  </si>
  <si>
    <t>Section 1: Pool structure</t>
  </si>
  <si>
    <t>Section 2: V1 scenario</t>
  </si>
  <si>
    <t>Section 3: V2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</si>
</sst>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0" xfId="0" applyFont="1" applyFill="1"/>
    <xf numFmtId="0" fontId="0" fillId="0" borderId="0" xfId="0" applyFont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zoomScale="142" workbookViewId="0">
      <pane ySplit="1" topLeftCell="A7" activePane="bottomLeft" state="frozen"/>
      <selection pane="bottomLeft" activeCell="G31" sqref="G31"/>
    </sheetView>
  </sheetViews>
  <sheetFormatPr baseColWidth="10" defaultColWidth="8.83203125" defaultRowHeight="15" x14ac:dyDescent="0.2"/>
  <cols>
    <col min="1" max="1" width="44.33203125" bestFit="1" customWidth="1"/>
    <col min="2" max="2" width="18" customWidth="1"/>
  </cols>
  <sheetData>
    <row r="1" spans="1:2" x14ac:dyDescent="0.2">
      <c r="A1" s="1" t="s">
        <v>0</v>
      </c>
    </row>
    <row r="2" spans="1:2" x14ac:dyDescent="0.2">
      <c r="A2" s="14" t="s">
        <v>180</v>
      </c>
    </row>
    <row r="3" spans="1:2" x14ac:dyDescent="0.2">
      <c r="A3" s="2" t="s">
        <v>1</v>
      </c>
      <c r="B3" s="3">
        <f>B4*B5</f>
        <v>300000000</v>
      </c>
    </row>
    <row r="4" spans="1:2" x14ac:dyDescent="0.2">
      <c r="A4" s="4" t="s">
        <v>2</v>
      </c>
      <c r="B4" s="5">
        <v>1000</v>
      </c>
    </row>
    <row r="5" spans="1:2" x14ac:dyDescent="0.2">
      <c r="A5" s="4" t="s">
        <v>3</v>
      </c>
      <c r="B5" s="5">
        <v>300000</v>
      </c>
    </row>
    <row r="6" spans="1:2" x14ac:dyDescent="0.2">
      <c r="A6" s="4" t="s">
        <v>4</v>
      </c>
      <c r="B6" s="5">
        <v>5.7500000000000002E-2</v>
      </c>
    </row>
    <row r="7" spans="1:2" x14ac:dyDescent="0.2">
      <c r="A7" s="4" t="s">
        <v>5</v>
      </c>
      <c r="B7" s="5">
        <v>300</v>
      </c>
    </row>
    <row r="8" spans="1:2" x14ac:dyDescent="0.2">
      <c r="A8" s="4" t="s">
        <v>6</v>
      </c>
      <c r="B8" s="5">
        <v>5.0000000000000001E-3</v>
      </c>
    </row>
    <row r="9" spans="1:2" x14ac:dyDescent="0.2">
      <c r="A9" s="4" t="s">
        <v>7</v>
      </c>
      <c r="B9" s="5">
        <v>0.8</v>
      </c>
    </row>
    <row r="10" spans="1:2" x14ac:dyDescent="0.2">
      <c r="A10" s="4" t="s">
        <v>8</v>
      </c>
      <c r="B10" s="5">
        <v>0.15</v>
      </c>
    </row>
    <row r="11" spans="1:2" x14ac:dyDescent="0.2">
      <c r="A11" s="6" t="s">
        <v>9</v>
      </c>
      <c r="B11" s="7">
        <v>0.05</v>
      </c>
    </row>
    <row r="12" spans="1:2" x14ac:dyDescent="0.2">
      <c r="A12" s="15"/>
      <c r="B12" s="15"/>
    </row>
    <row r="13" spans="1:2" x14ac:dyDescent="0.2">
      <c r="A13" s="16" t="s">
        <v>181</v>
      </c>
    </row>
    <row r="14" spans="1:2" x14ac:dyDescent="0.2">
      <c r="A14" s="8" t="s">
        <v>10</v>
      </c>
      <c r="B14" s="9" t="s">
        <v>11</v>
      </c>
    </row>
    <row r="15" spans="1:2" x14ac:dyDescent="0.2">
      <c r="A15" s="10" t="s">
        <v>12</v>
      </c>
      <c r="B15" s="11">
        <f>INDEX(Scenarios!B2:B4,MATCH(B14,Scenarios!A2:A4,0))</f>
        <v>0.08</v>
      </c>
    </row>
    <row r="16" spans="1:2" x14ac:dyDescent="0.2">
      <c r="A16" s="10" t="s">
        <v>13</v>
      </c>
      <c r="B16" s="11">
        <f>INDEX(Scenarios!C2:C4,MATCH(B14,Scenarios!A2:A4,0))</f>
        <v>1.4999999999999999E-2</v>
      </c>
    </row>
    <row r="17" spans="1:2" x14ac:dyDescent="0.2">
      <c r="A17" s="10" t="s">
        <v>14</v>
      </c>
      <c r="B17" s="11">
        <f>INDEX(Scenarios!D2:D4,MATCH(B14,Scenarios!A2:A4,0))</f>
        <v>0.25</v>
      </c>
    </row>
    <row r="18" spans="1:2" x14ac:dyDescent="0.2">
      <c r="A18" s="10" t="s">
        <v>15</v>
      </c>
      <c r="B18" s="11">
        <f>1-(1-B15)^(1/12)</f>
        <v>6.9243826282994192E-3</v>
      </c>
    </row>
    <row r="19" spans="1:2" x14ac:dyDescent="0.2">
      <c r="A19" s="12" t="s">
        <v>16</v>
      </c>
      <c r="B19" s="13">
        <f>1-(1-B16)^(1/12)</f>
        <v>1.2586770182638762E-3</v>
      </c>
    </row>
    <row r="22" spans="1:2" x14ac:dyDescent="0.2">
      <c r="A22" s="14" t="s">
        <v>182</v>
      </c>
    </row>
    <row r="23" spans="1:2" x14ac:dyDescent="0.2">
      <c r="A23" s="8" t="s">
        <v>17</v>
      </c>
      <c r="B23" s="9">
        <v>0.03</v>
      </c>
    </row>
    <row r="24" spans="1:2" x14ac:dyDescent="0.2">
      <c r="A24" s="10" t="s">
        <v>18</v>
      </c>
      <c r="B24" s="11">
        <v>0.06</v>
      </c>
    </row>
    <row r="25" spans="1:2" x14ac:dyDescent="0.2">
      <c r="A25" s="10" t="s">
        <v>19</v>
      </c>
      <c r="B25" s="11">
        <v>0.01</v>
      </c>
    </row>
    <row r="26" spans="1:2" x14ac:dyDescent="0.2">
      <c r="A26" s="10" t="s">
        <v>20</v>
      </c>
      <c r="B26" s="11">
        <v>5.0000000000000001E-3</v>
      </c>
    </row>
    <row r="27" spans="1:2" x14ac:dyDescent="0.2">
      <c r="A27" s="10" t="s">
        <v>21</v>
      </c>
      <c r="B27" s="11">
        <f>INDEX(Scenarios_V2!D2:D4,MATCH(B14,Scenarios_V2!A2:A4,0))</f>
        <v>0.04</v>
      </c>
    </row>
    <row r="28" spans="1:2" x14ac:dyDescent="0.2">
      <c r="A28" s="10" t="s">
        <v>22</v>
      </c>
      <c r="B28" s="11">
        <f>INDEX(Scenarios_V2!E2:E4,MATCH(B14,Scenarios_V2!A2:A4,0))</f>
        <v>0.1</v>
      </c>
    </row>
    <row r="29" spans="1:2" x14ac:dyDescent="0.2">
      <c r="A29" s="10" t="s">
        <v>23</v>
      </c>
      <c r="B29" s="11">
        <f>INDEX(Scenarios_V2!F2:F4,MATCH(B14,Scenarios_V2!A2:A4,0))</f>
        <v>0.35</v>
      </c>
    </row>
    <row r="30" spans="1:2" x14ac:dyDescent="0.2">
      <c r="A30" s="10" t="s">
        <v>24</v>
      </c>
      <c r="B30" s="11">
        <f>INDEX(Scenarios_V2!G2:G4,MATCH(B14,Scenarios_V2!A2:A4,0))</f>
        <v>0.2</v>
      </c>
    </row>
    <row r="31" spans="1:2" x14ac:dyDescent="0.2">
      <c r="A31" s="10" t="s">
        <v>25</v>
      </c>
      <c r="B31" s="11">
        <f>INDEX(Scenarios_V2!H2:H4,MATCH(B14,Scenarios_V2!A2:A4,0))</f>
        <v>0.12</v>
      </c>
    </row>
    <row r="32" spans="1:2" x14ac:dyDescent="0.2">
      <c r="A32" s="10" t="s">
        <v>26</v>
      </c>
      <c r="B32" s="11">
        <f>INDEX(Scenarios_V2!B2:B4,MATCH(B14,Scenarios_V2!A2:A4,0))</f>
        <v>0.08</v>
      </c>
    </row>
    <row r="33" spans="1:2" x14ac:dyDescent="0.2">
      <c r="A33" s="10" t="s">
        <v>27</v>
      </c>
      <c r="B33" s="11">
        <f>1-(1-B27)^(1/12)</f>
        <v>3.3960531989175591E-3</v>
      </c>
    </row>
    <row r="34" spans="1:2" x14ac:dyDescent="0.2">
      <c r="A34" s="10" t="s">
        <v>28</v>
      </c>
      <c r="B34" s="11">
        <f>1-(1-B28)^(1/12)</f>
        <v>8.7416109546967213E-3</v>
      </c>
    </row>
    <row r="35" spans="1:2" x14ac:dyDescent="0.2">
      <c r="A35" s="12" t="s">
        <v>29</v>
      </c>
      <c r="B35" s="13">
        <f>INDEX(Scenarios_V2!C2:C4,MATCH(B14,Scenarios_V2!A2:A4,0))</f>
        <v>0.25</v>
      </c>
    </row>
    <row r="37" spans="1:2" x14ac:dyDescent="0.2">
      <c r="A37" s="1" t="s">
        <v>30</v>
      </c>
    </row>
    <row r="38" spans="1:2" x14ac:dyDescent="0.2">
      <c r="A38" t="s">
        <v>31</v>
      </c>
    </row>
    <row r="39" spans="1:2" x14ac:dyDescent="0.2">
      <c r="A39" t="s">
        <v>32</v>
      </c>
    </row>
  </sheetData>
  <dataValidations count="1">
    <dataValidation type="list" sqref="B14" xr:uid="{00000000-0002-0000-0000-000000000000}">
      <formula1>"Base,Mild_Stress,Severe_Stress"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13" width="18" customWidth="1"/>
  </cols>
  <sheetData>
    <row r="1" spans="1:13" x14ac:dyDescent="0.2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 x14ac:dyDescent="0.2">
      <c r="A2">
        <v>1</v>
      </c>
      <c r="B2">
        <f>Inputs!B3</f>
        <v>300000000</v>
      </c>
      <c r="C2">
        <f>IF(A2&lt;=Inputs!B7,IF(B2&gt;0,-PMT(Inputs!B6/12,Inputs!B7-A2+1,B2),0),0)</f>
        <v>1887319.2072679743</v>
      </c>
      <c r="D2">
        <f>B2*Inputs!B6/12</f>
        <v>1437500</v>
      </c>
      <c r="E2">
        <f t="shared" ref="E2:E65" si="0">MAX(C2-D2,0)</f>
        <v>449819.20726797427</v>
      </c>
      <c r="F2">
        <f>MAX((B2-E2)*Inputs!B18,0)</f>
        <v>2074200.0681851439</v>
      </c>
      <c r="G2">
        <f>MAX((B2-E2-F2)*Inputs!B19,0)</f>
        <v>374426.18042349495</v>
      </c>
      <c r="H2">
        <f>G2*Inputs!B17</f>
        <v>93606.545105873738</v>
      </c>
      <c r="I2">
        <f t="shared" ref="I2:I65" si="1">MIN(B2,E2+F2+G2)</f>
        <v>2898445.455876613</v>
      </c>
      <c r="J2">
        <f t="shared" ref="J2:J65" si="2">MAX(B2-I2,0)</f>
        <v>297101554.54412341</v>
      </c>
      <c r="K2">
        <f>B2*Inputs!B8/12</f>
        <v>125000</v>
      </c>
      <c r="L2">
        <f t="shared" ref="L2:L65" si="3">MAX(D2-K2,0)</f>
        <v>1312500</v>
      </c>
      <c r="M2">
        <f t="shared" ref="M2:M65" si="4">MAX(I2-H2,0)</f>
        <v>2804838.9107707394</v>
      </c>
    </row>
    <row r="3" spans="1:13" x14ac:dyDescent="0.2">
      <c r="A3">
        <v>2</v>
      </c>
      <c r="B3">
        <f t="shared" ref="B3:B66" si="5">J2</f>
        <v>297101554.54412341</v>
      </c>
      <c r="C3">
        <f>IF(A3&lt;=Inputs!B7,IF(B3&gt;0,-PMT(Inputs!B6/12,Inputs!B7-A3+1,B3),0),0)</f>
        <v>1871891.6106690019</v>
      </c>
      <c r="D3">
        <f>B3*Inputs!B6/12</f>
        <v>1423611.6155239248</v>
      </c>
      <c r="E3">
        <f t="shared" si="0"/>
        <v>448279.99514507712</v>
      </c>
      <c r="F3">
        <f>MAX((B3-E3)*Inputs!B18,0)</f>
        <v>2054140.7809150838</v>
      </c>
      <c r="G3">
        <f>MAX((B3-E3-F3)*Inputs!B19,0)</f>
        <v>370805.15927430667</v>
      </c>
      <c r="H3">
        <f>G3*Inputs!B17</f>
        <v>92701.289818576668</v>
      </c>
      <c r="I3">
        <f t="shared" si="1"/>
        <v>2873225.9353344678</v>
      </c>
      <c r="J3">
        <f t="shared" si="2"/>
        <v>294228328.60878897</v>
      </c>
      <c r="K3">
        <f>B3*Inputs!B8/12</f>
        <v>123792.31439338475</v>
      </c>
      <c r="L3">
        <f t="shared" si="3"/>
        <v>1299819.30113054</v>
      </c>
      <c r="M3">
        <f t="shared" si="4"/>
        <v>2780524.6455158913</v>
      </c>
    </row>
    <row r="4" spans="1:13" x14ac:dyDescent="0.2">
      <c r="A4">
        <v>3</v>
      </c>
      <c r="B4">
        <f t="shared" si="5"/>
        <v>294228328.60878897</v>
      </c>
      <c r="C4">
        <f>IF(A4&lt;=Inputs!B7,IF(B4&gt;0,-PMT(Inputs!B6/12,Inputs!B7-A4+1,B4),0),0)</f>
        <v>1856590.1245530383</v>
      </c>
      <c r="D4">
        <f>B4*Inputs!B6/12</f>
        <v>1409844.0745837807</v>
      </c>
      <c r="E4">
        <f t="shared" si="0"/>
        <v>446746.04996925755</v>
      </c>
      <c r="F4">
        <f>MAX((B4-E4)*Inputs!B18,0)</f>
        <v>2034256.0867846028</v>
      </c>
      <c r="G4">
        <f>MAX((B4-E4-F4)*Inputs!B19,0)</f>
        <v>367215.65497027879</v>
      </c>
      <c r="H4">
        <f>G4*Inputs!B17</f>
        <v>91803.913742569697</v>
      </c>
      <c r="I4">
        <f t="shared" si="1"/>
        <v>2848217.7917241394</v>
      </c>
      <c r="J4">
        <f t="shared" si="2"/>
        <v>291380110.81706482</v>
      </c>
      <c r="K4">
        <f>B4*Inputs!B8/12</f>
        <v>122595.13692032873</v>
      </c>
      <c r="L4">
        <f t="shared" si="3"/>
        <v>1287248.937663452</v>
      </c>
      <c r="M4">
        <f t="shared" si="4"/>
        <v>2756413.8779815696</v>
      </c>
    </row>
    <row r="5" spans="1:13" x14ac:dyDescent="0.2">
      <c r="A5">
        <v>4</v>
      </c>
      <c r="B5">
        <f t="shared" si="5"/>
        <v>291380110.81706482</v>
      </c>
      <c r="C5">
        <f>IF(A5&lt;=Inputs!B7,IF(B5&gt;0,-PMT(Inputs!B6/12,Inputs!B7-A5+1,B5),0),0)</f>
        <v>1841413.7180496026</v>
      </c>
      <c r="D5">
        <f>B5*Inputs!B6/12</f>
        <v>1396196.3643317691</v>
      </c>
      <c r="E5">
        <f t="shared" si="0"/>
        <v>445217.35371783352</v>
      </c>
      <c r="F5">
        <f>MAX((B5-E5)*Inputs!B18,0)</f>
        <v>2014544.5222637423</v>
      </c>
      <c r="G5">
        <f>MAX((B5-E5-F5)*Inputs!B19,0)</f>
        <v>363657.40332092135</v>
      </c>
      <c r="H5">
        <f>G5*Inputs!B17</f>
        <v>90914.350830230338</v>
      </c>
      <c r="I5">
        <f t="shared" si="1"/>
        <v>2823419.2793024974</v>
      </c>
      <c r="J5">
        <f t="shared" si="2"/>
        <v>288556691.53776234</v>
      </c>
      <c r="K5">
        <f>B5*Inputs!B8/12</f>
        <v>121408.37950711034</v>
      </c>
      <c r="L5">
        <f t="shared" si="3"/>
        <v>1274787.9848246588</v>
      </c>
      <c r="M5">
        <f t="shared" si="4"/>
        <v>2732504.928472267</v>
      </c>
    </row>
    <row r="6" spans="1:13" x14ac:dyDescent="0.2">
      <c r="A6">
        <v>5</v>
      </c>
      <c r="B6">
        <f t="shared" si="5"/>
        <v>288556691.53776234</v>
      </c>
      <c r="C6">
        <f>IF(A6&lt;=Inputs!B7,IF(B6&gt;0,-PMT(Inputs!B6/12,Inputs!B7-A6+1,B6),0),0)</f>
        <v>1826361.3687149044</v>
      </c>
      <c r="D6">
        <f>B6*Inputs!B6/12</f>
        <v>1382667.4802851113</v>
      </c>
      <c r="E6">
        <f t="shared" si="0"/>
        <v>443693.88842979306</v>
      </c>
      <c r="F6">
        <f>MAX((B6-E6)*Inputs!B18,0)</f>
        <v>1995004.6359103096</v>
      </c>
      <c r="G6">
        <f>MAX((B6-E6-F6)*Inputs!B19,0)</f>
        <v>360130.14231777884</v>
      </c>
      <c r="H6">
        <f>G6*Inputs!B17</f>
        <v>90032.53557944471</v>
      </c>
      <c r="I6">
        <f t="shared" si="1"/>
        <v>2798828.6666578813</v>
      </c>
      <c r="J6">
        <f t="shared" si="2"/>
        <v>285757862.87110448</v>
      </c>
      <c r="K6">
        <f>B6*Inputs!B8/12</f>
        <v>120231.95480740098</v>
      </c>
      <c r="L6">
        <f t="shared" si="3"/>
        <v>1262435.5254777104</v>
      </c>
      <c r="M6">
        <f t="shared" si="4"/>
        <v>2708796.1310784365</v>
      </c>
    </row>
    <row r="7" spans="1:13" x14ac:dyDescent="0.2">
      <c r="A7">
        <v>6</v>
      </c>
      <c r="B7">
        <f t="shared" si="5"/>
        <v>285757862.87110448</v>
      </c>
      <c r="C7">
        <f>IF(A7&lt;=Inputs!B7,IF(B7&gt;0,-PMT(Inputs!B6/12,Inputs!B7-A7+1,B7),0),0)</f>
        <v>1811432.0624629599</v>
      </c>
      <c r="D7">
        <f>B7*Inputs!B6/12</f>
        <v>1369256.4262573756</v>
      </c>
      <c r="E7">
        <f t="shared" si="0"/>
        <v>442175.63620558428</v>
      </c>
      <c r="F7">
        <f>MAX((B7-E7)*Inputs!B18,0)</f>
        <v>1975634.9882706441</v>
      </c>
      <c r="G7">
        <f>MAX((B7-E7-F7)*Inputs!B19,0)</f>
        <v>356633.61211651692</v>
      </c>
      <c r="H7">
        <f>G7*Inputs!B17</f>
        <v>89158.403029129229</v>
      </c>
      <c r="I7">
        <f t="shared" si="1"/>
        <v>2774444.2365927454</v>
      </c>
      <c r="J7">
        <f t="shared" si="2"/>
        <v>282983418.63451171</v>
      </c>
      <c r="K7">
        <f>B7*Inputs!B8/12</f>
        <v>119065.77619629353</v>
      </c>
      <c r="L7">
        <f t="shared" si="3"/>
        <v>1250190.6500610821</v>
      </c>
      <c r="M7">
        <f t="shared" si="4"/>
        <v>2685285.833563616</v>
      </c>
    </row>
    <row r="8" spans="1:13" x14ac:dyDescent="0.2">
      <c r="A8">
        <v>7</v>
      </c>
      <c r="B8">
        <f t="shared" si="5"/>
        <v>282983418.63451171</v>
      </c>
      <c r="C8">
        <f>IF(A8&lt;=Inputs!B7,IF(B8&gt;0,-PMT(Inputs!B6/12,Inputs!B7-A8+1,B8),0),0)</f>
        <v>1796624.7934972725</v>
      </c>
      <c r="D8">
        <f>B8*Inputs!B6/12</f>
        <v>1355962.2142903686</v>
      </c>
      <c r="E8">
        <f t="shared" si="0"/>
        <v>440662.57920690393</v>
      </c>
      <c r="F8">
        <f>MAX((B8-E8)*Inputs!B18,0)</f>
        <v>1956434.1517811932</v>
      </c>
      <c r="G8">
        <f>MAX((B8-E8-F8)*Inputs!B19,0)</f>
        <v>353167.55501915526</v>
      </c>
      <c r="H8">
        <f>G8*Inputs!B17</f>
        <v>88291.888754788815</v>
      </c>
      <c r="I8">
        <f t="shared" si="1"/>
        <v>2750264.2860072525</v>
      </c>
      <c r="J8">
        <f t="shared" si="2"/>
        <v>280233154.34850448</v>
      </c>
      <c r="K8">
        <f>B8*Inputs!B8/12</f>
        <v>117909.75776437989</v>
      </c>
      <c r="L8">
        <f t="shared" si="3"/>
        <v>1238052.4565259886</v>
      </c>
      <c r="M8">
        <f t="shared" si="4"/>
        <v>2661972.3972524637</v>
      </c>
    </row>
    <row r="9" spans="1:13" x14ac:dyDescent="0.2">
      <c r="A9">
        <v>8</v>
      </c>
      <c r="B9">
        <f t="shared" si="5"/>
        <v>280233154.34850448</v>
      </c>
      <c r="C9">
        <f>IF(A9&lt;=Inputs!B7,IF(B9&gt;0,-PMT(Inputs!B6/12,Inputs!B7-A9+1,B9),0),0)</f>
        <v>1781938.564243075</v>
      </c>
      <c r="D9">
        <f>B9*Inputs!B6/12</f>
        <v>1342783.864586584</v>
      </c>
      <c r="E9">
        <f t="shared" si="0"/>
        <v>439154.69965649094</v>
      </c>
      <c r="F9">
        <f>MAX((B9-E9)*Inputs!B18,0)</f>
        <v>1937400.7106708968</v>
      </c>
      <c r="G9">
        <f>MAX((B9-E9-F9)*Inputs!B19,0)</f>
        <v>349731.71545644646</v>
      </c>
      <c r="H9">
        <f>G9*Inputs!B17</f>
        <v>87432.928864111615</v>
      </c>
      <c r="I9">
        <f t="shared" si="1"/>
        <v>2726287.1257838346</v>
      </c>
      <c r="J9">
        <f t="shared" si="2"/>
        <v>277506867.22272062</v>
      </c>
      <c r="K9">
        <f>B9*Inputs!B8/12</f>
        <v>116763.81431187688</v>
      </c>
      <c r="L9">
        <f t="shared" si="3"/>
        <v>1226020.0502747071</v>
      </c>
      <c r="M9">
        <f t="shared" si="4"/>
        <v>2638854.1969197229</v>
      </c>
    </row>
    <row r="10" spans="1:13" x14ac:dyDescent="0.2">
      <c r="A10">
        <v>9</v>
      </c>
      <c r="B10">
        <f t="shared" si="5"/>
        <v>277506867.22272062</v>
      </c>
      <c r="C10">
        <f>IF(A10&lt;=Inputs!B7,IF(B10&gt;0,-PMT(Inputs!B6/12,Inputs!B7-A10+1,B10),0),0)</f>
        <v>1767372.3852801162</v>
      </c>
      <c r="D10">
        <f>B10*Inputs!B6/12</f>
        <v>1329720.4054422032</v>
      </c>
      <c r="E10">
        <f t="shared" si="0"/>
        <v>437651.97983791307</v>
      </c>
      <c r="F10">
        <f>MAX((B10-E10)*Inputs!B18,0)</f>
        <v>1918533.2608643698</v>
      </c>
      <c r="G10">
        <f>MAX((B10-E10-F10)*Inputs!B19,0)</f>
        <v>346325.83997039893</v>
      </c>
      <c r="H10">
        <f>G10*Inputs!B17</f>
        <v>86581.459992599732</v>
      </c>
      <c r="I10">
        <f t="shared" si="1"/>
        <v>2702511.0806726813</v>
      </c>
      <c r="J10">
        <f t="shared" si="2"/>
        <v>274804356.14204794</v>
      </c>
      <c r="K10">
        <f>B10*Inputs!B8/12</f>
        <v>115627.86134280026</v>
      </c>
      <c r="L10">
        <f t="shared" si="3"/>
        <v>1214092.5440994028</v>
      </c>
      <c r="M10">
        <f t="shared" si="4"/>
        <v>2615929.6206800817</v>
      </c>
    </row>
    <row r="11" spans="1:13" x14ac:dyDescent="0.2">
      <c r="A11">
        <v>10</v>
      </c>
      <c r="B11">
        <f t="shared" si="5"/>
        <v>274804356.14204794</v>
      </c>
      <c r="C11">
        <f>IF(A11&lt;=Inputs!B7,IF(B11&gt;0,-PMT(Inputs!B6/12,Inputs!B7-A11+1,B11),0),0)</f>
        <v>1752925.2752760083</v>
      </c>
      <c r="D11">
        <f>B11*Inputs!B6/12</f>
        <v>1316770.8731806464</v>
      </c>
      <c r="E11">
        <f t="shared" si="0"/>
        <v>436154.40209536185</v>
      </c>
      <c r="F11">
        <f>MAX((B11-E11)*Inputs!B18,0)</f>
        <v>1899830.409885878</v>
      </c>
      <c r="G11">
        <f>MAX((B11-E11-F11)*Inputs!B19,0)</f>
        <v>342949.67719694297</v>
      </c>
      <c r="H11">
        <f>G11*Inputs!B17</f>
        <v>85737.419299235742</v>
      </c>
      <c r="I11">
        <f t="shared" si="1"/>
        <v>2678934.4891781826</v>
      </c>
      <c r="J11">
        <f t="shared" si="2"/>
        <v>272125421.65286976</v>
      </c>
      <c r="K11">
        <f>B11*Inputs!B8/12</f>
        <v>114501.81505918664</v>
      </c>
      <c r="L11">
        <f t="shared" si="3"/>
        <v>1202269.0581214598</v>
      </c>
      <c r="M11">
        <f t="shared" si="4"/>
        <v>2593197.069878947</v>
      </c>
    </row>
    <row r="12" spans="1:13" x14ac:dyDescent="0.2">
      <c r="A12">
        <v>11</v>
      </c>
      <c r="B12">
        <f t="shared" si="5"/>
        <v>272125421.65286976</v>
      </c>
      <c r="C12">
        <f>IF(A12&lt;=Inputs!B7,IF(B12&gt;0,-PMT(Inputs!B6/12,Inputs!B7-A12+1,B12),0),0)</f>
        <v>1738596.2609201118</v>
      </c>
      <c r="D12">
        <f>B12*Inputs!B6/12</f>
        <v>1303934.3120866676</v>
      </c>
      <c r="E12">
        <f t="shared" si="0"/>
        <v>434661.94883344416</v>
      </c>
      <c r="F12">
        <f>MAX((B12-E12)*Inputs!B18,0)</f>
        <v>1881290.7767641009</v>
      </c>
      <c r="G12">
        <f>MAX((B12-E12-F12)*Inputs!B19,0)</f>
        <v>339602.97784873896</v>
      </c>
      <c r="H12">
        <f>G12*Inputs!B17</f>
        <v>84900.744462184739</v>
      </c>
      <c r="I12">
        <f t="shared" si="1"/>
        <v>2655555.7034462839</v>
      </c>
      <c r="J12">
        <f t="shared" si="2"/>
        <v>269469865.94942349</v>
      </c>
      <c r="K12">
        <f>B12*Inputs!B8/12</f>
        <v>113385.59235536242</v>
      </c>
      <c r="L12">
        <f t="shared" si="3"/>
        <v>1190548.7197313053</v>
      </c>
      <c r="M12">
        <f t="shared" si="4"/>
        <v>2570654.9589840993</v>
      </c>
    </row>
    <row r="13" spans="1:13" x14ac:dyDescent="0.2">
      <c r="A13">
        <v>12</v>
      </c>
      <c r="B13">
        <f t="shared" si="5"/>
        <v>269469865.94942349</v>
      </c>
      <c r="C13">
        <f>IF(A13&lt;=Inputs!B7,IF(B13&gt;0,-PMT(Inputs!B6/12,Inputs!B7-A13+1,B13),0),0)</f>
        <v>1724384.3768579639</v>
      </c>
      <c r="D13">
        <f>B13*Inputs!B6/12</f>
        <v>1291209.7743409877</v>
      </c>
      <c r="E13">
        <f t="shared" si="0"/>
        <v>433174.60251697619</v>
      </c>
      <c r="F13">
        <f>MAX((B13-E13)*Inputs!B18,0)</f>
        <v>1862912.9919376723</v>
      </c>
      <c r="G13">
        <f>MAX((B13-E13-F13)*Inputs!B19,0)</f>
        <v>336285.49469812599</v>
      </c>
      <c r="H13">
        <f>G13*Inputs!B17</f>
        <v>84071.373674531496</v>
      </c>
      <c r="I13">
        <f t="shared" si="1"/>
        <v>2632373.0891527743</v>
      </c>
      <c r="J13">
        <f t="shared" si="2"/>
        <v>266837492.86027071</v>
      </c>
      <c r="K13">
        <f>B13*Inputs!B8/12</f>
        <v>112279.11081225979</v>
      </c>
      <c r="L13">
        <f t="shared" si="3"/>
        <v>1178930.6635287278</v>
      </c>
      <c r="M13">
        <f t="shared" si="4"/>
        <v>2548301.7154782428</v>
      </c>
    </row>
    <row r="14" spans="1:13" x14ac:dyDescent="0.2">
      <c r="A14">
        <v>13</v>
      </c>
      <c r="B14">
        <f t="shared" si="5"/>
        <v>266837492.86027071</v>
      </c>
      <c r="C14">
        <f>IF(A14&lt;=Inputs!B7,IF(B14&gt;0,-PMT(Inputs!B6/12,Inputs!B7-A14+1,B14),0),0)</f>
        <v>1710288.66562624</v>
      </c>
      <c r="D14">
        <f>B14*Inputs!B6/12</f>
        <v>1278596.3199554638</v>
      </c>
      <c r="E14">
        <f t="shared" si="0"/>
        <v>431692.34567077621</v>
      </c>
      <c r="F14">
        <f>MAX((B14-E14)*Inputs!B18,0)</f>
        <v>1844695.6971614962</v>
      </c>
      <c r="G14">
        <f>MAX((B14-E14-F14)*Inputs!B19,0)</f>
        <v>332996.98256021022</v>
      </c>
      <c r="H14">
        <f>G14*Inputs!B17</f>
        <v>83249.245640052555</v>
      </c>
      <c r="I14">
        <f t="shared" si="1"/>
        <v>2609385.0253924825</v>
      </c>
      <c r="J14">
        <f t="shared" si="2"/>
        <v>264228107.83487824</v>
      </c>
      <c r="K14">
        <f>B14*Inputs!B8/12</f>
        <v>111182.28869177947</v>
      </c>
      <c r="L14">
        <f t="shared" si="3"/>
        <v>1167414.0312636844</v>
      </c>
      <c r="M14">
        <f t="shared" si="4"/>
        <v>2526135.77975243</v>
      </c>
    </row>
    <row r="15" spans="1:13" x14ac:dyDescent="0.2">
      <c r="A15">
        <v>14</v>
      </c>
      <c r="B15">
        <f t="shared" si="5"/>
        <v>264228107.83487824</v>
      </c>
      <c r="C15">
        <f>IF(A15&lt;=Inputs!B7,IF(B15&gt;0,-PMT(Inputs!B6/12,Inputs!B7-A15+1,B15),0),0)</f>
        <v>1696308.177588251</v>
      </c>
      <c r="D15">
        <f>B15*Inputs!B6/12</f>
        <v>1266093.0167087915</v>
      </c>
      <c r="E15">
        <f t="shared" si="0"/>
        <v>430215.16087945946</v>
      </c>
      <c r="F15">
        <f>MAX((B15-E15)*Inputs!B18,0)</f>
        <v>1826637.5454138317</v>
      </c>
      <c r="G15">
        <f>MAX((B15-E15-F15)*Inputs!B19,0)</f>
        <v>329737.19827609247</v>
      </c>
      <c r="H15">
        <f>G15*Inputs!B17</f>
        <v>82434.299569023118</v>
      </c>
      <c r="I15">
        <f t="shared" si="1"/>
        <v>2586589.9045693837</v>
      </c>
      <c r="J15">
        <f t="shared" si="2"/>
        <v>261641517.93030885</v>
      </c>
      <c r="K15">
        <f>B15*Inputs!B8/12</f>
        <v>110095.04493119927</v>
      </c>
      <c r="L15">
        <f t="shared" si="3"/>
        <v>1155997.9717775923</v>
      </c>
      <c r="M15">
        <f t="shared" si="4"/>
        <v>2504155.6050003604</v>
      </c>
    </row>
    <row r="16" spans="1:13" x14ac:dyDescent="0.2">
      <c r="A16">
        <v>15</v>
      </c>
      <c r="B16">
        <f t="shared" si="5"/>
        <v>261641517.93030885</v>
      </c>
      <c r="C16">
        <f>IF(A16&lt;=Inputs!B7,IF(B16&gt;0,-PMT(Inputs!B6/12,Inputs!B7-A16+1,B16),0),0)</f>
        <v>1682441.9708699647</v>
      </c>
      <c r="D16">
        <f>B16*Inputs!B6/12</f>
        <v>1253698.94008273</v>
      </c>
      <c r="E16">
        <f t="shared" si="0"/>
        <v>428743.03078723466</v>
      </c>
      <c r="F16">
        <f>MAX((B16-E16)*Inputs!B18,0)</f>
        <v>1808737.2008041341</v>
      </c>
      <c r="G16">
        <f>MAX((B16-E16-F16)*Inputs!B19,0)</f>
        <v>326505.90069623187</v>
      </c>
      <c r="H16">
        <f>G16*Inputs!B17</f>
        <v>81626.475174057967</v>
      </c>
      <c r="I16">
        <f t="shared" si="1"/>
        <v>2563986.132287601</v>
      </c>
      <c r="J16">
        <f t="shared" si="2"/>
        <v>259077531.79802126</v>
      </c>
      <c r="K16">
        <f>B16*Inputs!B8/12</f>
        <v>109017.2991376287</v>
      </c>
      <c r="L16">
        <f t="shared" si="3"/>
        <v>1144681.6409451014</v>
      </c>
      <c r="M16">
        <f t="shared" si="4"/>
        <v>2482359.6571135432</v>
      </c>
    </row>
    <row r="17" spans="1:13" x14ac:dyDescent="0.2">
      <c r="A17">
        <v>16</v>
      </c>
      <c r="B17">
        <f t="shared" si="5"/>
        <v>259077531.79802126</v>
      </c>
      <c r="C17">
        <f>IF(A17&lt;=Inputs!B7,IF(B17&gt;0,-PMT(Inputs!B6/12,Inputs!B7-A17+1,B17),0),0)</f>
        <v>1668689.1112965513</v>
      </c>
      <c r="D17">
        <f>B17*Inputs!B6/12</f>
        <v>1241413.173198852</v>
      </c>
      <c r="E17">
        <f t="shared" si="0"/>
        <v>427275.93809769931</v>
      </c>
      <c r="F17">
        <f>MAX((B17-E17)*Inputs!B18,0)</f>
        <v>1790993.3384816549</v>
      </c>
      <c r="G17">
        <f>MAX((B17-E17-F17)*Inputs!B19,0)</f>
        <v>323302.85066394671</v>
      </c>
      <c r="H17">
        <f>G17*Inputs!B17</f>
        <v>80825.712665986677</v>
      </c>
      <c r="I17">
        <f t="shared" si="1"/>
        <v>2541572.1272433009</v>
      </c>
      <c r="J17">
        <f t="shared" si="2"/>
        <v>256535959.67077795</v>
      </c>
      <c r="K17">
        <f>B17*Inputs!B8/12</f>
        <v>107948.97158250886</v>
      </c>
      <c r="L17">
        <f t="shared" si="3"/>
        <v>1133464.2016163431</v>
      </c>
      <c r="M17">
        <f t="shared" si="4"/>
        <v>2460746.4145773142</v>
      </c>
    </row>
    <row r="18" spans="1:13" x14ac:dyDescent="0.2">
      <c r="A18">
        <v>17</v>
      </c>
      <c r="B18">
        <f t="shared" si="5"/>
        <v>256535959.67077795</v>
      </c>
      <c r="C18">
        <f>IF(A18&lt;=Inputs!B7,IF(B18&gt;0,-PMT(Inputs!B6/12,Inputs!B7-A18+1,B18),0),0)</f>
        <v>1655048.6723294475</v>
      </c>
      <c r="D18">
        <f>B18*Inputs!B6/12</f>
        <v>1229234.806755811</v>
      </c>
      <c r="E18">
        <f t="shared" si="0"/>
        <v>425813.86557363649</v>
      </c>
      <c r="F18">
        <f>MAX((B18-E18)*Inputs!B18,0)</f>
        <v>1773404.6445447879</v>
      </c>
      <c r="G18">
        <f>MAX((B18-E18-F18)*Inputs!B19,0)</f>
        <v>320127.81099905021</v>
      </c>
      <c r="H18">
        <f>G18*Inputs!B17</f>
        <v>80031.952749762553</v>
      </c>
      <c r="I18">
        <f t="shared" si="1"/>
        <v>2519346.3211174747</v>
      </c>
      <c r="J18">
        <f t="shared" si="2"/>
        <v>254016613.34966049</v>
      </c>
      <c r="K18">
        <f>B18*Inputs!B8/12</f>
        <v>106889.98319615748</v>
      </c>
      <c r="L18">
        <f t="shared" si="3"/>
        <v>1122344.8235596535</v>
      </c>
      <c r="M18">
        <f t="shared" si="4"/>
        <v>2439314.368367712</v>
      </c>
    </row>
    <row r="19" spans="1:13" x14ac:dyDescent="0.2">
      <c r="A19">
        <v>18</v>
      </c>
      <c r="B19">
        <f t="shared" si="5"/>
        <v>254016613.34966049</v>
      </c>
      <c r="C19">
        <f>IF(A19&lt;=Inputs!B7,IF(B19&gt;0,-PMT(Inputs!B6/12,Inputs!B7-A19+1,B19),0),0)</f>
        <v>1641519.7350039352</v>
      </c>
      <c r="D19">
        <f>B19*Inputs!B6/12</f>
        <v>1217162.9389671232</v>
      </c>
      <c r="E19">
        <f t="shared" si="0"/>
        <v>424356.79603681201</v>
      </c>
      <c r="F19">
        <f>MAX((B19-E19)*Inputs!B18,0)</f>
        <v>1755969.8159511613</v>
      </c>
      <c r="G19">
        <f>MAX((B19-E19-F19)*Inputs!B19,0)</f>
        <v>316980.54648162017</v>
      </c>
      <c r="H19">
        <f>G19*Inputs!B17</f>
        <v>79245.136620405043</v>
      </c>
      <c r="I19">
        <f t="shared" si="1"/>
        <v>2497307.1584695936</v>
      </c>
      <c r="J19">
        <f t="shared" si="2"/>
        <v>251519306.1911909</v>
      </c>
      <c r="K19">
        <f>B19*Inputs!B8/12</f>
        <v>105840.25556235854</v>
      </c>
      <c r="L19">
        <f t="shared" si="3"/>
        <v>1111322.6834047646</v>
      </c>
      <c r="M19">
        <f t="shared" si="4"/>
        <v>2418062.0218491885</v>
      </c>
    </row>
    <row r="20" spans="1:13" x14ac:dyDescent="0.2">
      <c r="A20">
        <v>19</v>
      </c>
      <c r="B20">
        <f t="shared" si="5"/>
        <v>251519306.1911909</v>
      </c>
      <c r="C20">
        <f>IF(A20&lt;=Inputs!B7,IF(B20&gt;0,-PMT(Inputs!B6/12,Inputs!B7-A20+1,B20),0),0)</f>
        <v>1628101.3878672298</v>
      </c>
      <c r="D20">
        <f>B20*Inputs!B6/12</f>
        <v>1205196.6754994565</v>
      </c>
      <c r="E20">
        <f t="shared" si="0"/>
        <v>422904.71236777329</v>
      </c>
      <c r="F20">
        <f>MAX((B20-E20)*Inputs!B18,0)</f>
        <v>1738687.5604284594</v>
      </c>
      <c r="G20">
        <f>MAX((B20-E20-F20)*Inputs!B19,0)</f>
        <v>313860.82383590168</v>
      </c>
      <c r="H20">
        <f>G20*Inputs!B17</f>
        <v>78465.205958975421</v>
      </c>
      <c r="I20">
        <f t="shared" si="1"/>
        <v>2475453.0966321342</v>
      </c>
      <c r="J20">
        <f t="shared" si="2"/>
        <v>249043853.09455878</v>
      </c>
      <c r="K20">
        <f>B20*Inputs!B8/12</f>
        <v>104799.7109129962</v>
      </c>
      <c r="L20">
        <f t="shared" si="3"/>
        <v>1100396.9645864603</v>
      </c>
      <c r="M20">
        <f t="shared" si="4"/>
        <v>2396987.8906731587</v>
      </c>
    </row>
    <row r="21" spans="1:13" x14ac:dyDescent="0.2">
      <c r="A21">
        <v>20</v>
      </c>
      <c r="B21">
        <f t="shared" si="5"/>
        <v>249043853.09455878</v>
      </c>
      <c r="C21">
        <f>IF(A21&lt;=Inputs!B7,IF(B21&gt;0,-PMT(Inputs!B6/12,Inputs!B7-A21+1,B21),0),0)</f>
        <v>1614792.7269170759</v>
      </c>
      <c r="D21">
        <f>B21*Inputs!B6/12</f>
        <v>1193335.1294114275</v>
      </c>
      <c r="E21">
        <f t="shared" si="0"/>
        <v>421457.59750564839</v>
      </c>
      <c r="F21">
        <f>MAX((B21-E21)*Inputs!B18,0)</f>
        <v>1721556.5963859824</v>
      </c>
      <c r="G21">
        <f>MAX((B21-E21-F21)*Inputs!B19,0)</f>
        <v>310768.41171434138</v>
      </c>
      <c r="H21">
        <f>G21*Inputs!B17</f>
        <v>77692.102928585344</v>
      </c>
      <c r="I21">
        <f t="shared" si="1"/>
        <v>2453782.605605972</v>
      </c>
      <c r="J21">
        <f t="shared" si="2"/>
        <v>246590070.48895282</v>
      </c>
      <c r="K21">
        <f>B21*Inputs!B8/12</f>
        <v>103768.27212273283</v>
      </c>
      <c r="L21">
        <f t="shared" si="3"/>
        <v>1089566.8572886947</v>
      </c>
      <c r="M21">
        <f t="shared" si="4"/>
        <v>2376090.5026773866</v>
      </c>
    </row>
    <row r="22" spans="1:13" x14ac:dyDescent="0.2">
      <c r="A22">
        <v>21</v>
      </c>
      <c r="B22">
        <f t="shared" si="5"/>
        <v>246590070.48895282</v>
      </c>
      <c r="C22">
        <f>IF(A22&lt;=Inputs!B7,IF(B22&gt;0,-PMT(Inputs!B6/12,Inputs!B7-A22+1,B22),0),0)</f>
        <v>1601592.8555408425</v>
      </c>
      <c r="D22">
        <f>B22*Inputs!B6/12</f>
        <v>1181577.4210928988</v>
      </c>
      <c r="E22">
        <f t="shared" si="0"/>
        <v>420015.4344479437</v>
      </c>
      <c r="F22">
        <f>MAX((B22-E22)*Inputs!B18,0)</f>
        <v>1704575.6528269253</v>
      </c>
      <c r="G22">
        <f>MAX((B22-E22-F22)*Inputs!B19,0)</f>
        <v>307703.08068175305</v>
      </c>
      <c r="H22">
        <f>G22*Inputs!B17</f>
        <v>76925.770170438263</v>
      </c>
      <c r="I22">
        <f t="shared" si="1"/>
        <v>2432294.1679566219</v>
      </c>
      <c r="J22">
        <f t="shared" si="2"/>
        <v>244157776.3209962</v>
      </c>
      <c r="K22">
        <f>B22*Inputs!B8/12</f>
        <v>102745.86270373034</v>
      </c>
      <c r="L22">
        <f t="shared" si="3"/>
        <v>1078831.5583891685</v>
      </c>
      <c r="M22">
        <f t="shared" si="4"/>
        <v>2355368.3977861837</v>
      </c>
    </row>
    <row r="23" spans="1:13" x14ac:dyDescent="0.2">
      <c r="A23">
        <v>22</v>
      </c>
      <c r="B23">
        <f t="shared" si="5"/>
        <v>244157776.3209962</v>
      </c>
      <c r="C23">
        <f>IF(A23&lt;=Inputs!B7,IF(B23&gt;0,-PMT(Inputs!B6/12,Inputs!B7-A23+1,B23),0),0)</f>
        <v>1588500.88445512</v>
      </c>
      <c r="D23">
        <f>B23*Inputs!B6/12</f>
        <v>1169922.6782047735</v>
      </c>
      <c r="E23">
        <f t="shared" si="0"/>
        <v>418578.2062503465</v>
      </c>
      <c r="F23">
        <f>MAX((B23-E23)*Inputs!B18,0)</f>
        <v>1687743.4692613767</v>
      </c>
      <c r="G23">
        <f>MAX((B23-E23-F23)*Inputs!B19,0)</f>
        <v>304664.60319961229</v>
      </c>
      <c r="H23">
        <f>G23*Inputs!B17</f>
        <v>76166.150799903073</v>
      </c>
      <c r="I23">
        <f t="shared" si="1"/>
        <v>2410986.2787113357</v>
      </c>
      <c r="J23">
        <f t="shared" si="2"/>
        <v>241746790.04228485</v>
      </c>
      <c r="K23">
        <f>B23*Inputs!B8/12</f>
        <v>101732.40680041508</v>
      </c>
      <c r="L23">
        <f t="shared" si="3"/>
        <v>1068190.2714043583</v>
      </c>
      <c r="M23">
        <f t="shared" si="4"/>
        <v>2334820.1279114326</v>
      </c>
    </row>
    <row r="24" spans="1:13" x14ac:dyDescent="0.2">
      <c r="A24">
        <v>23</v>
      </c>
      <c r="B24">
        <f t="shared" si="5"/>
        <v>241746790.04228485</v>
      </c>
      <c r="C24">
        <f>IF(A24&lt;=Inputs!B7,IF(B24&gt;0,-PMT(Inputs!B6/12,Inputs!B7-A24+1,B24),0),0)</f>
        <v>1575515.9316458069</v>
      </c>
      <c r="D24">
        <f>B24*Inputs!B6/12</f>
        <v>1158370.0356192815</v>
      </c>
      <c r="E24">
        <f t="shared" si="0"/>
        <v>417145.89602652541</v>
      </c>
      <c r="F24">
        <f>MAX((B24-E24)*Inputs!B18,0)</f>
        <v>1671058.7956200317</v>
      </c>
      <c r="G24">
        <f>MAX((B24-E24-F24)*Inputs!B19,0)</f>
        <v>301652.75361048011</v>
      </c>
      <c r="H24">
        <f>G24*Inputs!B17</f>
        <v>75413.188402620028</v>
      </c>
      <c r="I24">
        <f t="shared" si="1"/>
        <v>2389857.4452570369</v>
      </c>
      <c r="J24">
        <f t="shared" si="2"/>
        <v>239356932.59702781</v>
      </c>
      <c r="K24">
        <f>B24*Inputs!B8/12</f>
        <v>100727.82918428535</v>
      </c>
      <c r="L24">
        <f t="shared" si="3"/>
        <v>1057642.2064349961</v>
      </c>
      <c r="M24">
        <f t="shared" si="4"/>
        <v>2314444.2568544168</v>
      </c>
    </row>
    <row r="25" spans="1:13" x14ac:dyDescent="0.2">
      <c r="A25">
        <v>24</v>
      </c>
      <c r="B25">
        <f t="shared" si="5"/>
        <v>239356932.59702781</v>
      </c>
      <c r="C25">
        <f>IF(A25&lt;=Inputs!B7,IF(B25&gt;0,-PMT(Inputs!B6/12,Inputs!B7-A25+1,B25),0),0)</f>
        <v>1562637.1223086885</v>
      </c>
      <c r="D25">
        <f>B25*Inputs!B6/12</f>
        <v>1146918.6353607583</v>
      </c>
      <c r="E25">
        <f t="shared" si="0"/>
        <v>415718.48694793019</v>
      </c>
      <c r="F25">
        <f>MAX((B25-E25)*Inputs!B18,0)</f>
        <v>1654520.3921686092</v>
      </c>
      <c r="G25">
        <f>MAX((B25-E25-F25)*Inputs!B19,0)</f>
        <v>298667.30812255421</v>
      </c>
      <c r="H25">
        <f>G25*Inputs!B17</f>
        <v>74666.827030638553</v>
      </c>
      <c r="I25">
        <f t="shared" si="1"/>
        <v>2368906.1872390937</v>
      </c>
      <c r="J25">
        <f t="shared" si="2"/>
        <v>236988026.40978873</v>
      </c>
      <c r="K25">
        <f>B25*Inputs!B8/12</f>
        <v>99732.055248761593</v>
      </c>
      <c r="L25">
        <f t="shared" si="3"/>
        <v>1047186.5801119967</v>
      </c>
      <c r="M25">
        <f t="shared" si="4"/>
        <v>2294239.360208455</v>
      </c>
    </row>
    <row r="26" spans="1:13" x14ac:dyDescent="0.2">
      <c r="A26">
        <v>25</v>
      </c>
      <c r="B26">
        <f t="shared" si="5"/>
        <v>236988026.40978873</v>
      </c>
      <c r="C26">
        <f>IF(A26&lt;=Inputs!B7,IF(B26&gt;0,-PMT(Inputs!B6/12,Inputs!B7-A26+1,B26),0),0)</f>
        <v>1549863.5887905001</v>
      </c>
      <c r="D26">
        <f>B26*Inputs!B6/12</f>
        <v>1135567.6265469044</v>
      </c>
      <c r="E26">
        <f t="shared" si="0"/>
        <v>414295.96224359563</v>
      </c>
      <c r="F26">
        <f>MAX((B26-E26)*Inputs!B18,0)</f>
        <v>1638127.029422971</v>
      </c>
      <c r="G26">
        <f>MAX((B26-E26-F26)*Inputs!B19,0)</f>
        <v>295708.04479434656</v>
      </c>
      <c r="H26">
        <f>G26*Inputs!B17</f>
        <v>73927.011198586639</v>
      </c>
      <c r="I26">
        <f t="shared" si="1"/>
        <v>2348131.0364609133</v>
      </c>
      <c r="J26">
        <f t="shared" si="2"/>
        <v>234639895.37332782</v>
      </c>
      <c r="K26">
        <f>B26*Inputs!B8/12</f>
        <v>98745.011004078653</v>
      </c>
      <c r="L26">
        <f t="shared" si="3"/>
        <v>1036822.6155428258</v>
      </c>
      <c r="M26">
        <f t="shared" si="4"/>
        <v>2274204.0252623265</v>
      </c>
    </row>
    <row r="27" spans="1:13" x14ac:dyDescent="0.2">
      <c r="A27">
        <v>26</v>
      </c>
      <c r="B27">
        <f t="shared" si="5"/>
        <v>234639895.37332782</v>
      </c>
      <c r="C27">
        <f>IF(A27&lt;=Inputs!B7,IF(B27&gt;0,-PMT(Inputs!B6/12,Inputs!B7-A27+1,B27),0),0)</f>
        <v>1537194.4705304743</v>
      </c>
      <c r="D27">
        <f>B27*Inputs!B6/12</f>
        <v>1124316.1653305292</v>
      </c>
      <c r="E27">
        <f t="shared" si="0"/>
        <v>412878.30519994511</v>
      </c>
      <c r="F27">
        <f>MAX((B27-E27)*Inputs!B18,0)</f>
        <v>1621877.4880649361</v>
      </c>
      <c r="G27">
        <f>MAX((B27-E27-F27)*Inputs!B19,0)</f>
        <v>292774.74351948634</v>
      </c>
      <c r="H27">
        <f>G27*Inputs!B17</f>
        <v>73193.685879871584</v>
      </c>
      <c r="I27">
        <f t="shared" si="1"/>
        <v>2327530.5367843676</v>
      </c>
      <c r="J27">
        <f t="shared" si="2"/>
        <v>232312364.83654344</v>
      </c>
      <c r="K27">
        <f>B27*Inputs!B8/12</f>
        <v>97766.62307221994</v>
      </c>
      <c r="L27">
        <f t="shared" si="3"/>
        <v>1026549.5422583093</v>
      </c>
      <c r="M27">
        <f t="shared" si="4"/>
        <v>2254336.8509044959</v>
      </c>
    </row>
    <row r="28" spans="1:13" x14ac:dyDescent="0.2">
      <c r="A28">
        <v>27</v>
      </c>
      <c r="B28">
        <f t="shared" si="5"/>
        <v>232312364.83654344</v>
      </c>
      <c r="C28">
        <f>IF(A28&lt;=Inputs!B7,IF(B28&gt;0,-PMT(Inputs!B6/12,Inputs!B7-A28+1,B28),0),0)</f>
        <v>1524628.9140023631</v>
      </c>
      <c r="D28">
        <f>B28*Inputs!B6/12</f>
        <v>1113163.4148417707</v>
      </c>
      <c r="E28">
        <f t="shared" si="0"/>
        <v>411465.49916059244</v>
      </c>
      <c r="F28">
        <f>MAX((B28-E28)*Inputs!B18,0)</f>
        <v>1605770.558858786</v>
      </c>
      <c r="G28">
        <f>MAX((B28-E28-F28)*Inputs!B19,0)</f>
        <v>289867.1860116481</v>
      </c>
      <c r="H28">
        <f>G28*Inputs!B17</f>
        <v>72466.796502912024</v>
      </c>
      <c r="I28">
        <f t="shared" si="1"/>
        <v>2307103.2440310265</v>
      </c>
      <c r="J28">
        <f t="shared" si="2"/>
        <v>230005261.59251243</v>
      </c>
      <c r="K28">
        <f>B28*Inputs!B8/12</f>
        <v>96796.818681893099</v>
      </c>
      <c r="L28">
        <f t="shared" si="3"/>
        <v>1016366.5961598776</v>
      </c>
      <c r="M28">
        <f t="shared" si="4"/>
        <v>2234636.4475281145</v>
      </c>
    </row>
    <row r="29" spans="1:13" x14ac:dyDescent="0.2">
      <c r="A29">
        <v>28</v>
      </c>
      <c r="B29">
        <f t="shared" si="5"/>
        <v>230005261.59251243</v>
      </c>
      <c r="C29">
        <f>IF(A29&lt;=Inputs!B7,IF(B29&gt;0,-PMT(Inputs!B6/12,Inputs!B7-A29+1,B29),0),0)</f>
        <v>1512166.072656936</v>
      </c>
      <c r="D29">
        <f>B29*Inputs!B6/12</f>
        <v>1102108.5451307888</v>
      </c>
      <c r="E29">
        <f t="shared" si="0"/>
        <v>410057.5275261472</v>
      </c>
      <c r="F29">
        <f>MAX((B29-E29)*Inputs!B18,0)</f>
        <v>1589805.0425684513</v>
      </c>
      <c r="G29">
        <f>MAX((B29-E29-F29)*Inputs!B19,0)</f>
        <v>286985.1557896022</v>
      </c>
      <c r="H29">
        <f>G29*Inputs!B17</f>
        <v>71746.28894740055</v>
      </c>
      <c r="I29">
        <f t="shared" si="1"/>
        <v>2286847.7258842005</v>
      </c>
      <c r="J29">
        <f t="shared" si="2"/>
        <v>227718413.86662823</v>
      </c>
      <c r="K29">
        <f>B29*Inputs!B8/12</f>
        <v>95835.525663546854</v>
      </c>
      <c r="L29">
        <f t="shared" si="3"/>
        <v>1006273.0194672419</v>
      </c>
      <c r="M29">
        <f t="shared" si="4"/>
        <v>2215101.4369367999</v>
      </c>
    </row>
    <row r="30" spans="1:13" x14ac:dyDescent="0.2">
      <c r="A30">
        <v>29</v>
      </c>
      <c r="B30">
        <f t="shared" si="5"/>
        <v>227718413.86662823</v>
      </c>
      <c r="C30">
        <f>IF(A30&lt;=Inputs!B7,IF(B30&gt;0,-PMT(Inputs!B6/12,Inputs!B7-A30+1,B30),0),0)</f>
        <v>1499805.1068649464</v>
      </c>
      <c r="D30">
        <f>B30*Inputs!B6/12</f>
        <v>1091150.733110927</v>
      </c>
      <c r="E30">
        <f t="shared" si="0"/>
        <v>408654.37375401938</v>
      </c>
      <c r="F30">
        <f>MAX((B30-E30)*Inputs!B18,0)</f>
        <v>1573979.7498753772</v>
      </c>
      <c r="G30">
        <f>MAX((B30-E30-F30)*Inputs!B19,0)</f>
        <v>284128.43816238892</v>
      </c>
      <c r="H30">
        <f>G30*Inputs!B17</f>
        <v>71032.10954059723</v>
      </c>
      <c r="I30">
        <f t="shared" si="1"/>
        <v>2266762.5617917855</v>
      </c>
      <c r="J30">
        <f t="shared" si="2"/>
        <v>225451651.30483645</v>
      </c>
      <c r="K30">
        <f>B30*Inputs!B8/12</f>
        <v>94882.672444428434</v>
      </c>
      <c r="L30">
        <f t="shared" si="3"/>
        <v>996268.06066649861</v>
      </c>
      <c r="M30">
        <f t="shared" si="4"/>
        <v>2195730.4522511885</v>
      </c>
    </row>
    <row r="31" spans="1:13" x14ac:dyDescent="0.2">
      <c r="A31">
        <v>30</v>
      </c>
      <c r="B31">
        <f t="shared" si="5"/>
        <v>225451651.30483645</v>
      </c>
      <c r="C31">
        <f>IF(A31&lt;=Inputs!B7,IF(B31&gt;0,-PMT(Inputs!B6/12,Inputs!B7-A31+1,B31),0),0)</f>
        <v>1487545.1838605672</v>
      </c>
      <c r="D31">
        <f>B31*Inputs!B6/12</f>
        <v>1080289.1625023414</v>
      </c>
      <c r="E31">
        <f t="shared" si="0"/>
        <v>407256.02135822573</v>
      </c>
      <c r="F31">
        <f>MAX((B31-E31)*Inputs!B18,0)</f>
        <v>1558293.5012970644</v>
      </c>
      <c r="G31">
        <f>MAX((B31-E31-F31)*Inputs!B19,0)</f>
        <v>281296.82021461293</v>
      </c>
      <c r="H31">
        <f>G31*Inputs!B17</f>
        <v>70324.205053653233</v>
      </c>
      <c r="I31">
        <f t="shared" si="1"/>
        <v>2246846.342869903</v>
      </c>
      <c r="J31">
        <f t="shared" si="2"/>
        <v>223204804.96196654</v>
      </c>
      <c r="K31">
        <f>B31*Inputs!B8/12</f>
        <v>93938.188043681861</v>
      </c>
      <c r="L31">
        <f t="shared" si="3"/>
        <v>986350.97445865953</v>
      </c>
      <c r="M31">
        <f t="shared" si="4"/>
        <v>2176522.1378162499</v>
      </c>
    </row>
    <row r="32" spans="1:13" x14ac:dyDescent="0.2">
      <c r="A32">
        <v>31</v>
      </c>
      <c r="B32">
        <f t="shared" si="5"/>
        <v>223204804.96196654</v>
      </c>
      <c r="C32">
        <f>IF(A32&lt;=Inputs!B7,IF(B32&gt;0,-PMT(Inputs!B6/12,Inputs!B7-A32+1,B32),0),0)</f>
        <v>1475385.4776852848</v>
      </c>
      <c r="D32">
        <f>B32*Inputs!B6/12</f>
        <v>1069523.0237760898</v>
      </c>
      <c r="E32">
        <f t="shared" si="0"/>
        <v>405862.45390919503</v>
      </c>
      <c r="F32">
        <f>MAX((B32-E32)*Inputs!B18,0)</f>
        <v>1542745.1271062733</v>
      </c>
      <c r="G32">
        <f>MAX((B32-E32-F32)*Inputs!B19,0)</f>
        <v>278490.09079185914</v>
      </c>
      <c r="H32">
        <f>G32*Inputs!B17</f>
        <v>69622.522697964785</v>
      </c>
      <c r="I32">
        <f t="shared" si="1"/>
        <v>2227097.6718073273</v>
      </c>
      <c r="J32">
        <f t="shared" si="2"/>
        <v>220977707.29015923</v>
      </c>
      <c r="K32">
        <f>B32*Inputs!B8/12</f>
        <v>93002.002067486057</v>
      </c>
      <c r="L32">
        <f t="shared" si="3"/>
        <v>976521.02170860372</v>
      </c>
      <c r="M32">
        <f t="shared" si="4"/>
        <v>2157475.1491093626</v>
      </c>
    </row>
    <row r="33" spans="1:13" x14ac:dyDescent="0.2">
      <c r="A33">
        <v>32</v>
      </c>
      <c r="B33">
        <f t="shared" si="5"/>
        <v>220977707.29015923</v>
      </c>
      <c r="C33">
        <f>IF(A33&lt;=Inputs!B7,IF(B33&gt;0,-PMT(Inputs!B6/12,Inputs!B7-A33+1,B33),0),0)</f>
        <v>1463325.1691322553</v>
      </c>
      <c r="D33">
        <f>B33*Inputs!B6/12</f>
        <v>1058851.5140986796</v>
      </c>
      <c r="E33">
        <f t="shared" si="0"/>
        <v>404473.6550335756</v>
      </c>
      <c r="F33">
        <f>MAX((B33-E33)*Inputs!B18,0)</f>
        <v>1527333.4672508931</v>
      </c>
      <c r="G33">
        <f>MAX((B33-E33-F33)*Inputs!B19,0)</f>
        <v>275708.04048622731</v>
      </c>
      <c r="H33">
        <f>G33*Inputs!B17</f>
        <v>68927.010121556828</v>
      </c>
      <c r="I33">
        <f t="shared" si="1"/>
        <v>2207515.162770696</v>
      </c>
      <c r="J33">
        <f t="shared" si="2"/>
        <v>218770192.12738854</v>
      </c>
      <c r="K33">
        <f>B33*Inputs!B8/12</f>
        <v>92074.044704233005</v>
      </c>
      <c r="L33">
        <f t="shared" si="3"/>
        <v>966777.46939444658</v>
      </c>
      <c r="M33">
        <f t="shared" si="4"/>
        <v>2138588.1526491391</v>
      </c>
    </row>
    <row r="34" spans="1:13" x14ac:dyDescent="0.2">
      <c r="A34">
        <v>33</v>
      </c>
      <c r="B34">
        <f t="shared" si="5"/>
        <v>218770192.12738854</v>
      </c>
      <c r="C34">
        <f>IF(A34&lt;=Inputs!B7,IF(B34&gt;0,-PMT(Inputs!B6/12,Inputs!B7-A34+1,B34),0),0)</f>
        <v>1451363.4456911129</v>
      </c>
      <c r="D34">
        <f>B34*Inputs!B6/12</f>
        <v>1048273.8372770702</v>
      </c>
      <c r="E34">
        <f t="shared" si="0"/>
        <v>403089.60841404274</v>
      </c>
      <c r="F34">
        <f>MAX((B34-E34)*Inputs!B18,0)</f>
        <v>1512057.3712744652</v>
      </c>
      <c r="G34">
        <f>MAX((B34-E34-F34)*Inputs!B19,0)</f>
        <v>272950.46162198531</v>
      </c>
      <c r="H34">
        <f>G34*Inputs!B17</f>
        <v>68237.615405496326</v>
      </c>
      <c r="I34">
        <f t="shared" si="1"/>
        <v>2188097.4413104933</v>
      </c>
      <c r="J34">
        <f t="shared" si="2"/>
        <v>216582094.68607804</v>
      </c>
      <c r="K34">
        <f>B34*Inputs!B8/12</f>
        <v>91154.246719745221</v>
      </c>
      <c r="L34">
        <f t="shared" si="3"/>
        <v>957119.59055732493</v>
      </c>
      <c r="M34">
        <f t="shared" si="4"/>
        <v>2119859.8259049971</v>
      </c>
    </row>
    <row r="35" spans="1:13" x14ac:dyDescent="0.2">
      <c r="A35">
        <v>34</v>
      </c>
      <c r="B35">
        <f t="shared" si="5"/>
        <v>216582094.68607804</v>
      </c>
      <c r="C35">
        <f>IF(A35&lt;=Inputs!B7,IF(B35&gt;0,-PMT(Inputs!B6/12,Inputs!B7-A35+1,B35),0),0)</f>
        <v>1439499.5014932312</v>
      </c>
      <c r="D35">
        <f>B35*Inputs!B6/12</f>
        <v>1037789.203704124</v>
      </c>
      <c r="E35">
        <f t="shared" si="0"/>
        <v>401710.29778910719</v>
      </c>
      <c r="F35">
        <f>MAX((B35-E35)*Inputs!B18,0)</f>
        <v>1496915.6982373588</v>
      </c>
      <c r="G35">
        <f>MAX((B35-E35-F35)*Inputs!B19,0)</f>
        <v>270217.14824134036</v>
      </c>
      <c r="H35">
        <f>G35*Inputs!B17</f>
        <v>67554.287060335089</v>
      </c>
      <c r="I35">
        <f t="shared" si="1"/>
        <v>2168843.1442678063</v>
      </c>
      <c r="J35">
        <f t="shared" si="2"/>
        <v>214413251.54181024</v>
      </c>
      <c r="K35">
        <f>B35*Inputs!B8/12</f>
        <v>90242.539452532525</v>
      </c>
      <c r="L35">
        <f t="shared" si="3"/>
        <v>947546.66425159143</v>
      </c>
      <c r="M35">
        <f t="shared" si="4"/>
        <v>2101288.857207471</v>
      </c>
    </row>
    <row r="36" spans="1:13" x14ac:dyDescent="0.2">
      <c r="A36">
        <v>35</v>
      </c>
      <c r="B36">
        <f t="shared" si="5"/>
        <v>214413251.54181024</v>
      </c>
      <c r="C36">
        <f>IF(A36&lt;=Inputs!B7,IF(B36&gt;0,-PMT(Inputs!B6/12,Inputs!B7-A36+1,B36),0),0)</f>
        <v>1427732.5372574315</v>
      </c>
      <c r="D36">
        <f>B36*Inputs!B6/12</f>
        <v>1027396.8303045075</v>
      </c>
      <c r="E36">
        <f t="shared" si="0"/>
        <v>400335.70695292403</v>
      </c>
      <c r="F36">
        <f>MAX((B36-E36)*Inputs!B18,0)</f>
        <v>1481907.3166385917</v>
      </c>
      <c r="G36">
        <f>MAX((B36-E36-F36)*Inputs!B19,0)</f>
        <v>267507.89609032602</v>
      </c>
      <c r="H36">
        <f>G36*Inputs!B17</f>
        <v>66876.974022581504</v>
      </c>
      <c r="I36">
        <f t="shared" si="1"/>
        <v>2149750.9196818415</v>
      </c>
      <c r="J36">
        <f t="shared" si="2"/>
        <v>212263500.6221284</v>
      </c>
      <c r="K36">
        <f>B36*Inputs!B8/12</f>
        <v>89338.854809087599</v>
      </c>
      <c r="L36">
        <f t="shared" si="3"/>
        <v>938057.97549541993</v>
      </c>
      <c r="M36">
        <f t="shared" si="4"/>
        <v>2082873.94565926</v>
      </c>
    </row>
    <row r="37" spans="1:13" x14ac:dyDescent="0.2">
      <c r="A37">
        <v>36</v>
      </c>
      <c r="B37">
        <f t="shared" si="5"/>
        <v>212263500.6221284</v>
      </c>
      <c r="C37">
        <f>IF(A37&lt;=Inputs!B7,IF(B37&gt;0,-PMT(Inputs!B6/12,Inputs!B7-A37+1,B37),0),0)</f>
        <v>1416061.7602361348</v>
      </c>
      <c r="D37">
        <f>B37*Inputs!B6/12</f>
        <v>1017095.9404810319</v>
      </c>
      <c r="E37">
        <f t="shared" si="0"/>
        <v>398965.81975510286</v>
      </c>
      <c r="F37">
        <f>MAX((B37-E37)*Inputs!B18,0)</f>
        <v>1467031.1043382913</v>
      </c>
      <c r="G37">
        <f>MAX((B37-E37-F37)*Inputs!B19,0)</f>
        <v>264822.50260480557</v>
      </c>
      <c r="H37">
        <f>G37*Inputs!B17</f>
        <v>66205.625651201393</v>
      </c>
      <c r="I37">
        <f t="shared" si="1"/>
        <v>2130819.4266981995</v>
      </c>
      <c r="J37">
        <f t="shared" si="2"/>
        <v>210132681.19543019</v>
      </c>
      <c r="K37">
        <f>B37*Inputs!B8/12</f>
        <v>88443.125259220178</v>
      </c>
      <c r="L37">
        <f t="shared" si="3"/>
        <v>928652.81522181176</v>
      </c>
      <c r="M37">
        <f t="shared" si="4"/>
        <v>2064613.801046998</v>
      </c>
    </row>
    <row r="38" spans="1:13" x14ac:dyDescent="0.2">
      <c r="A38">
        <v>37</v>
      </c>
      <c r="B38">
        <f t="shared" si="5"/>
        <v>210132681.19543019</v>
      </c>
      <c r="C38">
        <f>IF(A38&lt;=Inputs!B7,IF(B38&gt;0,-PMT(Inputs!B6/12,Inputs!B7-A38+1,B38),0),0)</f>
        <v>1404486.3841619522</v>
      </c>
      <c r="D38">
        <f>B38*Inputs!B6/12</f>
        <v>1006885.7640614364</v>
      </c>
      <c r="E38">
        <f t="shared" si="0"/>
        <v>397600.62010051578</v>
      </c>
      <c r="F38">
        <f>MAX((B38-E38)*Inputs!B18,0)</f>
        <v>1452285.9484807916</v>
      </c>
      <c r="G38">
        <f>MAX((B38-E38-F38)*Inputs!B19,0)</f>
        <v>262160.76689658943</v>
      </c>
      <c r="H38">
        <f>G38*Inputs!B17</f>
        <v>65540.191724147357</v>
      </c>
      <c r="I38">
        <f t="shared" si="1"/>
        <v>2112047.335477897</v>
      </c>
      <c r="J38">
        <f t="shared" si="2"/>
        <v>208020633.8599523</v>
      </c>
      <c r="K38">
        <f>B38*Inputs!B8/12</f>
        <v>87555.283831429246</v>
      </c>
      <c r="L38">
        <f t="shared" si="3"/>
        <v>919330.4802300072</v>
      </c>
      <c r="M38">
        <f t="shared" si="4"/>
        <v>2046507.1437537496</v>
      </c>
    </row>
    <row r="39" spans="1:13" x14ac:dyDescent="0.2">
      <c r="A39">
        <v>38</v>
      </c>
      <c r="B39">
        <f t="shared" si="5"/>
        <v>208020633.8599523</v>
      </c>
      <c r="C39">
        <f>IF(A39&lt;=Inputs!B7,IF(B39&gt;0,-PMT(Inputs!B6/12,Inputs!B7-A39+1,B39),0),0)</f>
        <v>1393005.6291947169</v>
      </c>
      <c r="D39">
        <f>B39*Inputs!B6/12</f>
        <v>996765.53724560479</v>
      </c>
      <c r="E39">
        <f t="shared" si="0"/>
        <v>396240.09194911213</v>
      </c>
      <c r="F39">
        <f>MAX((B39-E39)*Inputs!B18,0)</f>
        <v>1437670.7454183595</v>
      </c>
      <c r="G39">
        <f>MAX((B39-E39-F39)*Inputs!B19,0)</f>
        <v>259522.48973966678</v>
      </c>
      <c r="H39">
        <f>G39*Inputs!B17</f>
        <v>64880.622434916695</v>
      </c>
      <c r="I39">
        <f t="shared" si="1"/>
        <v>2093433.3271071385</v>
      </c>
      <c r="J39">
        <f t="shared" si="2"/>
        <v>205927200.53284517</v>
      </c>
      <c r="K39">
        <f>B39*Inputs!B8/12</f>
        <v>86675.264108313466</v>
      </c>
      <c r="L39">
        <f t="shared" si="3"/>
        <v>910090.27313729131</v>
      </c>
      <c r="M39">
        <f t="shared" si="4"/>
        <v>2028552.7046722218</v>
      </c>
    </row>
    <row r="40" spans="1:13" x14ac:dyDescent="0.2">
      <c r="A40">
        <v>39</v>
      </c>
      <c r="B40">
        <f t="shared" si="5"/>
        <v>205927200.53284517</v>
      </c>
      <c r="C40">
        <f>IF(A40&lt;=Inputs!B7,IF(B40&gt;0,-PMT(Inputs!B6/12,Inputs!B7-A40+1,B40),0),0)</f>
        <v>1381618.7218689427</v>
      </c>
      <c r="D40">
        <f>B40*Inputs!B6/12</f>
        <v>986734.50255321653</v>
      </c>
      <c r="E40">
        <f t="shared" si="0"/>
        <v>394884.21931572619</v>
      </c>
      <c r="F40">
        <f>MAX((B40-E40)*Inputs!B18,0)</f>
        <v>1423184.4006355444</v>
      </c>
      <c r="G40">
        <f>MAX((B40-E40-F40)*Inputs!B19,0)</f>
        <v>256907.47355654946</v>
      </c>
      <c r="H40">
        <f>G40*Inputs!B17</f>
        <v>64226.868389137366</v>
      </c>
      <c r="I40">
        <f t="shared" si="1"/>
        <v>2074976.09350782</v>
      </c>
      <c r="J40">
        <f t="shared" si="2"/>
        <v>203852224.43933734</v>
      </c>
      <c r="K40">
        <f>B40*Inputs!B8/12</f>
        <v>85803.000222018818</v>
      </c>
      <c r="L40">
        <f t="shared" si="3"/>
        <v>900931.50233119773</v>
      </c>
      <c r="M40">
        <f t="shared" si="4"/>
        <v>2010749.2251186827</v>
      </c>
    </row>
    <row r="41" spans="1:13" x14ac:dyDescent="0.2">
      <c r="A41">
        <v>40</v>
      </c>
      <c r="B41">
        <f t="shared" si="5"/>
        <v>203852224.43933734</v>
      </c>
      <c r="C41">
        <f>IF(A41&lt;=Inputs!B7,IF(B41&gt;0,-PMT(Inputs!B6/12,Inputs!B7-A41+1,B41),0),0)</f>
        <v>1370324.8950417168</v>
      </c>
      <c r="D41">
        <f>B41*Inputs!B6/12</f>
        <v>976791.90877182491</v>
      </c>
      <c r="E41">
        <f t="shared" si="0"/>
        <v>393532.98626989184</v>
      </c>
      <c r="F41">
        <f>MAX((B41-E41)*Inputs!B18,0)</f>
        <v>1408825.8286741518</v>
      </c>
      <c r="G41">
        <f>MAX((B41-E41-F41)*Inputs!B19,0)</f>
        <v>254315.52240472825</v>
      </c>
      <c r="H41">
        <f>G41*Inputs!B17</f>
        <v>63578.880601182063</v>
      </c>
      <c r="I41">
        <f t="shared" si="1"/>
        <v>2056674.337348772</v>
      </c>
      <c r="J41">
        <f t="shared" si="2"/>
        <v>201795550.10198858</v>
      </c>
      <c r="K41">
        <f>B41*Inputs!B8/12</f>
        <v>84938.426849723895</v>
      </c>
      <c r="L41">
        <f t="shared" si="3"/>
        <v>891853.481922101</v>
      </c>
      <c r="M41">
        <f t="shared" si="4"/>
        <v>1993095.4567475899</v>
      </c>
    </row>
    <row r="42" spans="1:13" x14ac:dyDescent="0.2">
      <c r="A42">
        <v>41</v>
      </c>
      <c r="B42">
        <f t="shared" si="5"/>
        <v>201795550.10198858</v>
      </c>
      <c r="C42">
        <f>IF(A42&lt;=Inputs!B7,IF(B42&gt;0,-PMT(Inputs!B6/12,Inputs!B7-A42+1,B42),0),0)</f>
        <v>1359123.3878410158</v>
      </c>
      <c r="D42">
        <f>B42*Inputs!B6/12</f>
        <v>966937.01090536208</v>
      </c>
      <c r="E42">
        <f t="shared" si="0"/>
        <v>392186.37693565374</v>
      </c>
      <c r="F42">
        <f>MAX((B42-E42)*Inputs!B18,0)</f>
        <v>1394593.9530588258</v>
      </c>
      <c r="G42">
        <f>MAX((B42-E42-F42)*Inputs!B19,0)</f>
        <v>251746.4419632396</v>
      </c>
      <c r="H42">
        <f>G42*Inputs!B17</f>
        <v>62936.610490809901</v>
      </c>
      <c r="I42">
        <f t="shared" si="1"/>
        <v>2038526.7719577192</v>
      </c>
      <c r="J42">
        <f t="shared" si="2"/>
        <v>199757023.33003086</v>
      </c>
      <c r="K42">
        <f>B42*Inputs!B8/12</f>
        <v>84081.479209161917</v>
      </c>
      <c r="L42">
        <f t="shared" si="3"/>
        <v>882855.53169620014</v>
      </c>
      <c r="M42">
        <f t="shared" si="4"/>
        <v>1975590.1614669093</v>
      </c>
    </row>
    <row r="43" spans="1:13" x14ac:dyDescent="0.2">
      <c r="A43">
        <v>42</v>
      </c>
      <c r="B43">
        <f t="shared" si="5"/>
        <v>199757023.33003086</v>
      </c>
      <c r="C43">
        <f>IF(A43&lt;=Inputs!B7,IF(B43&gt;0,-PMT(Inputs!B6/12,Inputs!B7-A43+1,B43),0),0)</f>
        <v>1348013.4456144471</v>
      </c>
      <c r="D43">
        <f>B43*Inputs!B6/12</f>
        <v>957169.07012306468</v>
      </c>
      <c r="E43">
        <f t="shared" si="0"/>
        <v>390844.37549138244</v>
      </c>
      <c r="F43">
        <f>MAX((B43-E43)*Inputs!B18,0)</f>
        <v>1380487.7062232464</v>
      </c>
      <c r="G43">
        <f>MAX((B43-E43-F43)*Inputs!B19,0)</f>
        <v>249200.03951934309</v>
      </c>
      <c r="H43">
        <f>G43*Inputs!B17</f>
        <v>62300.009879835772</v>
      </c>
      <c r="I43">
        <f t="shared" si="1"/>
        <v>2020532.1212339718</v>
      </c>
      <c r="J43">
        <f t="shared" si="2"/>
        <v>197736491.20879689</v>
      </c>
      <c r="K43">
        <f>B43*Inputs!B8/12</f>
        <v>83232.093054179524</v>
      </c>
      <c r="L43">
        <f t="shared" si="3"/>
        <v>873936.97706888511</v>
      </c>
      <c r="M43">
        <f t="shared" si="4"/>
        <v>1958232.1113541359</v>
      </c>
    </row>
    <row r="44" spans="1:13" x14ac:dyDescent="0.2">
      <c r="A44">
        <v>43</v>
      </c>
      <c r="B44">
        <f t="shared" si="5"/>
        <v>197736491.20879689</v>
      </c>
      <c r="C44">
        <f>IF(A44&lt;=Inputs!B7,IF(B44&gt;0,-PMT(Inputs!B6/12,Inputs!B7-A44+1,B44),0),0)</f>
        <v>1336994.3198784064</v>
      </c>
      <c r="D44">
        <f>B44*Inputs!B6/12</f>
        <v>947487.35370881844</v>
      </c>
      <c r="E44">
        <f t="shared" si="0"/>
        <v>389506.96616958792</v>
      </c>
      <c r="F44">
        <f>MAX((B44-E44)*Inputs!B18,0)</f>
        <v>1366506.0294369278</v>
      </c>
      <c r="G44">
        <f>MAX((B44-E44-F44)*Inputs!B19,0)</f>
        <v>246676.12395530703</v>
      </c>
      <c r="H44">
        <f>G44*Inputs!B17</f>
        <v>61669.030988826758</v>
      </c>
      <c r="I44">
        <f t="shared" si="1"/>
        <v>2002689.1195618226</v>
      </c>
      <c r="J44">
        <f t="shared" si="2"/>
        <v>195733802.08923507</v>
      </c>
      <c r="K44">
        <f>B44*Inputs!B8/12</f>
        <v>82390.204670332037</v>
      </c>
      <c r="L44">
        <f t="shared" si="3"/>
        <v>865097.14903848642</v>
      </c>
      <c r="M44">
        <f t="shared" si="4"/>
        <v>1941020.088572996</v>
      </c>
    </row>
    <row r="45" spans="1:13" x14ac:dyDescent="0.2">
      <c r="A45">
        <v>44</v>
      </c>
      <c r="B45">
        <f t="shared" si="5"/>
        <v>195733802.08923507</v>
      </c>
      <c r="C45">
        <f>IF(A45&lt;=Inputs!B7,IF(B45&gt;0,-PMT(Inputs!B6/12,Inputs!B7-A45+1,B45),0),0)</f>
        <v>1326065.2682676504</v>
      </c>
      <c r="D45">
        <f>B45*Inputs!B6/12</f>
        <v>937891.13501091814</v>
      </c>
      <c r="E45">
        <f t="shared" si="0"/>
        <v>388174.13325673225</v>
      </c>
      <c r="F45">
        <f>MAX((B45-E45)*Inputs!B18,0)</f>
        <v>1352647.8727326177</v>
      </c>
      <c r="G45">
        <f>MAX((B45-E45-F45)*Inputs!B19,0)</f>
        <v>244174.50573530325</v>
      </c>
      <c r="H45">
        <f>G45*Inputs!B17</f>
        <v>61043.626433825812</v>
      </c>
      <c r="I45">
        <f t="shared" si="1"/>
        <v>1984996.5117246532</v>
      </c>
      <c r="J45">
        <f t="shared" si="2"/>
        <v>193748805.57751042</v>
      </c>
      <c r="K45">
        <f>B45*Inputs!B8/12</f>
        <v>81555.750870514617</v>
      </c>
      <c r="L45">
        <f t="shared" si="3"/>
        <v>856335.38414040348</v>
      </c>
      <c r="M45">
        <f t="shared" si="4"/>
        <v>1923952.8852908274</v>
      </c>
    </row>
    <row r="46" spans="1:13" x14ac:dyDescent="0.2">
      <c r="A46">
        <v>45</v>
      </c>
      <c r="B46">
        <f t="shared" si="5"/>
        <v>193748805.57751042</v>
      </c>
      <c r="C46">
        <f>IF(A46&lt;=Inputs!B7,IF(B46&gt;0,-PMT(Inputs!B6/12,Inputs!B7-A46+1,B46),0),0)</f>
        <v>1315225.5544852875</v>
      </c>
      <c r="D46">
        <f>B46*Inputs!B6/12</f>
        <v>928379.69339223753</v>
      </c>
      <c r="E46">
        <f t="shared" si="0"/>
        <v>386845.86109304999</v>
      </c>
      <c r="F46">
        <f>MAX((B46-E46)*Inputs!B18,0)</f>
        <v>1338912.1948342926</v>
      </c>
      <c r="G46">
        <f>MAX((B46-E46-F46)*Inputs!B19,0)</f>
        <v>241694.99689240879</v>
      </c>
      <c r="H46">
        <f>G46*Inputs!B17</f>
        <v>60423.749223102197</v>
      </c>
      <c r="I46">
        <f t="shared" si="1"/>
        <v>1967453.0528197514</v>
      </c>
      <c r="J46">
        <f t="shared" si="2"/>
        <v>191781352.52469066</v>
      </c>
      <c r="K46">
        <f>B46*Inputs!B8/12</f>
        <v>80728.668990629332</v>
      </c>
      <c r="L46">
        <f t="shared" si="3"/>
        <v>847651.02440160816</v>
      </c>
      <c r="M46">
        <f t="shared" si="4"/>
        <v>1907029.3035966493</v>
      </c>
    </row>
    <row r="47" spans="1:13" x14ac:dyDescent="0.2">
      <c r="A47">
        <v>46</v>
      </c>
      <c r="B47">
        <f t="shared" si="5"/>
        <v>191781352.52469066</v>
      </c>
      <c r="C47">
        <f>IF(A47&lt;=Inputs!B7,IF(B47&gt;0,-PMT(Inputs!B6/12,Inputs!B7-A47+1,B47),0),0)</f>
        <v>1304474.4482531671</v>
      </c>
      <c r="D47">
        <f>B47*Inputs!B6/12</f>
        <v>918952.31418080942</v>
      </c>
      <c r="E47">
        <f t="shared" si="0"/>
        <v>385522.13407235767</v>
      </c>
      <c r="F47">
        <f>MAX((B47-E47)*Inputs!B18,0)</f>
        <v>1325297.9630857394</v>
      </c>
      <c r="G47">
        <f>MAX((B47-E47-F47)*Inputs!B19,0)</f>
        <v>239237.41101571408</v>
      </c>
      <c r="H47">
        <f>G47*Inputs!B17</f>
        <v>59809.352753928521</v>
      </c>
      <c r="I47">
        <f t="shared" si="1"/>
        <v>1950057.5081738112</v>
      </c>
      <c r="J47">
        <f t="shared" si="2"/>
        <v>189831295.01651683</v>
      </c>
      <c r="K47">
        <f>B47*Inputs!B8/12</f>
        <v>79908.896885287773</v>
      </c>
      <c r="L47">
        <f t="shared" si="3"/>
        <v>839043.41729552159</v>
      </c>
      <c r="M47">
        <f t="shared" si="4"/>
        <v>1890248.1554198826</v>
      </c>
    </row>
    <row r="48" spans="1:13" x14ac:dyDescent="0.2">
      <c r="A48">
        <v>47</v>
      </c>
      <c r="B48">
        <f t="shared" si="5"/>
        <v>189831295.01651683</v>
      </c>
      <c r="C48">
        <f>IF(A48&lt;=Inputs!B7,IF(B48&gt;0,-PMT(Inputs!B6/12,Inputs!B7-A48+1,B48),0),0)</f>
        <v>1293811.2252626852</v>
      </c>
      <c r="D48">
        <f>B48*Inputs!B6/12</f>
        <v>909608.28862080991</v>
      </c>
      <c r="E48">
        <f t="shared" si="0"/>
        <v>384202.93664187531</v>
      </c>
      <c r="F48">
        <f>MAX((B48-E48)*Inputs!B18,0)</f>
        <v>1311804.1533797267</v>
      </c>
      <c r="G48">
        <f>MAX((B48-E48-F48)*Inputs!B19,0)</f>
        <v>236801.56323753684</v>
      </c>
      <c r="H48">
        <f>G48*Inputs!B17</f>
        <v>59200.390809384211</v>
      </c>
      <c r="I48">
        <f t="shared" si="1"/>
        <v>1932808.6532591388</v>
      </c>
      <c r="J48">
        <f t="shared" si="2"/>
        <v>187898486.36325771</v>
      </c>
      <c r="K48">
        <f>B48*Inputs!B8/12</f>
        <v>79096.372923548683</v>
      </c>
      <c r="L48">
        <f t="shared" si="3"/>
        <v>830511.91569726123</v>
      </c>
      <c r="M48">
        <f t="shared" si="4"/>
        <v>1873608.2624497546</v>
      </c>
    </row>
    <row r="49" spans="1:13" x14ac:dyDescent="0.2">
      <c r="A49">
        <v>48</v>
      </c>
      <c r="B49">
        <f t="shared" si="5"/>
        <v>187898486.36325771</v>
      </c>
      <c r="C49">
        <f>IF(A49&lt;=Inputs!B7,IF(B49&gt;0,-PMT(Inputs!B6/12,Inputs!B7-A49+1,B49),0),0)</f>
        <v>1283235.167125986</v>
      </c>
      <c r="D49">
        <f>B49*Inputs!B6/12</f>
        <v>900346.91382394324</v>
      </c>
      <c r="E49">
        <f t="shared" si="0"/>
        <v>382888.25330204272</v>
      </c>
      <c r="F49">
        <f>MAX((B49-E49)*Inputs!B18,0)</f>
        <v>1298429.7500877525</v>
      </c>
      <c r="G49">
        <f>MAX((B49-E49-F49)*Inputs!B19,0)</f>
        <v>234387.27022074081</v>
      </c>
      <c r="H49">
        <f>G49*Inputs!B17</f>
        <v>58596.817555185204</v>
      </c>
      <c r="I49">
        <f t="shared" si="1"/>
        <v>1915705.273610536</v>
      </c>
      <c r="J49">
        <f t="shared" si="2"/>
        <v>185982781.08964717</v>
      </c>
      <c r="K49">
        <f>B49*Inputs!B8/12</f>
        <v>78291.035984690709</v>
      </c>
      <c r="L49">
        <f t="shared" si="3"/>
        <v>822055.87783925259</v>
      </c>
      <c r="M49">
        <f t="shared" si="4"/>
        <v>1857108.4560553508</v>
      </c>
    </row>
    <row r="50" spans="1:13" x14ac:dyDescent="0.2">
      <c r="A50">
        <v>49</v>
      </c>
      <c r="B50">
        <f t="shared" si="5"/>
        <v>185982781.08964717</v>
      </c>
      <c r="C50">
        <f>IF(A50&lt;=Inputs!B7,IF(B50&gt;0,-PMT(Inputs!B6/12,Inputs!B7-A50+1,B50),0),0)</f>
        <v>1272745.5613275622</v>
      </c>
      <c r="D50">
        <f>B50*Inputs!B6/12</f>
        <v>891167.49272122607</v>
      </c>
      <c r="E50">
        <f t="shared" si="0"/>
        <v>381578.06860633614</v>
      </c>
      <c r="F50">
        <f>MAX((B50-E50)*Inputs!B18,0)</f>
        <v>1285173.7459903688</v>
      </c>
      <c r="G50">
        <f>MAX((B50-E50-F50)*Inputs!B19,0)</f>
        <v>231994.35014615784</v>
      </c>
      <c r="H50">
        <f>G50*Inputs!B17</f>
        <v>57998.58753653946</v>
      </c>
      <c r="I50">
        <f t="shared" si="1"/>
        <v>1898746.1647428628</v>
      </c>
      <c r="J50">
        <f t="shared" si="2"/>
        <v>184084034.92490432</v>
      </c>
      <c r="K50">
        <f>B50*Inputs!B8/12</f>
        <v>77492.825454019665</v>
      </c>
      <c r="L50">
        <f t="shared" si="3"/>
        <v>813674.66726720636</v>
      </c>
      <c r="M50">
        <f t="shared" si="4"/>
        <v>1840747.5772063234</v>
      </c>
    </row>
    <row r="51" spans="1:13" x14ac:dyDescent="0.2">
      <c r="A51">
        <v>50</v>
      </c>
      <c r="B51">
        <f t="shared" si="5"/>
        <v>184084034.92490432</v>
      </c>
      <c r="C51">
        <f>IF(A51&lt;=Inputs!B7,IF(B51&gt;0,-PMT(Inputs!B6/12,Inputs!B7-A51+1,B51),0),0)</f>
        <v>1262341.7011762536</v>
      </c>
      <c r="D51">
        <f>B51*Inputs!B6/12</f>
        <v>882069.3340151665</v>
      </c>
      <c r="E51">
        <f t="shared" si="0"/>
        <v>380272.36716108711</v>
      </c>
      <c r="F51">
        <f>MAX((B51-E51)*Inputs!B18,0)</f>
        <v>1272035.1422080784</v>
      </c>
      <c r="G51">
        <f>MAX((B51-E51-F51)*Inputs!B19,0)</f>
        <v>229622.62270011404</v>
      </c>
      <c r="H51">
        <f>G51*Inputs!B17</f>
        <v>57405.655675028509</v>
      </c>
      <c r="I51">
        <f t="shared" si="1"/>
        <v>1881930.1320692797</v>
      </c>
      <c r="J51">
        <f t="shared" si="2"/>
        <v>182202104.79283503</v>
      </c>
      <c r="K51">
        <f>B51*Inputs!B8/12</f>
        <v>76701.681218710131</v>
      </c>
      <c r="L51">
        <f t="shared" si="3"/>
        <v>805367.65279645636</v>
      </c>
      <c r="M51">
        <f t="shared" si="4"/>
        <v>1824524.4763942512</v>
      </c>
    </row>
    <row r="52" spans="1:13" x14ac:dyDescent="0.2">
      <c r="A52">
        <v>51</v>
      </c>
      <c r="B52">
        <f t="shared" si="5"/>
        <v>182202104.79283503</v>
      </c>
      <c r="C52">
        <f>IF(A52&lt;=Inputs!B7,IF(B52&gt;0,-PMT(Inputs!B6/12,Inputs!B7-A52+1,B52),0),0)</f>
        <v>1252022.8857576367</v>
      </c>
      <c r="D52">
        <f>B52*Inputs!B6/12</f>
        <v>873051.75213233463</v>
      </c>
      <c r="E52">
        <f t="shared" si="0"/>
        <v>378971.13362530211</v>
      </c>
      <c r="F52">
        <f>MAX((B52-E52)*Inputs!B18,0)</f>
        <v>1259012.9481327953</v>
      </c>
      <c r="G52">
        <f>MAX((B52-E52-F52)*Inputs!B19,0)</f>
        <v>227271.90906205695</v>
      </c>
      <c r="H52">
        <f>G52*Inputs!B17</f>
        <v>56817.977265514237</v>
      </c>
      <c r="I52">
        <f t="shared" si="1"/>
        <v>1865255.9908201543</v>
      </c>
      <c r="J52">
        <f t="shared" si="2"/>
        <v>180336848.80201489</v>
      </c>
      <c r="K52">
        <f>B52*Inputs!B8/12</f>
        <v>75917.543663681266</v>
      </c>
      <c r="L52">
        <f t="shared" si="3"/>
        <v>797134.20846865338</v>
      </c>
      <c r="M52">
        <f t="shared" si="4"/>
        <v>1808438.0135546401</v>
      </c>
    </row>
    <row r="53" spans="1:13" x14ac:dyDescent="0.2">
      <c r="A53">
        <v>52</v>
      </c>
      <c r="B53">
        <f t="shared" si="5"/>
        <v>180336848.80201489</v>
      </c>
      <c r="C53">
        <f>IF(A53&lt;=Inputs!B7,IF(B53&gt;0,-PMT(Inputs!B6/12,Inputs!B7-A53+1,B53),0),0)</f>
        <v>1241788.4198868044</v>
      </c>
      <c r="D53">
        <f>B53*Inputs!B6/12</f>
        <v>864114.0671763214</v>
      </c>
      <c r="E53">
        <f t="shared" si="0"/>
        <v>377674.35271048301</v>
      </c>
      <c r="F53">
        <f>MAX((B53-E53)*Inputs!B18,0)</f>
        <v>1246106.181359868</v>
      </c>
      <c r="G53">
        <f>MAX((B53-E53-F53)*Inputs!B19,0)</f>
        <v>224942.03189228498</v>
      </c>
      <c r="H53">
        <f>G53*Inputs!B17</f>
        <v>56235.507973071246</v>
      </c>
      <c r="I53">
        <f t="shared" si="1"/>
        <v>1848722.5659626361</v>
      </c>
      <c r="J53">
        <f t="shared" si="2"/>
        <v>178488126.23605224</v>
      </c>
      <c r="K53">
        <f>B53*Inputs!B8/12</f>
        <v>75140.353667506206</v>
      </c>
      <c r="L53">
        <f t="shared" si="3"/>
        <v>788973.71350881516</v>
      </c>
      <c r="M53">
        <f t="shared" si="4"/>
        <v>1792487.057989565</v>
      </c>
    </row>
    <row r="54" spans="1:13" x14ac:dyDescent="0.2">
      <c r="A54">
        <v>53</v>
      </c>
      <c r="B54">
        <f t="shared" si="5"/>
        <v>178488126.23605224</v>
      </c>
      <c r="C54">
        <f>IF(A54&lt;=Inputs!B7,IF(B54&gt;0,-PMT(Inputs!B6/12,Inputs!B7-A54+1,B54),0),0)</f>
        <v>1231637.6140615293</v>
      </c>
      <c r="D54">
        <f>B54*Inputs!B6/12</f>
        <v>855255.60488108371</v>
      </c>
      <c r="E54">
        <f t="shared" si="0"/>
        <v>376382.00918044557</v>
      </c>
      <c r="F54">
        <f>MAX((B54-E54)*Inputs!B18,0)</f>
        <v>1233313.8676206605</v>
      </c>
      <c r="G54">
        <f>MAX((B54-E54-F54)*Inputs!B19,0)</f>
        <v>222632.81531977691</v>
      </c>
      <c r="H54">
        <f>G54*Inputs!B17</f>
        <v>55658.203829944228</v>
      </c>
      <c r="I54">
        <f t="shared" si="1"/>
        <v>1832328.6921208831</v>
      </c>
      <c r="J54">
        <f t="shared" si="2"/>
        <v>176655797.54393137</v>
      </c>
      <c r="K54">
        <f>B54*Inputs!B8/12</f>
        <v>74370.052598355105</v>
      </c>
      <c r="L54">
        <f t="shared" si="3"/>
        <v>780885.5522827286</v>
      </c>
      <c r="M54">
        <f t="shared" si="4"/>
        <v>1776670.488290939</v>
      </c>
    </row>
    <row r="55" spans="1:13" x14ac:dyDescent="0.2">
      <c r="A55">
        <v>54</v>
      </c>
      <c r="B55">
        <f t="shared" si="5"/>
        <v>176655797.54393137</v>
      </c>
      <c r="C55">
        <f>IF(A55&lt;=Inputs!B7,IF(B55&gt;0,-PMT(Inputs!B6/12,Inputs!B7-A55+1,B55),0),0)</f>
        <v>1221569.7844158129</v>
      </c>
      <c r="D55">
        <f>B55*Inputs!B6/12</f>
        <v>846475.69656467112</v>
      </c>
      <c r="E55">
        <f t="shared" si="0"/>
        <v>375094.08785114181</v>
      </c>
      <c r="F55">
        <f>MAX((B55-E55)*Inputs!B18,0)</f>
        <v>1220635.0407156833</v>
      </c>
      <c r="G55">
        <f>MAX((B55-E55-F55)*Inputs!B19,0)</f>
        <v>220344.0849301212</v>
      </c>
      <c r="H55">
        <f>G55*Inputs!B17</f>
        <v>55086.0212325303</v>
      </c>
      <c r="I55">
        <f t="shared" si="1"/>
        <v>1816073.2134969463</v>
      </c>
      <c r="J55">
        <f t="shared" si="2"/>
        <v>174839724.33043441</v>
      </c>
      <c r="K55">
        <f>B55*Inputs!B8/12</f>
        <v>73606.582309971403</v>
      </c>
      <c r="L55">
        <f t="shared" si="3"/>
        <v>772869.11425469967</v>
      </c>
      <c r="M55">
        <f t="shared" si="4"/>
        <v>1760987.192264416</v>
      </c>
    </row>
    <row r="56" spans="1:13" x14ac:dyDescent="0.2">
      <c r="A56">
        <v>55</v>
      </c>
      <c r="B56">
        <f t="shared" si="5"/>
        <v>174839724.33043441</v>
      </c>
      <c r="C56">
        <f>IF(A56&lt;=Inputs!B7,IF(B56&gt;0,-PMT(Inputs!B6/12,Inputs!B7-A56+1,B56),0),0)</f>
        <v>1211584.2526738127</v>
      </c>
      <c r="D56">
        <f>B56*Inputs!B6/12</f>
        <v>837773.6790833316</v>
      </c>
      <c r="E56">
        <f t="shared" si="0"/>
        <v>373810.57359048107</v>
      </c>
      <c r="F56">
        <f>MAX((B56-E56)*Inputs!B18,0)</f>
        <v>1208068.7424482747</v>
      </c>
      <c r="G56">
        <f>MAX((B56-E56-F56)*Inputs!B19,0)</f>
        <v>218075.66775354432</v>
      </c>
      <c r="H56">
        <f>G56*Inputs!B17</f>
        <v>54518.916938386079</v>
      </c>
      <c r="I56">
        <f t="shared" si="1"/>
        <v>1799954.9837923001</v>
      </c>
      <c r="J56">
        <f t="shared" si="2"/>
        <v>173039769.34664211</v>
      </c>
      <c r="K56">
        <f>B56*Inputs!B8/12</f>
        <v>72849.885137681005</v>
      </c>
      <c r="L56">
        <f t="shared" si="3"/>
        <v>764923.79394565057</v>
      </c>
      <c r="M56">
        <f t="shared" si="4"/>
        <v>1745436.0668539139</v>
      </c>
    </row>
    <row r="57" spans="1:13" x14ac:dyDescent="0.2">
      <c r="A57">
        <v>56</v>
      </c>
      <c r="B57">
        <f t="shared" si="5"/>
        <v>173039769.34664211</v>
      </c>
      <c r="C57">
        <f>IF(A57&lt;=Inputs!B7,IF(B57&gt;0,-PMT(Inputs!B6/12,Inputs!B7-A57+1,B57),0),0)</f>
        <v>1201680.3461041457</v>
      </c>
      <c r="D57">
        <f>B57*Inputs!B6/12</f>
        <v>829148.89478599338</v>
      </c>
      <c r="E57">
        <f t="shared" si="0"/>
        <v>372531.45131815237</v>
      </c>
      <c r="F57">
        <f>MAX((B57-E57)*Inputs!B18,0)</f>
        <v>1195614.0225588244</v>
      </c>
      <c r="G57">
        <f>MAX((B57-E57-F57)*Inputs!B19,0)</f>
        <v>215827.3922530369</v>
      </c>
      <c r="H57">
        <f>G57*Inputs!B17</f>
        <v>53956.848063259225</v>
      </c>
      <c r="I57">
        <f t="shared" si="1"/>
        <v>1783972.8661300137</v>
      </c>
      <c r="J57">
        <f t="shared" si="2"/>
        <v>171255796.48051208</v>
      </c>
      <c r="K57">
        <f>B57*Inputs!B8/12</f>
        <v>72099.903894434217</v>
      </c>
      <c r="L57">
        <f t="shared" si="3"/>
        <v>757048.99089155917</v>
      </c>
      <c r="M57">
        <f t="shared" si="4"/>
        <v>1730016.0180667546</v>
      </c>
    </row>
    <row r="58" spans="1:13" x14ac:dyDescent="0.2">
      <c r="A58">
        <v>57</v>
      </c>
      <c r="B58">
        <f t="shared" si="5"/>
        <v>171255796.48051208</v>
      </c>
      <c r="C58">
        <f>IF(A58&lt;=Inputs!B7,IF(B58&gt;0,-PMT(Inputs!B6/12,Inputs!B7-A58+1,B58),0),0)</f>
        <v>1191857.3974745679</v>
      </c>
      <c r="D58">
        <f>B58*Inputs!B6/12</f>
        <v>820600.69146912044</v>
      </c>
      <c r="E58">
        <f t="shared" si="0"/>
        <v>371256.70600544743</v>
      </c>
      <c r="F58">
        <f>MAX((B58-E58)*Inputs!B18,0)</f>
        <v>1183269.9386595348</v>
      </c>
      <c r="G58">
        <f>MAX((B58-E58-F58)*Inputs!B19,0)</f>
        <v>213599.08831257749</v>
      </c>
      <c r="H58">
        <f>G58*Inputs!B17</f>
        <v>53399.772078144371</v>
      </c>
      <c r="I58">
        <f t="shared" si="1"/>
        <v>1768125.7329775598</v>
      </c>
      <c r="J58">
        <f t="shared" si="2"/>
        <v>169487670.74753451</v>
      </c>
      <c r="K58">
        <f>B58*Inputs!B8/12</f>
        <v>71356.581866880035</v>
      </c>
      <c r="L58">
        <f t="shared" si="3"/>
        <v>749244.10960224038</v>
      </c>
      <c r="M58">
        <f t="shared" si="4"/>
        <v>1714725.9608994154</v>
      </c>
    </row>
    <row r="59" spans="1:13" x14ac:dyDescent="0.2">
      <c r="A59">
        <v>58</v>
      </c>
      <c r="B59">
        <f t="shared" si="5"/>
        <v>169487670.74753451</v>
      </c>
      <c r="C59">
        <f>IF(A59&lt;=Inputs!B7,IF(B59&gt;0,-PMT(Inputs!B6/12,Inputs!B7-A59+1,B59),0),0)</f>
        <v>1182114.7450070207</v>
      </c>
      <c r="D59">
        <f>B59*Inputs!B6/12</f>
        <v>812128.42233193619</v>
      </c>
      <c r="E59">
        <f t="shared" si="0"/>
        <v>369986.32267508446</v>
      </c>
      <c r="F59">
        <f>MAX((B59-E59)*Inputs!B18,0)</f>
        <v>1171035.5561697199</v>
      </c>
      <c r="G59">
        <f>MAX((B59-E59-F59)*Inputs!B19,0)</f>
        <v>211390.58722545256</v>
      </c>
      <c r="H59">
        <f>G59*Inputs!B17</f>
        <v>52847.64680636314</v>
      </c>
      <c r="I59">
        <f t="shared" si="1"/>
        <v>1752412.4660702569</v>
      </c>
      <c r="J59">
        <f t="shared" si="2"/>
        <v>167735258.28146425</v>
      </c>
      <c r="K59">
        <f>B59*Inputs!B8/12</f>
        <v>70619.862811472718</v>
      </c>
      <c r="L59">
        <f t="shared" si="3"/>
        <v>741508.55952046346</v>
      </c>
      <c r="M59">
        <f t="shared" si="4"/>
        <v>1699564.8192638936</v>
      </c>
    </row>
    <row r="60" spans="1:13" x14ac:dyDescent="0.2">
      <c r="A60">
        <v>59</v>
      </c>
      <c r="B60">
        <f t="shared" si="5"/>
        <v>167735258.28146425</v>
      </c>
      <c r="C60">
        <f>IF(A60&lt;=Inputs!B7,IF(B60&gt;0,-PMT(Inputs!B6/12,Inputs!B7-A60+1,B60),0),0)</f>
        <v>1172451.7323330459</v>
      </c>
      <c r="D60">
        <f>B60*Inputs!B6/12</f>
        <v>803731.44593201624</v>
      </c>
      <c r="E60">
        <f t="shared" si="0"/>
        <v>368720.28640102968</v>
      </c>
      <c r="F60">
        <f>MAX((B60-E60)*Inputs!B18,0)</f>
        <v>1158909.9482516304</v>
      </c>
      <c r="G60">
        <f>MAX((B60-E60-F60)*Inputs!B19,0)</f>
        <v>209201.72168267221</v>
      </c>
      <c r="H60">
        <f>G60*Inputs!B17</f>
        <v>52300.430420668054</v>
      </c>
      <c r="I60">
        <f t="shared" si="1"/>
        <v>1736831.9563353322</v>
      </c>
      <c r="J60">
        <f t="shared" si="2"/>
        <v>165998426.32512891</v>
      </c>
      <c r="K60">
        <f>B60*Inputs!B8/12</f>
        <v>69889.690950610107</v>
      </c>
      <c r="L60">
        <f t="shared" si="3"/>
        <v>733841.75498140615</v>
      </c>
      <c r="M60">
        <f t="shared" si="4"/>
        <v>1684531.5259146641</v>
      </c>
    </row>
    <row r="61" spans="1:13" x14ac:dyDescent="0.2">
      <c r="A61">
        <v>60</v>
      </c>
      <c r="B61">
        <f t="shared" si="5"/>
        <v>165998426.32512891</v>
      </c>
      <c r="C61">
        <f>IF(A61&lt;=Inputs!B7,IF(B61&gt;0,-PMT(Inputs!B6/12,Inputs!B7-A61+1,B61),0),0)</f>
        <v>1162867.7084495691</v>
      </c>
      <c r="D61">
        <f>B61*Inputs!B6/12</f>
        <v>795409.12614124268</v>
      </c>
      <c r="E61">
        <f t="shared" si="0"/>
        <v>367458.58230832638</v>
      </c>
      <c r="F61">
        <f>MAX((B61-E61)*Inputs!B18,0)</f>
        <v>1146892.1957468083</v>
      </c>
      <c r="G61">
        <f>MAX((B61-E61-F61)*Inputs!B19,0)</f>
        <v>207032.32576148098</v>
      </c>
      <c r="H61">
        <f>G61*Inputs!B17</f>
        <v>51758.081440370246</v>
      </c>
      <c r="I61">
        <f t="shared" si="1"/>
        <v>1721383.1038166157</v>
      </c>
      <c r="J61">
        <f t="shared" si="2"/>
        <v>164277043.22131228</v>
      </c>
      <c r="K61">
        <f>B61*Inputs!B8/12</f>
        <v>69166.010968803719</v>
      </c>
      <c r="L61">
        <f t="shared" si="3"/>
        <v>726243.11517243902</v>
      </c>
      <c r="M61">
        <f t="shared" si="4"/>
        <v>1669625.0223762454</v>
      </c>
    </row>
    <row r="62" spans="1:13" x14ac:dyDescent="0.2">
      <c r="A62">
        <v>61</v>
      </c>
      <c r="B62">
        <f t="shared" si="5"/>
        <v>164277043.22131228</v>
      </c>
      <c r="C62">
        <f>IF(A62&lt;=Inputs!B7,IF(B62&gt;0,-PMT(Inputs!B6/12,Inputs!B7-A62+1,B62),0),0)</f>
        <v>1153362.0276750373</v>
      </c>
      <c r="D62">
        <f>B62*Inputs!B6/12</f>
        <v>787160.83210212144</v>
      </c>
      <c r="E62">
        <f t="shared" si="0"/>
        <v>366201.19557291584</v>
      </c>
      <c r="F62">
        <f>MAX((B62-E62)*Inputs!B18,0)</f>
        <v>1134981.38711296</v>
      </c>
      <c r="G62">
        <f>MAX((B62-E62-F62)*Inputs!B19,0)</f>
        <v>204882.23491396257</v>
      </c>
      <c r="H62">
        <f>G62*Inputs!B17</f>
        <v>51220.558728490643</v>
      </c>
      <c r="I62">
        <f t="shared" si="1"/>
        <v>1706064.8175998384</v>
      </c>
      <c r="J62">
        <f t="shared" si="2"/>
        <v>162570978.40371245</v>
      </c>
      <c r="K62">
        <f>B62*Inputs!B8/12</f>
        <v>68448.768008880128</v>
      </c>
      <c r="L62">
        <f t="shared" si="3"/>
        <v>718712.06409324135</v>
      </c>
      <c r="M62">
        <f t="shared" si="4"/>
        <v>1654844.2588713476</v>
      </c>
    </row>
    <row r="63" spans="1:13" x14ac:dyDescent="0.2">
      <c r="A63">
        <v>62</v>
      </c>
      <c r="B63">
        <f t="shared" si="5"/>
        <v>162570978.40371245</v>
      </c>
      <c r="C63">
        <f>IF(A63&lt;=Inputs!B7,IF(B63&gt;0,-PMT(Inputs!B6/12,Inputs!B7-A63+1,B63),0),0)</f>
        <v>1143934.0496059214</v>
      </c>
      <c r="D63">
        <f>B63*Inputs!B6/12</f>
        <v>778985.9381844555</v>
      </c>
      <c r="E63">
        <f t="shared" si="0"/>
        <v>364948.11142146587</v>
      </c>
      <c r="F63">
        <f>MAX((B63-E63)*Inputs!B18,0)</f>
        <v>1123176.618361349</v>
      </c>
      <c r="G63">
        <f>MAX((B63-E63-F63)*Inputs!B19,0)</f>
        <v>202751.28595573804</v>
      </c>
      <c r="H63">
        <f>G63*Inputs!B17</f>
        <v>50687.821488934511</v>
      </c>
      <c r="I63">
        <f t="shared" si="1"/>
        <v>1690876.0157385529</v>
      </c>
      <c r="J63">
        <f t="shared" si="2"/>
        <v>160880102.3879739</v>
      </c>
      <c r="K63">
        <f>B63*Inputs!B8/12</f>
        <v>67737.90766821352</v>
      </c>
      <c r="L63">
        <f t="shared" si="3"/>
        <v>711248.03051624203</v>
      </c>
      <c r="M63">
        <f t="shared" si="4"/>
        <v>1640188.1942496183</v>
      </c>
    </row>
    <row r="64" spans="1:13" x14ac:dyDescent="0.2">
      <c r="A64">
        <v>63</v>
      </c>
      <c r="B64">
        <f t="shared" si="5"/>
        <v>160880102.3879739</v>
      </c>
      <c r="C64">
        <f>IF(A64&lt;=Inputs!B7,IF(B64&gt;0,-PMT(Inputs!B6/12,Inputs!B7-A64+1,B64),0),0)</f>
        <v>1134583.139073571</v>
      </c>
      <c r="D64">
        <f>B64*Inputs!B6/12</f>
        <v>770883.82394237502</v>
      </c>
      <c r="E64">
        <f t="shared" si="0"/>
        <v>363699.31513119594</v>
      </c>
      <c r="F64">
        <f>MAX((B64-E64)*Inputs!B18,0)</f>
        <v>1111476.9929946996</v>
      </c>
      <c r="G64">
        <f>MAX((B64-E64-F64)*Inputs!B19,0)</f>
        <v>200639.31705475671</v>
      </c>
      <c r="H64">
        <f>G64*Inputs!B17</f>
        <v>50159.829263689178</v>
      </c>
      <c r="I64">
        <f t="shared" si="1"/>
        <v>1675815.6251806521</v>
      </c>
      <c r="J64">
        <f t="shared" si="2"/>
        <v>159204286.76279324</v>
      </c>
      <c r="K64">
        <f>B64*Inputs!B8/12</f>
        <v>67033.375994989125</v>
      </c>
      <c r="L64">
        <f t="shared" si="3"/>
        <v>703850.44794738595</v>
      </c>
      <c r="M64">
        <f t="shared" si="4"/>
        <v>1625655.7959169629</v>
      </c>
    </row>
    <row r="65" spans="1:13" x14ac:dyDescent="0.2">
      <c r="A65">
        <v>64</v>
      </c>
      <c r="B65">
        <f t="shared" si="5"/>
        <v>159204286.76279324</v>
      </c>
      <c r="C65">
        <f>IF(A65&lt;=Inputs!B7,IF(B65&gt;0,-PMT(Inputs!B6/12,Inputs!B7-A65+1,B65),0),0)</f>
        <v>1125308.6661014226</v>
      </c>
      <c r="D65">
        <f>B65*Inputs!B6/12</f>
        <v>762853.87407171773</v>
      </c>
      <c r="E65">
        <f t="shared" si="0"/>
        <v>362454.7920297049</v>
      </c>
      <c r="F65">
        <f>MAX((B65-E65)*Inputs!B18,0)</f>
        <v>1099881.6219456103</v>
      </c>
      <c r="G65">
        <f>MAX((B65-E65-F65)*Inputs!B19,0)</f>
        <v>198546.16772017855</v>
      </c>
      <c r="H65">
        <f>G65*Inputs!B17</f>
        <v>49636.541930044637</v>
      </c>
      <c r="I65">
        <f t="shared" si="1"/>
        <v>1660882.5816954938</v>
      </c>
      <c r="J65">
        <f t="shared" si="2"/>
        <v>157543404.18109775</v>
      </c>
      <c r="K65">
        <f>B65*Inputs!B8/12</f>
        <v>66335.119484497191</v>
      </c>
      <c r="L65">
        <f t="shared" si="3"/>
        <v>696518.75458722049</v>
      </c>
      <c r="M65">
        <f t="shared" si="4"/>
        <v>1611246.0397654492</v>
      </c>
    </row>
    <row r="66" spans="1:13" x14ac:dyDescent="0.2">
      <c r="A66">
        <v>65</v>
      </c>
      <c r="B66">
        <f t="shared" si="5"/>
        <v>157543404.18109775</v>
      </c>
      <c r="C66">
        <f>IF(A66&lt;=Inputs!B7,IF(B66&gt;0,-PMT(Inputs!B6/12,Inputs!B7-A66+1,B66),0),0)</f>
        <v>1116110.0058625585</v>
      </c>
      <c r="D66">
        <f>B66*Inputs!B6/12</f>
        <v>754895.47836775996</v>
      </c>
      <c r="E66">
        <f t="shared" ref="E66:E129" si="6">MAX(C66-D66,0)</f>
        <v>361214.52749479853</v>
      </c>
      <c r="F66">
        <f>MAX((B66-E66)*Inputs!B18,0)</f>
        <v>1088389.623515473</v>
      </c>
      <c r="G66">
        <f>MAX((B66-E66-F66)*Inputs!B19,0)</f>
        <v>196471.67879134824</v>
      </c>
      <c r="H66">
        <f>G66*Inputs!B17</f>
        <v>49117.91969783706</v>
      </c>
      <c r="I66">
        <f t="shared" ref="I66:I129" si="7">MIN(B66,E66+F66+G66)</f>
        <v>1646075.82980162</v>
      </c>
      <c r="J66">
        <f t="shared" ref="J66:J129" si="8">MAX(B66-I66,0)</f>
        <v>155897328.35129613</v>
      </c>
      <c r="K66">
        <f>B66*Inputs!B8/12</f>
        <v>65643.085075457391</v>
      </c>
      <c r="L66">
        <f t="shared" ref="L66:L129" si="9">MAX(D66-K66,0)</f>
        <v>689252.39329230262</v>
      </c>
      <c r="M66">
        <f t="shared" ref="M66:M129" si="10">MAX(I66-H66,0)</f>
        <v>1596957.910103783</v>
      </c>
    </row>
    <row r="67" spans="1:13" x14ac:dyDescent="0.2">
      <c r="A67">
        <v>66</v>
      </c>
      <c r="B67">
        <f t="shared" ref="B67:B130" si="11">J66</f>
        <v>155897328.35129613</v>
      </c>
      <c r="C67">
        <f>IF(A67&lt;=Inputs!B7,IF(B67&gt;0,-PMT(Inputs!B6/12,Inputs!B7-A67+1,B67),0),0)</f>
        <v>1106986.5386376099</v>
      </c>
      <c r="D67">
        <f>B67*Inputs!B6/12</f>
        <v>747008.03168329399</v>
      </c>
      <c r="E67">
        <f t="shared" si="6"/>
        <v>359978.50695431593</v>
      </c>
      <c r="F67">
        <f>MAX((B67-E67)*Inputs!B18,0)</f>
        <v>1077000.1233138898</v>
      </c>
      <c r="G67">
        <f>MAX((B67-E67-F67)*Inputs!B19,0)</f>
        <v>194415.69242685896</v>
      </c>
      <c r="H67">
        <f>G67*Inputs!B17</f>
        <v>48603.923106714741</v>
      </c>
      <c r="I67">
        <f t="shared" si="7"/>
        <v>1631394.3226950648</v>
      </c>
      <c r="J67">
        <f t="shared" si="8"/>
        <v>154265934.02860105</v>
      </c>
      <c r="K67">
        <f>B67*Inputs!B8/12</f>
        <v>64957.220146373387</v>
      </c>
      <c r="L67">
        <f t="shared" si="9"/>
        <v>682050.81153692061</v>
      </c>
      <c r="M67">
        <f t="shared" si="10"/>
        <v>1582790.39958835</v>
      </c>
    </row>
    <row r="68" spans="1:13" x14ac:dyDescent="0.2">
      <c r="A68">
        <v>67</v>
      </c>
      <c r="B68">
        <f t="shared" si="11"/>
        <v>154265934.02860105</v>
      </c>
      <c r="C68">
        <f>IF(A68&lt;=Inputs!B7,IF(B68&gt;0,-PMT(Inputs!B6/12,Inputs!B7-A68+1,B68),0),0)</f>
        <v>1097937.6497730094</v>
      </c>
      <c r="D68">
        <f>B68*Inputs!B6/12</f>
        <v>739190.93388704676</v>
      </c>
      <c r="E68">
        <f t="shared" si="6"/>
        <v>358746.71588596259</v>
      </c>
      <c r="F68">
        <f>MAX((B68-E68)*Inputs!B18,0)</f>
        <v>1065712.2541985891</v>
      </c>
      <c r="G68">
        <f>MAX((B68-E68-F68)*Inputs!B19,0)</f>
        <v>192378.05209370615</v>
      </c>
      <c r="H68">
        <f>G68*Inputs!B17</f>
        <v>48094.513023426538</v>
      </c>
      <c r="I68">
        <f t="shared" si="7"/>
        <v>1616837.0221782578</v>
      </c>
      <c r="J68">
        <f t="shared" si="8"/>
        <v>152649097.00642279</v>
      </c>
      <c r="K68">
        <f>B68*Inputs!B8/12</f>
        <v>64277.472511917113</v>
      </c>
      <c r="L68">
        <f t="shared" si="9"/>
        <v>674913.46137512964</v>
      </c>
      <c r="M68">
        <f t="shared" si="10"/>
        <v>1568742.5091548313</v>
      </c>
    </row>
    <row r="69" spans="1:13" x14ac:dyDescent="0.2">
      <c r="A69">
        <v>68</v>
      </c>
      <c r="B69">
        <f t="shared" si="11"/>
        <v>152649097.00642279</v>
      </c>
      <c r="C69">
        <f>IF(A69&lt;=Inputs!B7,IF(B69&gt;0,-PMT(Inputs!B6/12,Inputs!B7-A69+1,B69),0),0)</f>
        <v>1088962.7296395774</v>
      </c>
      <c r="D69">
        <f>B69*Inputs!B6/12</f>
        <v>731443.58982244262</v>
      </c>
      <c r="E69">
        <f t="shared" si="6"/>
        <v>357519.13981713483</v>
      </c>
      <c r="F69">
        <f>MAX((B69-E69)*Inputs!B18,0)</f>
        <v>1054525.1562158323</v>
      </c>
      <c r="G69">
        <f>MAX((B69-E69-F69)*Inputs!B19,0)</f>
        <v>190358.6025565301</v>
      </c>
      <c r="H69">
        <f>G69*Inputs!B17</f>
        <v>47589.650639132524</v>
      </c>
      <c r="I69">
        <f t="shared" si="7"/>
        <v>1602402.8985894972</v>
      </c>
      <c r="J69">
        <f t="shared" si="8"/>
        <v>151046694.1078333</v>
      </c>
      <c r="K69">
        <f>B69*Inputs!B8/12</f>
        <v>63603.790419342833</v>
      </c>
      <c r="L69">
        <f t="shared" si="9"/>
        <v>667839.79940309981</v>
      </c>
      <c r="M69">
        <f t="shared" si="10"/>
        <v>1554813.2479503646</v>
      </c>
    </row>
    <row r="70" spans="1:13" x14ac:dyDescent="0.2">
      <c r="A70">
        <v>69</v>
      </c>
      <c r="B70">
        <f t="shared" si="11"/>
        <v>151046694.1078333</v>
      </c>
      <c r="C70">
        <f>IF(A70&lt;=Inputs!B7,IF(B70&gt;0,-PMT(Inputs!B6/12,Inputs!B7-A70+1,B70),0),0)</f>
        <v>1080061.173591454</v>
      </c>
      <c r="D70">
        <f>B70*Inputs!B6/12</f>
        <v>723765.40926670132</v>
      </c>
      <c r="E70">
        <f t="shared" si="6"/>
        <v>356295.76432475273</v>
      </c>
      <c r="F70">
        <f>MAX((B70-E70)*Inputs!B18,0)</f>
        <v>1043437.9765413101</v>
      </c>
      <c r="G70">
        <f>MAX((B70-E70-F70)*Inputs!B19,0)</f>
        <v>188357.18986694678</v>
      </c>
      <c r="H70">
        <f>G70*Inputs!B17</f>
        <v>47089.297466736694</v>
      </c>
      <c r="I70">
        <f t="shared" si="7"/>
        <v>1588090.9307330095</v>
      </c>
      <c r="J70">
        <f t="shared" si="8"/>
        <v>149458603.1771003</v>
      </c>
      <c r="K70">
        <f>B70*Inputs!B8/12</f>
        <v>62936.122544930542</v>
      </c>
      <c r="L70">
        <f t="shared" si="9"/>
        <v>660829.28672177077</v>
      </c>
      <c r="M70">
        <f t="shared" si="10"/>
        <v>1541001.6332662727</v>
      </c>
    </row>
    <row r="71" spans="1:13" x14ac:dyDescent="0.2">
      <c r="A71">
        <v>70</v>
      </c>
      <c r="B71">
        <f t="shared" si="11"/>
        <v>149458603.1771003</v>
      </c>
      <c r="C71">
        <f>IF(A71&lt;=Inputs!B7,IF(B71&gt;0,-PMT(Inputs!B6/12,Inputs!B7-A71+1,B71),0),0)</f>
        <v>1071232.3819253626</v>
      </c>
      <c r="D71">
        <f>B71*Inputs!B6/12</f>
        <v>716155.80689027242</v>
      </c>
      <c r="E71">
        <f t="shared" si="6"/>
        <v>355076.57503509021</v>
      </c>
      <c r="F71">
        <f>MAX((B71-E71)*Inputs!B18,0)</f>
        <v>1032449.8694215206</v>
      </c>
      <c r="G71">
        <f>MAX((B71-E71-F71)*Inputs!B19,0)</f>
        <v>186373.66135296557</v>
      </c>
      <c r="H71">
        <f>G71*Inputs!B17</f>
        <v>46593.415338241393</v>
      </c>
      <c r="I71">
        <f t="shared" si="7"/>
        <v>1573900.1058095763</v>
      </c>
      <c r="J71">
        <f t="shared" si="8"/>
        <v>147884703.07129073</v>
      </c>
      <c r="K71">
        <f>B71*Inputs!B8/12</f>
        <v>62274.41799045846</v>
      </c>
      <c r="L71">
        <f t="shared" si="9"/>
        <v>653881.38889981399</v>
      </c>
      <c r="M71">
        <f t="shared" si="10"/>
        <v>1527306.6904713348</v>
      </c>
    </row>
    <row r="72" spans="1:13" x14ac:dyDescent="0.2">
      <c r="A72">
        <v>71</v>
      </c>
      <c r="B72">
        <f t="shared" si="11"/>
        <v>147884703.07129073</v>
      </c>
      <c r="C72">
        <f>IF(A72&lt;=Inputs!B7,IF(B72&gt;0,-PMT(Inputs!B6/12,Inputs!B7-A72+1,B72),0),0)</f>
        <v>1062475.7598402069</v>
      </c>
      <c r="D72">
        <f>B72*Inputs!B6/12</f>
        <v>708614.20221660146</v>
      </c>
      <c r="E72">
        <f t="shared" si="6"/>
        <v>353861.55762360548</v>
      </c>
      <c r="F72">
        <f>MAX((B72-E72)*Inputs!B18,0)</f>
        <v>1021559.9961156315</v>
      </c>
      <c r="G72">
        <f>MAX((B72-E72-F72)*Inputs!B19,0)</f>
        <v>184407.86560849458</v>
      </c>
      <c r="H72">
        <f>G72*Inputs!B17</f>
        <v>46101.966402123646</v>
      </c>
      <c r="I72">
        <f t="shared" si="7"/>
        <v>1559829.4193477316</v>
      </c>
      <c r="J72">
        <f t="shared" si="8"/>
        <v>146324873.651943</v>
      </c>
      <c r="K72">
        <f>B72*Inputs!B8/12</f>
        <v>61618.626279704476</v>
      </c>
      <c r="L72">
        <f t="shared" si="9"/>
        <v>646995.57593689696</v>
      </c>
      <c r="M72">
        <f t="shared" si="10"/>
        <v>1513727.4529456079</v>
      </c>
    </row>
    <row r="73" spans="1:13" x14ac:dyDescent="0.2">
      <c r="A73">
        <v>72</v>
      </c>
      <c r="B73">
        <f t="shared" si="11"/>
        <v>146324873.651943</v>
      </c>
      <c r="C73">
        <f>IF(A73&lt;=Inputs!B7,IF(B73&gt;0,-PMT(Inputs!B6/12,Inputs!B7-A73+1,B73),0),0)</f>
        <v>1053790.7173970002</v>
      </c>
      <c r="D73">
        <f>B73*Inputs!B6/12</f>
        <v>701140.01958222687</v>
      </c>
      <c r="E73">
        <f t="shared" si="6"/>
        <v>352650.6978147733</v>
      </c>
      <c r="F73">
        <f>MAX((B73-E73)*Inputs!B18,0)</f>
        <v>1010767.5248378153</v>
      </c>
      <c r="G73">
        <f>MAX((B73-E73-F73)*Inputs!B19,0)</f>
        <v>182459.65248293104</v>
      </c>
      <c r="H73">
        <f>G73*Inputs!B17</f>
        <v>45614.913120732759</v>
      </c>
      <c r="I73">
        <f t="shared" si="7"/>
        <v>1545877.8751355195</v>
      </c>
      <c r="J73">
        <f t="shared" si="8"/>
        <v>144778995.77680749</v>
      </c>
      <c r="K73">
        <f>B73*Inputs!B8/12</f>
        <v>60968.697354976255</v>
      </c>
      <c r="L73">
        <f t="shared" si="9"/>
        <v>640171.32222725067</v>
      </c>
      <c r="M73">
        <f t="shared" si="10"/>
        <v>1500262.9620147869</v>
      </c>
    </row>
    <row r="74" spans="1:13" x14ac:dyDescent="0.2">
      <c r="A74">
        <v>73</v>
      </c>
      <c r="B74">
        <f t="shared" si="11"/>
        <v>144778995.77680749</v>
      </c>
      <c r="C74">
        <f>IF(A74&lt;=Inputs!B7,IF(B74&gt;0,-PMT(Inputs!B6/12,Inputs!B7-A74+1,B74),0),0)</f>
        <v>1045176.6694791196</v>
      </c>
      <c r="D74">
        <f>B74*Inputs!B6/12</f>
        <v>693732.68809720257</v>
      </c>
      <c r="E74">
        <f t="shared" si="6"/>
        <v>351443.98138191702</v>
      </c>
      <c r="F74">
        <f>MAX((B74-E74)*Inputs!B18,0)</f>
        <v>1000071.6307000594</v>
      </c>
      <c r="G74">
        <f>MAX((B74-E74-F74)*Inputs!B19,0)</f>
        <v>180528.87307083796</v>
      </c>
      <c r="H74">
        <f>G74*Inputs!B17</f>
        <v>45132.21826770949</v>
      </c>
      <c r="I74">
        <f t="shared" si="7"/>
        <v>1532044.4851528143</v>
      </c>
      <c r="J74">
        <f t="shared" si="8"/>
        <v>143246951.29165468</v>
      </c>
      <c r="K74">
        <f>B74*Inputs!B8/12</f>
        <v>60324.581573669791</v>
      </c>
      <c r="L74">
        <f t="shared" si="9"/>
        <v>633408.10652353277</v>
      </c>
      <c r="M74">
        <f t="shared" si="10"/>
        <v>1486912.2668851048</v>
      </c>
    </row>
    <row r="75" spans="1:13" x14ac:dyDescent="0.2">
      <c r="A75">
        <v>74</v>
      </c>
      <c r="B75">
        <f t="shared" si="11"/>
        <v>143246951.29165468</v>
      </c>
      <c r="C75">
        <f>IF(A75&lt;=Inputs!B7,IF(B75&gt;0,-PMT(Inputs!B6/12,Inputs!B7-A75+1,B75),0),0)</f>
        <v>1036633.0357528868</v>
      </c>
      <c r="D75">
        <f>B75*Inputs!B6/12</f>
        <v>686391.6416058453</v>
      </c>
      <c r="E75">
        <f t="shared" si="6"/>
        <v>350241.39414704149</v>
      </c>
      <c r="F75">
        <f>MAX((B75-E75)*Inputs!B18,0)</f>
        <v>989471.49565544352</v>
      </c>
      <c r="G75">
        <f>MAX((B75-E75-F75)*Inputs!B19,0)</f>
        <v>178615.37970170434</v>
      </c>
      <c r="H75">
        <f>G75*Inputs!B17</f>
        <v>44653.844925426085</v>
      </c>
      <c r="I75">
        <f t="shared" si="7"/>
        <v>1518328.2695041893</v>
      </c>
      <c r="J75">
        <f t="shared" si="8"/>
        <v>141728623.02215049</v>
      </c>
      <c r="K75">
        <f>B75*Inputs!B8/12</f>
        <v>59686.229704856116</v>
      </c>
      <c r="L75">
        <f t="shared" si="9"/>
        <v>626705.41190098925</v>
      </c>
      <c r="M75">
        <f t="shared" si="10"/>
        <v>1473674.4245787631</v>
      </c>
    </row>
    <row r="76" spans="1:13" x14ac:dyDescent="0.2">
      <c r="A76">
        <v>75</v>
      </c>
      <c r="B76">
        <f t="shared" si="11"/>
        <v>141728623.02215049</v>
      </c>
      <c r="C76">
        <f>IF(A76&lt;=Inputs!B7,IF(B76&gt;0,-PMT(Inputs!B6/12,Inputs!B7-A76+1,B76),0),0)</f>
        <v>1028159.2406284708</v>
      </c>
      <c r="D76">
        <f>B76*Inputs!B6/12</f>
        <v>679116.31864780444</v>
      </c>
      <c r="E76">
        <f t="shared" si="6"/>
        <v>349042.92198066635</v>
      </c>
      <c r="F76">
        <f>MAX((B76-E76)*Inputs!B18,0)</f>
        <v>978966.30844188202</v>
      </c>
      <c r="G76">
        <f>MAX((B76-E76-F76)*Inputs!B19,0)</f>
        <v>176719.02592979016</v>
      </c>
      <c r="H76">
        <f>G76*Inputs!B17</f>
        <v>44179.756482447541</v>
      </c>
      <c r="I76">
        <f t="shared" si="7"/>
        <v>1504728.2563523387</v>
      </c>
      <c r="J76">
        <f t="shared" si="8"/>
        <v>140223894.76579815</v>
      </c>
      <c r="K76">
        <f>B76*Inputs!B8/12</f>
        <v>59053.592925896031</v>
      </c>
      <c r="L76">
        <f t="shared" si="9"/>
        <v>620062.72572190838</v>
      </c>
      <c r="M76">
        <f t="shared" si="10"/>
        <v>1460548.4998698912</v>
      </c>
    </row>
    <row r="77" spans="1:13" x14ac:dyDescent="0.2">
      <c r="A77">
        <v>76</v>
      </c>
      <c r="B77">
        <f t="shared" si="11"/>
        <v>140223894.76579815</v>
      </c>
      <c r="C77">
        <f>IF(A77&lt;=Inputs!B7,IF(B77&gt;0,-PMT(Inputs!B6/12,Inputs!B7-A77+1,B77),0),0)</f>
        <v>1019754.7132211102</v>
      </c>
      <c r="D77">
        <f>B77*Inputs!B6/12</f>
        <v>671906.16241944954</v>
      </c>
      <c r="E77">
        <f t="shared" si="6"/>
        <v>347848.55080166063</v>
      </c>
      <c r="F77">
        <f>MAX((B77-E77)*Inputs!B18,0)</f>
        <v>968555.26452632842</v>
      </c>
      <c r="G77">
        <f>MAX((B77-E77-F77)*Inputs!B19,0)</f>
        <v>174839.66652405413</v>
      </c>
      <c r="H77">
        <f>G77*Inputs!B17</f>
        <v>43709.916631013533</v>
      </c>
      <c r="I77">
        <f t="shared" si="7"/>
        <v>1491243.481852043</v>
      </c>
      <c r="J77">
        <f t="shared" si="8"/>
        <v>138732651.2839461</v>
      </c>
      <c r="K77">
        <f>B77*Inputs!B8/12</f>
        <v>58426.622819082571</v>
      </c>
      <c r="L77">
        <f t="shared" si="9"/>
        <v>613479.53960036696</v>
      </c>
      <c r="M77">
        <f t="shared" si="10"/>
        <v>1447533.5652210293</v>
      </c>
    </row>
    <row r="78" spans="1:13" x14ac:dyDescent="0.2">
      <c r="A78">
        <v>77</v>
      </c>
      <c r="B78">
        <f t="shared" si="11"/>
        <v>138732651.2839461</v>
      </c>
      <c r="C78">
        <f>IF(A78&lt;=Inputs!B7,IF(B78&gt;0,-PMT(Inputs!B6/12,Inputs!B7-A78+1,B78),0),0)</f>
        <v>1011418.8873126511</v>
      </c>
      <c r="D78">
        <f>B78*Inputs!B6/12</f>
        <v>664760.6207355751</v>
      </c>
      <c r="E78">
        <f t="shared" si="6"/>
        <v>346658.26657707605</v>
      </c>
      <c r="F78">
        <f>MAX((B78-E78)*Inputs!B18,0)</f>
        <v>958237.56604943483</v>
      </c>
      <c r="G78">
        <f>MAX((B78-E78-F78)*Inputs!B19,0)</f>
        <v>172977.15745816412</v>
      </c>
      <c r="H78">
        <f>G78*Inputs!B17</f>
        <v>43244.289364541029</v>
      </c>
      <c r="I78">
        <f t="shared" si="7"/>
        <v>1477872.9900846749</v>
      </c>
      <c r="J78">
        <f t="shared" si="8"/>
        <v>137254778.29386142</v>
      </c>
      <c r="K78">
        <f>B78*Inputs!B8/12</f>
        <v>57805.271368310874</v>
      </c>
      <c r="L78">
        <f t="shared" si="9"/>
        <v>606955.34936726419</v>
      </c>
      <c r="M78">
        <f t="shared" si="10"/>
        <v>1434628.700720134</v>
      </c>
    </row>
    <row r="79" spans="1:13" x14ac:dyDescent="0.2">
      <c r="A79">
        <v>78</v>
      </c>
      <c r="B79">
        <f t="shared" si="11"/>
        <v>137254778.29386142</v>
      </c>
      <c r="C79">
        <f>IF(A79&lt;=Inputs!B7,IF(B79&gt;0,-PMT(Inputs!B6/12,Inputs!B7-A79+1,B79),0),0)</f>
        <v>1003151.2013134031</v>
      </c>
      <c r="D79">
        <f>B79*Inputs!B6/12</f>
        <v>657679.14599141933</v>
      </c>
      <c r="E79">
        <f t="shared" si="6"/>
        <v>345472.05532198376</v>
      </c>
      <c r="F79">
        <f>MAX((B79-E79)*Inputs!B18,0)</f>
        <v>948012.42177066766</v>
      </c>
      <c r="G79">
        <f>MAX((B79-E79-F79)*Inputs!B19,0)</f>
        <v>171131.35590058929</v>
      </c>
      <c r="H79">
        <f>G79*Inputs!B17</f>
        <v>42782.838975147322</v>
      </c>
      <c r="I79">
        <f t="shared" si="7"/>
        <v>1464615.8329932408</v>
      </c>
      <c r="J79">
        <f t="shared" si="8"/>
        <v>135790162.46086818</v>
      </c>
      <c r="K79">
        <f>B79*Inputs!B8/12</f>
        <v>57189.490955775596</v>
      </c>
      <c r="L79">
        <f t="shared" si="9"/>
        <v>600489.65503564372</v>
      </c>
      <c r="M79">
        <f t="shared" si="10"/>
        <v>1421832.9940180934</v>
      </c>
    </row>
    <row r="80" spans="1:13" x14ac:dyDescent="0.2">
      <c r="A80">
        <v>79</v>
      </c>
      <c r="B80">
        <f t="shared" si="11"/>
        <v>135790162.46086818</v>
      </c>
      <c r="C80">
        <f>IF(A80&lt;=Inputs!B7,IF(B80&gt;0,-PMT(Inputs!B6/12,Inputs!B7-A80+1,B80),0),0)</f>
        <v>994951.09822430194</v>
      </c>
      <c r="D80">
        <f>B80*Inputs!B6/12</f>
        <v>650661.19512499345</v>
      </c>
      <c r="E80">
        <f t="shared" si="6"/>
        <v>344289.90309930849</v>
      </c>
      <c r="F80">
        <f>MAX((B80-E80)*Inputs!B18,0)</f>
        <v>937879.04701387184</v>
      </c>
      <c r="G80">
        <f>MAX((B80-E80-F80)*Inputs!B19,0)</f>
        <v>169302.12020477391</v>
      </c>
      <c r="H80">
        <f>G80*Inputs!B17</f>
        <v>42325.530051193477</v>
      </c>
      <c r="I80">
        <f t="shared" si="7"/>
        <v>1451471.0703179543</v>
      </c>
      <c r="J80">
        <f t="shared" si="8"/>
        <v>134338691.39055023</v>
      </c>
      <c r="K80">
        <f>B80*Inputs!B8/12</f>
        <v>56579.234358695074</v>
      </c>
      <c r="L80">
        <f t="shared" si="9"/>
        <v>594081.96076629835</v>
      </c>
      <c r="M80">
        <f t="shared" si="10"/>
        <v>1409145.5402667609</v>
      </c>
    </row>
    <row r="81" spans="1:13" x14ac:dyDescent="0.2">
      <c r="A81">
        <v>80</v>
      </c>
      <c r="B81">
        <f t="shared" si="11"/>
        <v>134338691.39055023</v>
      </c>
      <c r="C81">
        <f>IF(A81&lt;=Inputs!B7,IF(B81&gt;0,-PMT(Inputs!B6/12,Inputs!B7-A81+1,B81),0),0)</f>
        <v>986818.02559938608</v>
      </c>
      <c r="D81">
        <f>B81*Inputs!B6/12</f>
        <v>643706.22957971983</v>
      </c>
      <c r="E81">
        <f t="shared" si="6"/>
        <v>343111.79601966625</v>
      </c>
      <c r="F81">
        <f>MAX((B81-E81)*Inputs!B18,0)</f>
        <v>927836.66361327947</v>
      </c>
      <c r="G81">
        <f>MAX((B81-E81-F81)*Inputs!B19,0)</f>
        <v>167489.30989939097</v>
      </c>
      <c r="H81">
        <f>G81*Inputs!B17</f>
        <v>41872.327474847742</v>
      </c>
      <c r="I81">
        <f t="shared" si="7"/>
        <v>1438437.7695323366</v>
      </c>
      <c r="J81">
        <f t="shared" si="8"/>
        <v>132900253.62101789</v>
      </c>
      <c r="K81">
        <f>B81*Inputs!B8/12</f>
        <v>55974.454746062598</v>
      </c>
      <c r="L81">
        <f t="shared" si="9"/>
        <v>587731.7748336572</v>
      </c>
      <c r="M81">
        <f t="shared" si="10"/>
        <v>1396565.442057489</v>
      </c>
    </row>
    <row r="82" spans="1:13" x14ac:dyDescent="0.2">
      <c r="A82">
        <v>81</v>
      </c>
      <c r="B82">
        <f t="shared" si="11"/>
        <v>132900253.62101789</v>
      </c>
      <c r="C82">
        <f>IF(A82&lt;=Inputs!B7,IF(B82&gt;0,-PMT(Inputs!B6/12,Inputs!B7-A82+1,B82),0),0)</f>
        <v>978751.43550857669</v>
      </c>
      <c r="D82">
        <f>B82*Inputs!B6/12</f>
        <v>636813.71526737744</v>
      </c>
      <c r="E82">
        <f t="shared" si="6"/>
        <v>341937.72024119925</v>
      </c>
      <c r="F82">
        <f>MAX((B82-E82)*Inputs!B18,0)</f>
        <v>917884.49985996471</v>
      </c>
      <c r="G82">
        <f>MAX((B82-E82-F82)*Inputs!B19,0)</f>
        <v>165692.78567867621</v>
      </c>
      <c r="H82">
        <f>G82*Inputs!B17</f>
        <v>41423.196419669053</v>
      </c>
      <c r="I82">
        <f t="shared" si="7"/>
        <v>1425515.0057798401</v>
      </c>
      <c r="J82">
        <f t="shared" si="8"/>
        <v>131474738.61523804</v>
      </c>
      <c r="K82">
        <f>B82*Inputs!B8/12</f>
        <v>55375.105675424122</v>
      </c>
      <c r="L82">
        <f t="shared" si="9"/>
        <v>581438.60959195334</v>
      </c>
      <c r="M82">
        <f t="shared" si="10"/>
        <v>1384091.809360171</v>
      </c>
    </row>
    <row r="83" spans="1:13" x14ac:dyDescent="0.2">
      <c r="A83">
        <v>82</v>
      </c>
      <c r="B83">
        <f t="shared" si="11"/>
        <v>131474738.61523804</v>
      </c>
      <c r="C83">
        <f>IF(A83&lt;=Inputs!B7,IF(B83&gt;0,-PMT(Inputs!B6/12,Inputs!B7-A83+1,B83),0),0)</f>
        <v>970750.78450076445</v>
      </c>
      <c r="D83">
        <f>B83*Inputs!B6/12</f>
        <v>629983.12253134896</v>
      </c>
      <c r="E83">
        <f t="shared" si="6"/>
        <v>340767.66196941549</v>
      </c>
      <c r="F83">
        <f>MAX((B83-E83)*Inputs!B18,0)</f>
        <v>908021.79044873395</v>
      </c>
      <c r="G83">
        <f>MAX((B83-E83-F83)*Inputs!B19,0)</f>
        <v>163912.40939284128</v>
      </c>
      <c r="H83">
        <f>G83*Inputs!B17</f>
        <v>40978.102348210319</v>
      </c>
      <c r="I83">
        <f t="shared" si="7"/>
        <v>1412701.8618109906</v>
      </c>
      <c r="J83">
        <f t="shared" si="8"/>
        <v>130062036.75342704</v>
      </c>
      <c r="K83">
        <f>B83*Inputs!B8/12</f>
        <v>54781.141089682518</v>
      </c>
      <c r="L83">
        <f t="shared" si="9"/>
        <v>575201.98144166649</v>
      </c>
      <c r="M83">
        <f t="shared" si="10"/>
        <v>1371723.7594627803</v>
      </c>
    </row>
    <row r="84" spans="1:13" x14ac:dyDescent="0.2">
      <c r="A84">
        <v>83</v>
      </c>
      <c r="B84">
        <f t="shared" si="11"/>
        <v>130062036.75342704</v>
      </c>
      <c r="C84">
        <f>IF(A84&lt;=Inputs!B7,IF(B84&gt;0,-PMT(Inputs!B6/12,Inputs!B7-A84+1,B84),0),0)</f>
        <v>962815.53356719634</v>
      </c>
      <c r="D84">
        <f>B84*Inputs!B6/12</f>
        <v>623213.92611017125</v>
      </c>
      <c r="E84">
        <f t="shared" si="6"/>
        <v>339601.60745702509</v>
      </c>
      <c r="F84">
        <f>MAX((B84-E84)*Inputs!B18,0)</f>
        <v>898247.77642545279</v>
      </c>
      <c r="G84">
        <f>MAX((B84-E84-F84)*Inputs!B19,0)</f>
        <v>162148.04403856525</v>
      </c>
      <c r="H84">
        <f>G84*Inputs!B17</f>
        <v>40537.011009641312</v>
      </c>
      <c r="I84">
        <f t="shared" si="7"/>
        <v>1399997.4279210432</v>
      </c>
      <c r="J84">
        <f t="shared" si="8"/>
        <v>128662039.325506</v>
      </c>
      <c r="K84">
        <f>B84*Inputs!B8/12</f>
        <v>54192.515313927935</v>
      </c>
      <c r="L84">
        <f t="shared" si="9"/>
        <v>569021.41079624335</v>
      </c>
      <c r="M84">
        <f t="shared" si="10"/>
        <v>1359460.416911402</v>
      </c>
    </row>
    <row r="85" spans="1:13" x14ac:dyDescent="0.2">
      <c r="A85">
        <v>84</v>
      </c>
      <c r="B85">
        <f t="shared" si="11"/>
        <v>128662039.325506</v>
      </c>
      <c r="C85">
        <f>IF(A85&lt;=Inputs!B7,IF(B85&gt;0,-PMT(Inputs!B6/12,Inputs!B7-A85+1,B85),0),0)</f>
        <v>954945.14810516208</v>
      </c>
      <c r="D85">
        <f>B85*Inputs!B6/12</f>
        <v>616505.60510138294</v>
      </c>
      <c r="E85">
        <f t="shared" si="6"/>
        <v>338439.54300377914</v>
      </c>
      <c r="F85">
        <f>MAX((B85-E85)*Inputs!B18,0)</f>
        <v>888561.70513480552</v>
      </c>
      <c r="G85">
        <f>MAX((B85-E85-F85)*Inputs!B19,0)</f>
        <v>160399.55374956434</v>
      </c>
      <c r="H85">
        <f>G85*Inputs!B17</f>
        <v>40099.888437391084</v>
      </c>
      <c r="I85">
        <f t="shared" si="7"/>
        <v>1387400.801888149</v>
      </c>
      <c r="J85">
        <f t="shared" si="8"/>
        <v>127274638.52361785</v>
      </c>
      <c r="K85">
        <f>B85*Inputs!B8/12</f>
        <v>53609.183052294167</v>
      </c>
      <c r="L85">
        <f t="shared" si="9"/>
        <v>562896.42204908875</v>
      </c>
      <c r="M85">
        <f t="shared" si="10"/>
        <v>1347300.913450758</v>
      </c>
    </row>
    <row r="86" spans="1:13" x14ac:dyDescent="0.2">
      <c r="A86">
        <v>85</v>
      </c>
      <c r="B86">
        <f t="shared" si="11"/>
        <v>127274638.52361785</v>
      </c>
      <c r="C86">
        <f>IF(A86&lt;=Inputs!B7,IF(B86&gt;0,-PMT(Inputs!B6/12,Inputs!B7-A86+1,B86),0),0)</f>
        <v>947139.09788197873</v>
      </c>
      <c r="D86">
        <f>B86*Inputs!B6/12</f>
        <v>609857.64292566886</v>
      </c>
      <c r="E86">
        <f t="shared" si="6"/>
        <v>337281.45495630987</v>
      </c>
      <c r="F86">
        <f>MAX((B86-E86)*Inputs!B18,0)</f>
        <v>878962.8301684804</v>
      </c>
      <c r="G86">
        <f>MAX((B86-E86-F86)*Inputs!B19,0)</f>
        <v>158666.80378723863</v>
      </c>
      <c r="H86">
        <f>G86*Inputs!B17</f>
        <v>39666.700946809658</v>
      </c>
      <c r="I86">
        <f t="shared" si="7"/>
        <v>1374911.0889120291</v>
      </c>
      <c r="J86">
        <f t="shared" si="8"/>
        <v>125899727.43470582</v>
      </c>
      <c r="K86">
        <f>B86*Inputs!B8/12</f>
        <v>53031.099384840774</v>
      </c>
      <c r="L86">
        <f t="shared" si="9"/>
        <v>556826.54354082805</v>
      </c>
      <c r="M86">
        <f t="shared" si="10"/>
        <v>1335244.3879652193</v>
      </c>
    </row>
    <row r="87" spans="1:13" x14ac:dyDescent="0.2">
      <c r="A87">
        <v>86</v>
      </c>
      <c r="B87">
        <f t="shared" si="11"/>
        <v>125899727.43470582</v>
      </c>
      <c r="C87">
        <f>IF(A87&lt;=Inputs!B7,IF(B87&gt;0,-PMT(Inputs!B6/12,Inputs!B7-A87+1,B87),0),0)</f>
        <v>939396.85699926643</v>
      </c>
      <c r="D87">
        <f>B87*Inputs!B6/12</f>
        <v>603269.52729129873</v>
      </c>
      <c r="E87">
        <f t="shared" si="6"/>
        <v>336127.3297079677</v>
      </c>
      <c r="F87">
        <f>MAX((B87-E87)*Inputs!B18,0)</f>
        <v>869450.41131378233</v>
      </c>
      <c r="G87">
        <f>MAX((B87-E87-F87)*Inputs!B19,0)</f>
        <v>156949.6605313957</v>
      </c>
      <c r="H87">
        <f>G87*Inputs!B17</f>
        <v>39237.415132848924</v>
      </c>
      <c r="I87">
        <f t="shared" si="7"/>
        <v>1362527.4015531456</v>
      </c>
      <c r="J87">
        <f t="shared" si="8"/>
        <v>124537200.03315268</v>
      </c>
      <c r="K87">
        <f>B87*Inputs!B8/12</f>
        <v>52458.219764460759</v>
      </c>
      <c r="L87">
        <f t="shared" si="9"/>
        <v>550811.30752683792</v>
      </c>
      <c r="M87">
        <f t="shared" si="10"/>
        <v>1323289.9864202966</v>
      </c>
    </row>
    <row r="88" spans="1:13" x14ac:dyDescent="0.2">
      <c r="A88">
        <v>87</v>
      </c>
      <c r="B88">
        <f t="shared" si="11"/>
        <v>124537200.03315268</v>
      </c>
      <c r="C88">
        <f>IF(A88&lt;=Inputs!B7,IF(B88&gt;0,-PMT(Inputs!B6/12,Inputs!B7-A88+1,B88),0),0)</f>
        <v>931717.90385752078</v>
      </c>
      <c r="D88">
        <f>B88*Inputs!B6/12</f>
        <v>596740.75015885662</v>
      </c>
      <c r="E88">
        <f t="shared" si="6"/>
        <v>334977.15369866416</v>
      </c>
      <c r="F88">
        <f>MAX((B88-E88)*Inputs!B18,0)</f>
        <v>860023.71450266405</v>
      </c>
      <c r="G88">
        <f>MAX((B88-E88-F88)*Inputs!B19,0)</f>
        <v>155247.99147105013</v>
      </c>
      <c r="H88">
        <f>G88*Inputs!B17</f>
        <v>38811.997867762533</v>
      </c>
      <c r="I88">
        <f t="shared" si="7"/>
        <v>1350248.8596723783</v>
      </c>
      <c r="J88">
        <f t="shared" si="8"/>
        <v>123186951.1734803</v>
      </c>
      <c r="K88">
        <f>B88*Inputs!B8/12</f>
        <v>51890.500013813617</v>
      </c>
      <c r="L88">
        <f t="shared" si="9"/>
        <v>544850.25014504301</v>
      </c>
      <c r="M88">
        <f t="shared" si="10"/>
        <v>1311436.8618046157</v>
      </c>
    </row>
    <row r="89" spans="1:13" x14ac:dyDescent="0.2">
      <c r="A89">
        <v>88</v>
      </c>
      <c r="B89">
        <f t="shared" si="11"/>
        <v>123186951.1734803</v>
      </c>
      <c r="C89">
        <f>IF(A89&lt;=Inputs!B7,IF(B89&gt;0,-PMT(Inputs!B6/12,Inputs!B7-A89+1,B89),0),0)</f>
        <v>924101.72112097032</v>
      </c>
      <c r="D89">
        <f>B89*Inputs!B6/12</f>
        <v>590270.80770625977</v>
      </c>
      <c r="E89">
        <f t="shared" si="6"/>
        <v>333830.91341471055</v>
      </c>
      <c r="F89">
        <f>MAX((B89-E89)*Inputs!B18,0)</f>
        <v>850682.01176117756</v>
      </c>
      <c r="G89">
        <f>MAX((B89-E89-F89)*Inputs!B19,0)</f>
        <v>153561.6651952985</v>
      </c>
      <c r="H89">
        <f>G89*Inputs!B17</f>
        <v>38390.416298824624</v>
      </c>
      <c r="I89">
        <f t="shared" si="7"/>
        <v>1338074.5903711864</v>
      </c>
      <c r="J89">
        <f t="shared" si="8"/>
        <v>121848876.58310911</v>
      </c>
      <c r="K89">
        <f>B89*Inputs!B8/12</f>
        <v>51327.896322283457</v>
      </c>
      <c r="L89">
        <f t="shared" si="9"/>
        <v>538942.91138397634</v>
      </c>
      <c r="M89">
        <f t="shared" si="10"/>
        <v>1299684.1740723618</v>
      </c>
    </row>
    <row r="90" spans="1:13" x14ac:dyDescent="0.2">
      <c r="A90">
        <v>89</v>
      </c>
      <c r="B90">
        <f t="shared" si="11"/>
        <v>121848876.58310911</v>
      </c>
      <c r="C90">
        <f>IF(A90&lt;=Inputs!B7,IF(B90&gt;0,-PMT(Inputs!B6/12,Inputs!B7-A90+1,B90),0),0)</f>
        <v>916547.79568272503</v>
      </c>
      <c r="D90">
        <f>B90*Inputs!B6/12</f>
        <v>583859.20029406447</v>
      </c>
      <c r="E90">
        <f t="shared" si="6"/>
        <v>332688.59538866056</v>
      </c>
      <c r="F90">
        <f>MAX((B90-E90)*Inputs!B18,0)</f>
        <v>841424.58115933801</v>
      </c>
      <c r="G90">
        <f>MAX((B90-E90-F90)*Inputs!B19,0)</f>
        <v>151890.55138426906</v>
      </c>
      <c r="H90">
        <f>G90*Inputs!B17</f>
        <v>37972.637846067264</v>
      </c>
      <c r="I90">
        <f t="shared" si="7"/>
        <v>1326003.7279322676</v>
      </c>
      <c r="J90">
        <f t="shared" si="8"/>
        <v>120522872.85517684</v>
      </c>
      <c r="K90">
        <f>B90*Inputs!B8/12</f>
        <v>50770.365242962136</v>
      </c>
      <c r="L90">
        <f t="shared" si="9"/>
        <v>533088.83505110233</v>
      </c>
      <c r="M90">
        <f t="shared" si="10"/>
        <v>1288031.0900862003</v>
      </c>
    </row>
    <row r="91" spans="1:13" x14ac:dyDescent="0.2">
      <c r="A91">
        <v>90</v>
      </c>
      <c r="B91">
        <f t="shared" si="11"/>
        <v>120522872.85517684</v>
      </c>
      <c r="C91">
        <f>IF(A91&lt;=Inputs!B7,IF(B91&gt;0,-PMT(Inputs!B6/12,Inputs!B7-A91+1,B91),0),0)</f>
        <v>909055.6186302061</v>
      </c>
      <c r="D91">
        <f>B91*Inputs!B6/12</f>
        <v>577505.4324310557</v>
      </c>
      <c r="E91">
        <f t="shared" si="6"/>
        <v>331550.1861991504</v>
      </c>
      <c r="F91">
        <f>MAX((B91-E91)*Inputs!B18,0)</f>
        <v>832250.70676139928</v>
      </c>
      <c r="G91">
        <f>MAX((B91-E91-F91)*Inputs!B19,0)</f>
        <v>150234.52080014584</v>
      </c>
      <c r="H91">
        <f>G91*Inputs!B17</f>
        <v>37558.630200036459</v>
      </c>
      <c r="I91">
        <f t="shared" si="7"/>
        <v>1314035.4137606956</v>
      </c>
      <c r="J91">
        <f t="shared" si="8"/>
        <v>119208837.44141614</v>
      </c>
      <c r="K91">
        <f>B91*Inputs!B8/12</f>
        <v>50217.863689657017</v>
      </c>
      <c r="L91">
        <f t="shared" si="9"/>
        <v>527287.56874139863</v>
      </c>
      <c r="M91">
        <f t="shared" si="10"/>
        <v>1276476.783560659</v>
      </c>
    </row>
    <row r="92" spans="1:13" x14ac:dyDescent="0.2">
      <c r="A92">
        <v>91</v>
      </c>
      <c r="B92">
        <f t="shared" si="11"/>
        <v>119208837.44141614</v>
      </c>
      <c r="C92">
        <f>IF(A92&lt;=Inputs!B7,IF(B92&gt;0,-PMT(Inputs!B6/12,Inputs!B7-A92+1,B92),0),0)</f>
        <v>901624.68521086278</v>
      </c>
      <c r="D92">
        <f>B92*Inputs!B6/12</f>
        <v>571209.01274011901</v>
      </c>
      <c r="E92">
        <f t="shared" si="6"/>
        <v>330415.67247074377</v>
      </c>
      <c r="F92">
        <f>MAX((B92-E92)*Inputs!B18,0)</f>
        <v>823159.67857653706</v>
      </c>
      <c r="G92">
        <f>MAX((B92-E92-F92)*Inputs!B19,0)</f>
        <v>148593.44527826589</v>
      </c>
      <c r="H92">
        <f>G92*Inputs!B17</f>
        <v>37148.361319566473</v>
      </c>
      <c r="I92">
        <f t="shared" si="7"/>
        <v>1302168.7963255467</v>
      </c>
      <c r="J92">
        <f t="shared" si="8"/>
        <v>117906668.64509059</v>
      </c>
      <c r="K92">
        <f>B92*Inputs!B8/12</f>
        <v>49670.3489339234</v>
      </c>
      <c r="L92">
        <f t="shared" si="9"/>
        <v>521538.6638061956</v>
      </c>
      <c r="M92">
        <f t="shared" si="10"/>
        <v>1265020.4350059803</v>
      </c>
    </row>
    <row r="93" spans="1:13" x14ac:dyDescent="0.2">
      <c r="A93">
        <v>92</v>
      </c>
      <c r="B93">
        <f t="shared" si="11"/>
        <v>117906668.64509059</v>
      </c>
      <c r="C93">
        <f>IF(A93&lt;=Inputs!B7,IF(B93&gt;0,-PMT(Inputs!B6/12,Inputs!B7-A93+1,B93),0),0)</f>
        <v>894254.494798164</v>
      </c>
      <c r="D93">
        <f>B93*Inputs!B6/12</f>
        <v>564969.45392439247</v>
      </c>
      <c r="E93">
        <f t="shared" si="6"/>
        <v>329285.04087377153</v>
      </c>
      <c r="F93">
        <f>MAX((B93-E93)*Inputs!B18,0)</f>
        <v>814150.79250993591</v>
      </c>
      <c r="G93">
        <f>MAX((B93-E93-F93)*Inputs!B19,0)</f>
        <v>146967.19771829003</v>
      </c>
      <c r="H93">
        <f>G93*Inputs!B17</f>
        <v>36741.799429572508</v>
      </c>
      <c r="I93">
        <f t="shared" si="7"/>
        <v>1290403.0311019975</v>
      </c>
      <c r="J93">
        <f t="shared" si="8"/>
        <v>116616265.61398859</v>
      </c>
      <c r="K93">
        <f>B93*Inputs!B8/12</f>
        <v>49127.778602121078</v>
      </c>
      <c r="L93">
        <f t="shared" si="9"/>
        <v>515841.67532227142</v>
      </c>
      <c r="M93">
        <f t="shared" si="10"/>
        <v>1253661.2316724251</v>
      </c>
    </row>
    <row r="94" spans="1:13" x14ac:dyDescent="0.2">
      <c r="A94">
        <v>93</v>
      </c>
      <c r="B94">
        <f t="shared" si="11"/>
        <v>116616265.61398859</v>
      </c>
      <c r="C94">
        <f>IF(A94&lt;=Inputs!B7,IF(B94&gt;0,-PMT(Inputs!B6/12,Inputs!B7-A94+1,B94),0),0)</f>
        <v>886944.55085787259</v>
      </c>
      <c r="D94">
        <f>B94*Inputs!B6/12</f>
        <v>558786.27273369534</v>
      </c>
      <c r="E94">
        <f t="shared" si="6"/>
        <v>328158.27812417725</v>
      </c>
      <c r="F94">
        <f>MAX((B94-E94)*Inputs!B18,0)</f>
        <v>805223.35031427781</v>
      </c>
      <c r="G94">
        <f>MAX((B94-E94-F94)*Inputs!B19,0)</f>
        <v>145355.6520754454</v>
      </c>
      <c r="H94">
        <f>G94*Inputs!B17</f>
        <v>36338.913018861349</v>
      </c>
      <c r="I94">
        <f t="shared" si="7"/>
        <v>1278737.2805139003</v>
      </c>
      <c r="J94">
        <f t="shared" si="8"/>
        <v>115337528.3334747</v>
      </c>
      <c r="K94">
        <f>B94*Inputs!B8/12</f>
        <v>48590.110672495248</v>
      </c>
      <c r="L94">
        <f t="shared" si="9"/>
        <v>510196.16206120007</v>
      </c>
      <c r="M94">
        <f t="shared" si="10"/>
        <v>1242398.367495039</v>
      </c>
    </row>
    <row r="95" spans="1:13" x14ac:dyDescent="0.2">
      <c r="A95">
        <v>94</v>
      </c>
      <c r="B95">
        <f t="shared" si="11"/>
        <v>115337528.3334747</v>
      </c>
      <c r="C95">
        <f>IF(A95&lt;=Inputs!B7,IF(B95&gt;0,-PMT(Inputs!B6/12,Inputs!B7-A95+1,B95),0),0)</f>
        <v>879694.3609145931</v>
      </c>
      <c r="D95">
        <f>B95*Inputs!B6/12</f>
        <v>552658.98993123288</v>
      </c>
      <c r="E95">
        <f t="shared" si="6"/>
        <v>327035.37098336022</v>
      </c>
      <c r="F95">
        <f>MAX((B95-E95)*Inputs!B18,0)</f>
        <v>796376.65954162763</v>
      </c>
      <c r="G95">
        <f>MAX((B95-E95-F95)*Inputs!B19,0)</f>
        <v>143758.68335184033</v>
      </c>
      <c r="H95">
        <f>G95*Inputs!B17</f>
        <v>35939.670837960082</v>
      </c>
      <c r="I95">
        <f t="shared" si="7"/>
        <v>1267170.7138768281</v>
      </c>
      <c r="J95">
        <f t="shared" si="8"/>
        <v>114070357.61959787</v>
      </c>
      <c r="K95">
        <f>B95*Inputs!B8/12</f>
        <v>48057.303472281121</v>
      </c>
      <c r="L95">
        <f t="shared" si="9"/>
        <v>504601.68645895174</v>
      </c>
      <c r="M95">
        <f t="shared" si="10"/>
        <v>1231231.0430388681</v>
      </c>
    </row>
    <row r="96" spans="1:13" x14ac:dyDescent="0.2">
      <c r="A96">
        <v>95</v>
      </c>
      <c r="B96">
        <f t="shared" si="11"/>
        <v>114070357.61959787</v>
      </c>
      <c r="C96">
        <f>IF(A96&lt;=Inputs!B7,IF(B96&gt;0,-PMT(Inputs!B6/12,Inputs!B7-A96+1,B96),0),0)</f>
        <v>872503.43651859381</v>
      </c>
      <c r="D96">
        <f>B96*Inputs!B6/12</f>
        <v>546587.13026057312</v>
      </c>
      <c r="E96">
        <f t="shared" si="6"/>
        <v>325916.30625802069</v>
      </c>
      <c r="F96">
        <f>MAX((B96-E96)*Inputs!B18,0)</f>
        <v>787610.03349571314</v>
      </c>
      <c r="G96">
        <f>MAX((B96-E96-F96)*Inputs!B19,0)</f>
        <v>142176.16758784995</v>
      </c>
      <c r="H96">
        <f>G96*Inputs!B17</f>
        <v>35544.041896962488</v>
      </c>
      <c r="I96">
        <f t="shared" si="7"/>
        <v>1255702.507341584</v>
      </c>
      <c r="J96">
        <f t="shared" si="8"/>
        <v>112814655.11225629</v>
      </c>
      <c r="K96">
        <f>B96*Inputs!B8/12</f>
        <v>47529.315674832447</v>
      </c>
      <c r="L96">
        <f t="shared" si="9"/>
        <v>499057.81458574068</v>
      </c>
      <c r="M96">
        <f t="shared" si="10"/>
        <v>1220158.4654446214</v>
      </c>
    </row>
    <row r="97" spans="1:13" x14ac:dyDescent="0.2">
      <c r="A97">
        <v>96</v>
      </c>
      <c r="B97">
        <f t="shared" si="11"/>
        <v>112814655.11225629</v>
      </c>
      <c r="C97">
        <f>IF(A97&lt;=Inputs!B7,IF(B97&gt;0,-PMT(Inputs!B6/12,Inputs!B7-A97+1,B97),0),0)</f>
        <v>865371.29321289866</v>
      </c>
      <c r="D97">
        <f>B97*Inputs!B6/12</f>
        <v>540570.22241289471</v>
      </c>
      <c r="E97">
        <f t="shared" si="6"/>
        <v>324801.07080000394</v>
      </c>
      <c r="F97">
        <f>MAX((B97-E97)*Inputs!B18,0)</f>
        <v>778922.79118459707</v>
      </c>
      <c r="G97">
        <f>MAX((B97-E97-F97)*Inputs!B19,0)</f>
        <v>140607.98185357283</v>
      </c>
      <c r="H97">
        <f>G97*Inputs!B17</f>
        <v>35151.995463393207</v>
      </c>
      <c r="I97">
        <f t="shared" si="7"/>
        <v>1244331.8438381739</v>
      </c>
      <c r="J97">
        <f t="shared" si="8"/>
        <v>111570323.26841812</v>
      </c>
      <c r="K97">
        <f>B97*Inputs!B8/12</f>
        <v>47006.106296773454</v>
      </c>
      <c r="L97">
        <f t="shared" si="9"/>
        <v>493564.11611612124</v>
      </c>
      <c r="M97">
        <f t="shared" si="10"/>
        <v>1209179.8483747807</v>
      </c>
    </row>
    <row r="98" spans="1:13" x14ac:dyDescent="0.2">
      <c r="A98">
        <v>97</v>
      </c>
      <c r="B98">
        <f t="shared" si="11"/>
        <v>111570323.26841812</v>
      </c>
      <c r="C98">
        <f>IF(A98&lt;=Inputs!B7,IF(B98&gt;0,-PMT(Inputs!B6/12,Inputs!B7-A98+1,B98),0),0)</f>
        <v>858297.45050064963</v>
      </c>
      <c r="D98">
        <f>B98*Inputs!B6/12</f>
        <v>534607.79899450357</v>
      </c>
      <c r="E98">
        <f t="shared" si="6"/>
        <v>323689.65150614607</v>
      </c>
      <c r="F98">
        <f>MAX((B98-E98)*Inputs!B18,0)</f>
        <v>770314.25727373548</v>
      </c>
      <c r="G98">
        <f>MAX((B98-E98-F98)*Inputs!B19,0)</f>
        <v>139054.0042403572</v>
      </c>
      <c r="H98">
        <f>G98*Inputs!B17</f>
        <v>34763.5010600893</v>
      </c>
      <c r="I98">
        <f t="shared" si="7"/>
        <v>1233057.9130202387</v>
      </c>
      <c r="J98">
        <f t="shared" si="8"/>
        <v>110337265.35539788</v>
      </c>
      <c r="K98">
        <f>B98*Inputs!B8/12</f>
        <v>46487.634695174223</v>
      </c>
      <c r="L98">
        <f t="shared" si="9"/>
        <v>488120.16429932934</v>
      </c>
      <c r="M98">
        <f t="shared" si="10"/>
        <v>1198294.4119601494</v>
      </c>
    </row>
    <row r="99" spans="1:13" x14ac:dyDescent="0.2">
      <c r="A99">
        <v>98</v>
      </c>
      <c r="B99">
        <f t="shared" si="11"/>
        <v>110337265.35539788</v>
      </c>
      <c r="C99">
        <f>IF(A99&lt;=Inputs!B7,IF(B99&gt;0,-PMT(Inputs!B6/12,Inputs!B7-A99+1,B99),0),0)</f>
        <v>851281.43181273597</v>
      </c>
      <c r="D99">
        <f>B99*Inputs!B6/12</f>
        <v>528699.39649461489</v>
      </c>
      <c r="E99">
        <f t="shared" si="6"/>
        <v>322582.03531812108</v>
      </c>
      <c r="F99">
        <f>MAX((B99-E99)*Inputs!B18,0)</f>
        <v>761783.76203942217</v>
      </c>
      <c r="G99">
        <f>MAX((B99-E99-F99)*Inputs!B19,0)</f>
        <v>137514.11385239699</v>
      </c>
      <c r="H99">
        <f>G99*Inputs!B17</f>
        <v>34378.528463099246</v>
      </c>
      <c r="I99">
        <f t="shared" si="7"/>
        <v>1221879.9112099404</v>
      </c>
      <c r="J99">
        <f t="shared" si="8"/>
        <v>109115385.44418794</v>
      </c>
      <c r="K99">
        <f>B99*Inputs!B8/12</f>
        <v>45973.860564749113</v>
      </c>
      <c r="L99">
        <f t="shared" si="9"/>
        <v>482725.53592986579</v>
      </c>
      <c r="M99">
        <f t="shared" si="10"/>
        <v>1187501.3827468413</v>
      </c>
    </row>
    <row r="100" spans="1:13" x14ac:dyDescent="0.2">
      <c r="A100">
        <v>99</v>
      </c>
      <c r="B100">
        <f t="shared" si="11"/>
        <v>109115385.44418794</v>
      </c>
      <c r="C100">
        <f>IF(A100&lt;=Inputs!B7,IF(B100&gt;0,-PMT(Inputs!B6/12,Inputs!B7-A100+1,B100),0),0)</f>
        <v>844322.76447568578</v>
      </c>
      <c r="D100">
        <f>B100*Inputs!B6/12</f>
        <v>522844.55525340053</v>
      </c>
      <c r="E100">
        <f t="shared" si="6"/>
        <v>321478.20922228525</v>
      </c>
      <c r="F100">
        <f>MAX((B100-E100)*Inputs!B18,0)</f>
        <v>753330.64132261463</v>
      </c>
      <c r="G100">
        <f>MAX((B100-E100-F100)*Inputs!B19,0)</f>
        <v>135988.19079839656</v>
      </c>
      <c r="H100">
        <f>G100*Inputs!B17</f>
        <v>33997.047699599141</v>
      </c>
      <c r="I100">
        <f t="shared" si="7"/>
        <v>1210797.0413432964</v>
      </c>
      <c r="J100">
        <f t="shared" si="8"/>
        <v>107904588.40284464</v>
      </c>
      <c r="K100">
        <f>B100*Inputs!B8/12</f>
        <v>45464.743935078302</v>
      </c>
      <c r="L100">
        <f t="shared" si="9"/>
        <v>477379.8113183222</v>
      </c>
      <c r="M100">
        <f t="shared" si="10"/>
        <v>1176799.9936436974</v>
      </c>
    </row>
    <row r="101" spans="1:13" x14ac:dyDescent="0.2">
      <c r="A101">
        <v>100</v>
      </c>
      <c r="B101">
        <f t="shared" si="11"/>
        <v>107904588.40284464</v>
      </c>
      <c r="C101">
        <f>IF(A101&lt;=Inputs!B7,IF(B101&gt;0,-PMT(Inputs!B6/12,Inputs!B7-A101+1,B101),0),0)</f>
        <v>837420.97967982385</v>
      </c>
      <c r="D101">
        <f>B101*Inputs!B6/12</f>
        <v>517042.81943029724</v>
      </c>
      <c r="E101">
        <f t="shared" si="6"/>
        <v>320378.16024952661</v>
      </c>
      <c r="F101">
        <f>MAX((B101-E101)*Inputs!B18,0)</f>
        <v>744954.23648313805</v>
      </c>
      <c r="G101">
        <f>MAX((B101-E101-F101)*Inputs!B19,0)</f>
        <v>134476.11618330394</v>
      </c>
      <c r="H101">
        <f>G101*Inputs!B17</f>
        <v>33619.029045825984</v>
      </c>
      <c r="I101">
        <f t="shared" si="7"/>
        <v>1199808.5129159687</v>
      </c>
      <c r="J101">
        <f t="shared" si="8"/>
        <v>106704779.88992867</v>
      </c>
      <c r="K101">
        <f>B101*Inputs!B8/12</f>
        <v>44960.245167851936</v>
      </c>
      <c r="L101">
        <f t="shared" si="9"/>
        <v>472082.57426244533</v>
      </c>
      <c r="M101">
        <f t="shared" si="10"/>
        <v>1166189.4838701426</v>
      </c>
    </row>
    <row r="102" spans="1:13" x14ac:dyDescent="0.2">
      <c r="A102">
        <v>101</v>
      </c>
      <c r="B102">
        <f t="shared" si="11"/>
        <v>106704779.88992867</v>
      </c>
      <c r="C102">
        <f>IF(A102&lt;=Inputs!B7,IF(B102&gt;0,-PMT(Inputs!B6/12,Inputs!B7-A102+1,B102),0),0)</f>
        <v>830575.61244768603</v>
      </c>
      <c r="D102">
        <f>B102*Inputs!B6/12</f>
        <v>511293.7369725749</v>
      </c>
      <c r="E102">
        <f t="shared" si="6"/>
        <v>319281.87547511113</v>
      </c>
      <c r="F102">
        <f>MAX((B102-E102)*Inputs!B18,0)</f>
        <v>736653.8943542646</v>
      </c>
      <c r="G102">
        <f>MAX((B102-E102-F102)*Inputs!B19,0)</f>
        <v>132977.77210011162</v>
      </c>
      <c r="H102">
        <f>G102*Inputs!B17</f>
        <v>33244.443025027904</v>
      </c>
      <c r="I102">
        <f t="shared" si="7"/>
        <v>1188913.5419294874</v>
      </c>
      <c r="J102">
        <f t="shared" si="8"/>
        <v>105515866.34799919</v>
      </c>
      <c r="K102">
        <f>B102*Inputs!B8/12</f>
        <v>44460.324954136944</v>
      </c>
      <c r="L102">
        <f t="shared" si="9"/>
        <v>466833.41201843799</v>
      </c>
      <c r="M102">
        <f t="shared" si="10"/>
        <v>1155669.0989044595</v>
      </c>
    </row>
    <row r="103" spans="1:13" x14ac:dyDescent="0.2">
      <c r="A103">
        <v>102</v>
      </c>
      <c r="B103">
        <f t="shared" si="11"/>
        <v>105515866.34799919</v>
      </c>
      <c r="C103">
        <f>IF(A103&lt;=Inputs!B7,IF(B103&gt;0,-PMT(Inputs!B6/12,Inputs!B7-A103+1,B103),0),0)</f>
        <v>823786.20160269353</v>
      </c>
      <c r="D103">
        <f>B103*Inputs!B6/12</f>
        <v>505596.85958416277</v>
      </c>
      <c r="E103">
        <f t="shared" si="6"/>
        <v>318189.34201853076</v>
      </c>
      <c r="F103">
        <f>MAX((B103-E103)*Inputs!B18,0)</f>
        <v>728428.96719766571</v>
      </c>
      <c r="G103">
        <f>MAX((B103-E103-F103)*Inputs!B19,0)</f>
        <v>131493.04162172467</v>
      </c>
      <c r="H103">
        <f>G103*Inputs!B17</f>
        <v>32873.260405431167</v>
      </c>
      <c r="I103">
        <f t="shared" si="7"/>
        <v>1178111.350837921</v>
      </c>
      <c r="J103">
        <f t="shared" si="8"/>
        <v>104337754.99716127</v>
      </c>
      <c r="K103">
        <f>B103*Inputs!B8/12</f>
        <v>43964.944311666331</v>
      </c>
      <c r="L103">
        <f t="shared" si="9"/>
        <v>461631.91527249641</v>
      </c>
      <c r="M103">
        <f t="shared" si="10"/>
        <v>1145238.0904324898</v>
      </c>
    </row>
    <row r="104" spans="1:13" x14ac:dyDescent="0.2">
      <c r="A104">
        <v>103</v>
      </c>
      <c r="B104">
        <f t="shared" si="11"/>
        <v>104337754.99716127</v>
      </c>
      <c r="C104">
        <f>IF(A104&lt;=Inputs!B7,IF(B104&gt;0,-PMT(Inputs!B6/12,Inputs!B7-A104+1,B104),0),0)</f>
        <v>817052.28973808466</v>
      </c>
      <c r="D104">
        <f>B104*Inputs!B6/12</f>
        <v>499951.7426947311</v>
      </c>
      <c r="E104">
        <f t="shared" si="6"/>
        <v>317100.54704335355</v>
      </c>
      <c r="F104">
        <f>MAX((B104-E104)*Inputs!B18,0)</f>
        <v>720278.81265873322</v>
      </c>
      <c r="G104">
        <f>MAX((B104-E104-F104)*Inputs!B19,0)</f>
        <v>130021.80879289549</v>
      </c>
      <c r="H104">
        <f>G104*Inputs!B17</f>
        <v>32505.452198223873</v>
      </c>
      <c r="I104">
        <f t="shared" si="7"/>
        <v>1167401.1684949822</v>
      </c>
      <c r="J104">
        <f t="shared" si="8"/>
        <v>103170353.82866628</v>
      </c>
      <c r="K104">
        <f>B104*Inputs!B8/12</f>
        <v>43474.064582150531</v>
      </c>
      <c r="L104">
        <f t="shared" si="9"/>
        <v>456477.67811258056</v>
      </c>
      <c r="M104">
        <f t="shared" si="10"/>
        <v>1134895.7162967583</v>
      </c>
    </row>
    <row r="105" spans="1:13" x14ac:dyDescent="0.2">
      <c r="A105">
        <v>104</v>
      </c>
      <c r="B105">
        <f t="shared" si="11"/>
        <v>103170353.82866628</v>
      </c>
      <c r="C105">
        <f>IF(A105&lt;=Inputs!B7,IF(B105&gt;0,-PMT(Inputs!B6/12,Inputs!B7-A105+1,B105),0),0)</f>
        <v>810373.42318609683</v>
      </c>
      <c r="D105">
        <f>B105*Inputs!B6/12</f>
        <v>494357.94542902597</v>
      </c>
      <c r="E105">
        <f t="shared" si="6"/>
        <v>316015.47775707085</v>
      </c>
      <c r="F105">
        <f>MAX((B105-E105)*Inputs!B18,0)</f>
        <v>712202.79372226656</v>
      </c>
      <c r="G105">
        <f>MAX((B105-E105-F105)*Inputs!B19,0)</f>
        <v>128563.95862222472</v>
      </c>
      <c r="H105">
        <f>G105*Inputs!B17</f>
        <v>32140.989655556179</v>
      </c>
      <c r="I105">
        <f t="shared" si="7"/>
        <v>1156782.2301015621</v>
      </c>
      <c r="J105">
        <f t="shared" si="8"/>
        <v>102013571.59856473</v>
      </c>
      <c r="K105">
        <f>B105*Inputs!B8/12</f>
        <v>42987.647428610951</v>
      </c>
      <c r="L105">
        <f t="shared" si="9"/>
        <v>451370.29800041503</v>
      </c>
      <c r="M105">
        <f t="shared" si="10"/>
        <v>1124641.2404460059</v>
      </c>
    </row>
    <row r="106" spans="1:13" x14ac:dyDescent="0.2">
      <c r="A106">
        <v>105</v>
      </c>
      <c r="B106">
        <f t="shared" si="11"/>
        <v>102013571.59856473</v>
      </c>
      <c r="C106">
        <f>IF(A106&lt;=Inputs!B7,IF(B106&gt;0,-PMT(Inputs!B6/12,Inputs!B7-A106+1,B106),0),0)</f>
        <v>803749.15198740468</v>
      </c>
      <c r="D106">
        <f>B106*Inputs!B6/12</f>
        <v>488815.03057645605</v>
      </c>
      <c r="E106">
        <f t="shared" si="6"/>
        <v>314934.12141094863</v>
      </c>
      <c r="F106">
        <f>MAX((B106-E106)*Inputs!B18,0)</f>
        <v>704200.27866852388</v>
      </c>
      <c r="G106">
        <f>MAX((B106-E106-F106)*Inputs!B19,0)</f>
        <v>127119.37707422773</v>
      </c>
      <c r="H106">
        <f>G106*Inputs!B17</f>
        <v>31779.844268556932</v>
      </c>
      <c r="I106">
        <f t="shared" si="7"/>
        <v>1146253.7771537001</v>
      </c>
      <c r="J106">
        <f t="shared" si="8"/>
        <v>100867317.82141103</v>
      </c>
      <c r="K106">
        <f>B106*Inputs!B8/12</f>
        <v>42505.654832735301</v>
      </c>
      <c r="L106">
        <f t="shared" si="9"/>
        <v>446309.37574372074</v>
      </c>
      <c r="M106">
        <f t="shared" si="10"/>
        <v>1114473.9328851432</v>
      </c>
    </row>
    <row r="107" spans="1:13" x14ac:dyDescent="0.2">
      <c r="A107">
        <v>106</v>
      </c>
      <c r="B107">
        <f t="shared" si="11"/>
        <v>100867317.82141103</v>
      </c>
      <c r="C107">
        <f>IF(A107&lt;=Inputs!B7,IF(B107&gt;0,-PMT(Inputs!B6/12,Inputs!B7-A107+1,B107),0),0)</f>
        <v>797179.02986080502</v>
      </c>
      <c r="D107">
        <f>B107*Inputs!B6/12</f>
        <v>483322.56456092786</v>
      </c>
      <c r="E107">
        <f t="shared" si="6"/>
        <v>313856.46529987716</v>
      </c>
      <c r="F107">
        <f>MAX((B107-E107)*Inputs!B18,0)</f>
        <v>696270.641029633</v>
      </c>
      <c r="G107">
        <f>MAX((B107-E107-F107)*Inputs!B19,0)</f>
        <v>125687.95106146604</v>
      </c>
      <c r="H107">
        <f>G107*Inputs!B17</f>
        <v>31421.98776536651</v>
      </c>
      <c r="I107">
        <f t="shared" si="7"/>
        <v>1135815.0573909762</v>
      </c>
      <c r="J107">
        <f t="shared" si="8"/>
        <v>99731502.764020056</v>
      </c>
      <c r="K107">
        <f>B107*Inputs!B8/12</f>
        <v>42028.049092254594</v>
      </c>
      <c r="L107">
        <f t="shared" si="9"/>
        <v>441294.51546867326</v>
      </c>
      <c r="M107">
        <f t="shared" si="10"/>
        <v>1104393.0696256098</v>
      </c>
    </row>
    <row r="108" spans="1:13" x14ac:dyDescent="0.2">
      <c r="A108">
        <v>107</v>
      </c>
      <c r="B108">
        <f t="shared" si="11"/>
        <v>99731502.764020056</v>
      </c>
      <c r="C108">
        <f>IF(A108&lt;=Inputs!B7,IF(B108&gt;0,-PMT(Inputs!B6/12,Inputs!B7-A108+1,B108),0),0)</f>
        <v>790662.61417315039</v>
      </c>
      <c r="D108">
        <f>B108*Inputs!B6/12</f>
        <v>477880.11741092947</v>
      </c>
      <c r="E108">
        <f t="shared" si="6"/>
        <v>312782.49676222092</v>
      </c>
      <c r="F108">
        <f>MAX((B108-E108)*Inputs!B18,0)</f>
        <v>688413.25954635954</v>
      </c>
      <c r="G108">
        <f>MAX((B108-E108-F108)*Inputs!B19,0)</f>
        <v>124269.56843674337</v>
      </c>
      <c r="H108">
        <f>G108*Inputs!B17</f>
        <v>31067.392109185843</v>
      </c>
      <c r="I108">
        <f t="shared" si="7"/>
        <v>1125465.324745324</v>
      </c>
      <c r="J108">
        <f t="shared" si="8"/>
        <v>98606037.439274728</v>
      </c>
      <c r="K108">
        <f>B108*Inputs!B8/12</f>
        <v>41554.792818341688</v>
      </c>
      <c r="L108">
        <f t="shared" si="9"/>
        <v>436325.32459258777</v>
      </c>
      <c r="M108">
        <f t="shared" si="10"/>
        <v>1094397.9326361381</v>
      </c>
    </row>
    <row r="109" spans="1:13" x14ac:dyDescent="0.2">
      <c r="A109">
        <v>108</v>
      </c>
      <c r="B109">
        <f t="shared" si="11"/>
        <v>98606037.439274728</v>
      </c>
      <c r="C109">
        <f>IF(A109&lt;=Inputs!B7,IF(B109&gt;0,-PMT(Inputs!B6/12,Inputs!B7-A109+1,B109),0),0)</f>
        <v>784199.46590952948</v>
      </c>
      <c r="D109">
        <f>B109*Inputs!B6/12</f>
        <v>472487.26272985811</v>
      </c>
      <c r="E109">
        <f t="shared" si="6"/>
        <v>311712.20317967137</v>
      </c>
      <c r="F109">
        <f>MAX((B109-E109)*Inputs!B18,0)</f>
        <v>680627.51812522986</v>
      </c>
      <c r="G109">
        <f>MAX((B109-E109-F109)*Inputs!B19,0)</f>
        <v>122864.11798536559</v>
      </c>
      <c r="H109">
        <f>G109*Inputs!B17</f>
        <v>30716.029496341398</v>
      </c>
      <c r="I109">
        <f t="shared" si="7"/>
        <v>1115203.8392902669</v>
      </c>
      <c r="J109">
        <f t="shared" si="8"/>
        <v>97490833.599984467</v>
      </c>
      <c r="K109">
        <f>B109*Inputs!B8/12</f>
        <v>41085.848933031135</v>
      </c>
      <c r="L109">
        <f t="shared" si="9"/>
        <v>431401.41379682696</v>
      </c>
      <c r="M109">
        <f t="shared" si="10"/>
        <v>1084487.8097939254</v>
      </c>
    </row>
    <row r="110" spans="1:13" x14ac:dyDescent="0.2">
      <c r="A110">
        <v>109</v>
      </c>
      <c r="B110">
        <f t="shared" si="11"/>
        <v>97490833.599984467</v>
      </c>
      <c r="C110">
        <f>IF(A110&lt;=Inputs!B7,IF(B110&gt;0,-PMT(Inputs!B6/12,Inputs!B7-A110+1,B110),0),0)</f>
        <v>777789.14964368939</v>
      </c>
      <c r="D110">
        <f>B110*Inputs!B6/12</f>
        <v>467143.57766659226</v>
      </c>
      <c r="E110">
        <f t="shared" si="6"/>
        <v>310645.57197709713</v>
      </c>
      <c r="F110">
        <f>MAX((B110-E110)*Inputs!B18,0)</f>
        <v>672912.80579600541</v>
      </c>
      <c r="G110">
        <f>MAX((B110-E110-F110)*Inputs!B19,0)</f>
        <v>121471.48941746425</v>
      </c>
      <c r="H110">
        <f>G110*Inputs!B17</f>
        <v>30367.872354366064</v>
      </c>
      <c r="I110">
        <f t="shared" si="7"/>
        <v>1105029.8671905668</v>
      </c>
      <c r="J110">
        <f t="shared" si="8"/>
        <v>96385803.732793897</v>
      </c>
      <c r="K110">
        <f>B110*Inputs!B8/12</f>
        <v>40621.180666660199</v>
      </c>
      <c r="L110">
        <f t="shared" si="9"/>
        <v>426522.39699993207</v>
      </c>
      <c r="M110">
        <f t="shared" si="10"/>
        <v>1074661.9948362007</v>
      </c>
    </row>
    <row r="111" spans="1:13" x14ac:dyDescent="0.2">
      <c r="A111">
        <v>110</v>
      </c>
      <c r="B111">
        <f t="shared" si="11"/>
        <v>96385803.732793897</v>
      </c>
      <c r="C111">
        <f>IF(A111&lt;=Inputs!B7,IF(B111&gt;0,-PMT(Inputs!B6/12,Inputs!B7-A111+1,B111),0),0)</f>
        <v>771431.23350870202</v>
      </c>
      <c r="D111">
        <f>B111*Inputs!B6/12</f>
        <v>461848.64288630412</v>
      </c>
      <c r="E111">
        <f t="shared" si="6"/>
        <v>309582.5906223979</v>
      </c>
      <c r="F111">
        <f>MAX((B111-E111)*Inputs!B18,0)</f>
        <v>665268.51666950574</v>
      </c>
      <c r="G111">
        <f>MAX((B111-E111-F111)*Inputs!B19,0)</f>
        <v>120091.5733603828</v>
      </c>
      <c r="H111">
        <f>G111*Inputs!B17</f>
        <v>30022.893340095699</v>
      </c>
      <c r="I111">
        <f t="shared" si="7"/>
        <v>1094942.6806522864</v>
      </c>
      <c r="J111">
        <f t="shared" si="8"/>
        <v>95290861.052141607</v>
      </c>
      <c r="K111">
        <f>B111*Inputs!B8/12</f>
        <v>40160.751555330789</v>
      </c>
      <c r="L111">
        <f t="shared" si="9"/>
        <v>421687.89133097336</v>
      </c>
      <c r="M111">
        <f t="shared" si="10"/>
        <v>1064919.7873121907</v>
      </c>
    </row>
    <row r="112" spans="1:13" x14ac:dyDescent="0.2">
      <c r="A112">
        <v>111</v>
      </c>
      <c r="B112">
        <f t="shared" si="11"/>
        <v>95290861.052141607</v>
      </c>
      <c r="C112">
        <f>IF(A112&lt;=Inputs!B7,IF(B112&gt;0,-PMT(Inputs!B6/12,Inputs!B7-A112+1,B112),0),0)</f>
        <v>765125.28916786704</v>
      </c>
      <c r="D112">
        <f>B112*Inputs!B6/12</f>
        <v>456602.04254151188</v>
      </c>
      <c r="E112">
        <f t="shared" si="6"/>
        <v>308523.24662635516</v>
      </c>
      <c r="F112">
        <f>MAX((B112-E112)*Inputs!B18,0)</f>
        <v>657694.0498957769</v>
      </c>
      <c r="G112">
        <f>MAX((B112-E112-F112)*Inputs!B19,0)</f>
        <v>118724.26135112546</v>
      </c>
      <c r="H112">
        <f>G112*Inputs!B17</f>
        <v>29681.065337781365</v>
      </c>
      <c r="I112">
        <f t="shared" si="7"/>
        <v>1084941.5578732577</v>
      </c>
      <c r="J112">
        <f t="shared" si="8"/>
        <v>94205919.494268343</v>
      </c>
      <c r="K112">
        <f>B112*Inputs!B8/12</f>
        <v>39704.525438392338</v>
      </c>
      <c r="L112">
        <f t="shared" si="9"/>
        <v>416897.51710311952</v>
      </c>
      <c r="M112">
        <f t="shared" si="10"/>
        <v>1055260.4925354763</v>
      </c>
    </row>
    <row r="113" spans="1:13" x14ac:dyDescent="0.2">
      <c r="A113">
        <v>112</v>
      </c>
      <c r="B113">
        <f t="shared" si="11"/>
        <v>94205919.494268343</v>
      </c>
      <c r="C113">
        <f>IF(A113&lt;=Inputs!B7,IF(B113&gt;0,-PMT(Inputs!B6/12,Inputs!B7-A113+1,B113),0),0)</f>
        <v>758870.89178585703</v>
      </c>
      <c r="D113">
        <f>B113*Inputs!B6/12</f>
        <v>451403.36424336914</v>
      </c>
      <c r="E113">
        <f t="shared" si="6"/>
        <v>307467.52754248789</v>
      </c>
      <c r="F113">
        <f>MAX((B113-E113)*Inputs!B18,0)</f>
        <v>650188.80962260393</v>
      </c>
      <c r="G113">
        <f>MAX((B113-E113-F113)*Inputs!B19,0)</f>
        <v>117369.44582886799</v>
      </c>
      <c r="H113">
        <f>G113*Inputs!B17</f>
        <v>29342.361457216997</v>
      </c>
      <c r="I113">
        <f t="shared" si="7"/>
        <v>1075025.78299396</v>
      </c>
      <c r="J113">
        <f t="shared" si="8"/>
        <v>93130893.711274385</v>
      </c>
      <c r="K113">
        <f>B113*Inputs!B8/12</f>
        <v>39252.466455945141</v>
      </c>
      <c r="L113">
        <f t="shared" si="9"/>
        <v>412150.89778742398</v>
      </c>
      <c r="M113">
        <f t="shared" si="10"/>
        <v>1045683.4215367429</v>
      </c>
    </row>
    <row r="114" spans="1:13" x14ac:dyDescent="0.2">
      <c r="A114">
        <v>113</v>
      </c>
      <c r="B114">
        <f t="shared" si="11"/>
        <v>93130893.711274385</v>
      </c>
      <c r="C114">
        <f>IF(A114&lt;=Inputs!B7,IF(B114&gt;0,-PMT(Inputs!B6/12,Inputs!B7-A114+1,B114),0),0)</f>
        <v>752667.62000009371</v>
      </c>
      <c r="D114">
        <f>B114*Inputs!B6/12</f>
        <v>446252.1990331898</v>
      </c>
      <c r="E114">
        <f t="shared" si="6"/>
        <v>306415.42096690391</v>
      </c>
      <c r="F114">
        <f>MAX((B114-E114)*Inputs!B18,0)</f>
        <v>642752.20495436166</v>
      </c>
      <c r="G114">
        <f>MAX((B114-E114-F114)*Inputs!B19,0)</f>
        <v>116027.02012752964</v>
      </c>
      <c r="H114">
        <f>G114*Inputs!B17</f>
        <v>29006.755031882411</v>
      </c>
      <c r="I114">
        <f t="shared" si="7"/>
        <v>1065194.6460487952</v>
      </c>
      <c r="J114">
        <f t="shared" si="8"/>
        <v>92065699.065225586</v>
      </c>
      <c r="K114">
        <f>B114*Inputs!B8/12</f>
        <v>38804.539046364327</v>
      </c>
      <c r="L114">
        <f t="shared" si="9"/>
        <v>407447.65998682549</v>
      </c>
      <c r="M114">
        <f t="shared" si="10"/>
        <v>1036187.8910169128</v>
      </c>
    </row>
    <row r="115" spans="1:13" x14ac:dyDescent="0.2">
      <c r="A115">
        <v>114</v>
      </c>
      <c r="B115">
        <f t="shared" si="11"/>
        <v>92065699.065225586</v>
      </c>
      <c r="C115">
        <f>IF(A115&lt;=Inputs!B7,IF(B115&gt;0,-PMT(Inputs!B6/12,Inputs!B7-A115+1,B115),0),0)</f>
        <v>746515.05589236144</v>
      </c>
      <c r="D115">
        <f>B115*Inputs!B6/12</f>
        <v>441148.14135420596</v>
      </c>
      <c r="E115">
        <f t="shared" si="6"/>
        <v>305366.91453815548</v>
      </c>
      <c r="F115">
        <f>MAX((B115-E115)*Inputs!B18,0)</f>
        <v>635383.6499112047</v>
      </c>
      <c r="G115">
        <f>MAX((B115-E115-F115)*Inputs!B19,0)</f>
        <v>114696.87846840628</v>
      </c>
      <c r="H115">
        <f>G115*Inputs!B17</f>
        <v>28674.219617101571</v>
      </c>
      <c r="I115">
        <f t="shared" si="7"/>
        <v>1055447.4429177665</v>
      </c>
      <c r="J115">
        <f t="shared" si="8"/>
        <v>91010251.622307822</v>
      </c>
      <c r="K115">
        <f>B115*Inputs!B8/12</f>
        <v>38360.707943843991</v>
      </c>
      <c r="L115">
        <f t="shared" si="9"/>
        <v>402787.43341036199</v>
      </c>
      <c r="M115">
        <f t="shared" si="10"/>
        <v>1026773.2233006649</v>
      </c>
    </row>
    <row r="116" spans="1:13" x14ac:dyDescent="0.2">
      <c r="A116">
        <v>115</v>
      </c>
      <c r="B116">
        <f t="shared" si="11"/>
        <v>91010251.622307822</v>
      </c>
      <c r="C116">
        <f>IF(A116&lt;=Inputs!B7,IF(B116&gt;0,-PMT(Inputs!B6/12,Inputs!B7-A116+1,B116),0),0)</f>
        <v>740412.7849606527</v>
      </c>
      <c r="D116">
        <f>B116*Inputs!B6/12</f>
        <v>436090.78902355832</v>
      </c>
      <c r="E116">
        <f t="shared" si="6"/>
        <v>304321.99593709438</v>
      </c>
      <c r="F116">
        <f>MAX((B116-E116)*Inputs!B18,0)</f>
        <v>628082.56338859105</v>
      </c>
      <c r="G116">
        <f>MAX((B116-E116-F116)*Inputs!B19,0)</f>
        <v>113378.91595286383</v>
      </c>
      <c r="H116">
        <f>G116*Inputs!B17</f>
        <v>28344.728988215957</v>
      </c>
      <c r="I116">
        <f t="shared" si="7"/>
        <v>1045783.4752785494</v>
      </c>
      <c r="J116">
        <f t="shared" si="8"/>
        <v>89964468.147029266</v>
      </c>
      <c r="K116">
        <f>B116*Inputs!B8/12</f>
        <v>37920.938175961594</v>
      </c>
      <c r="L116">
        <f t="shared" si="9"/>
        <v>398169.85084759671</v>
      </c>
      <c r="M116">
        <f t="shared" si="10"/>
        <v>1017438.7462903335</v>
      </c>
    </row>
    <row r="117" spans="1:13" x14ac:dyDescent="0.2">
      <c r="A117">
        <v>116</v>
      </c>
      <c r="B117">
        <f t="shared" si="11"/>
        <v>89964468.147029266</v>
      </c>
      <c r="C117">
        <f>IF(A117&lt;=Inputs!B7,IF(B117&gt;0,-PMT(Inputs!B6/12,Inputs!B7-A117+1,B117),0),0)</f>
        <v>734360.39609124151</v>
      </c>
      <c r="D117">
        <f>B117*Inputs!B6/12</f>
        <v>431079.74320451525</v>
      </c>
      <c r="E117">
        <f t="shared" si="6"/>
        <v>303280.65288672625</v>
      </c>
      <c r="F117">
        <f>MAX((B117-E117)*Inputs!B18,0)</f>
        <v>620848.36911713763</v>
      </c>
      <c r="G117">
        <f>MAX((B117-E117-F117)*Inputs!B19,0)</f>
        <v>112073.02855509132</v>
      </c>
      <c r="H117">
        <f>G117*Inputs!B17</f>
        <v>28018.257138772831</v>
      </c>
      <c r="I117">
        <f t="shared" si="7"/>
        <v>1036202.0505589553</v>
      </c>
      <c r="J117">
        <f t="shared" si="8"/>
        <v>88928266.096470311</v>
      </c>
      <c r="K117">
        <f>B117*Inputs!B8/12</f>
        <v>37485.195061262195</v>
      </c>
      <c r="L117">
        <f t="shared" si="9"/>
        <v>393594.54814325308</v>
      </c>
      <c r="M117">
        <f t="shared" si="10"/>
        <v>1008183.7934201824</v>
      </c>
    </row>
    <row r="118" spans="1:13" x14ac:dyDescent="0.2">
      <c r="A118">
        <v>117</v>
      </c>
      <c r="B118">
        <f t="shared" si="11"/>
        <v>88928266.096470311</v>
      </c>
      <c r="C118">
        <f>IF(A118&lt;=Inputs!B7,IF(B118&gt;0,-PMT(Inputs!B6/12,Inputs!B7-A118+1,B118),0),0)</f>
        <v>728357.48153098649</v>
      </c>
      <c r="D118">
        <f>B118*Inputs!B6/12</f>
        <v>426114.60837892024</v>
      </c>
      <c r="E118">
        <f t="shared" si="6"/>
        <v>302242.87315206625</v>
      </c>
      <c r="F118">
        <f>MAX((B118-E118)*Inputs!B18,0)</f>
        <v>613680.49562280579</v>
      </c>
      <c r="G118">
        <f>MAX((B118-E118-F118)*Inputs!B19,0)</f>
        <v>110779.11311491406</v>
      </c>
      <c r="H118">
        <f>G118*Inputs!B17</f>
        <v>27694.778278728514</v>
      </c>
      <c r="I118">
        <f t="shared" si="7"/>
        <v>1026702.4818897861</v>
      </c>
      <c r="J118">
        <f t="shared" si="8"/>
        <v>87901563.614580527</v>
      </c>
      <c r="K118">
        <f>B118*Inputs!B8/12</f>
        <v>37053.44420686263</v>
      </c>
      <c r="L118">
        <f t="shared" si="9"/>
        <v>389061.16417205759</v>
      </c>
      <c r="M118">
        <f t="shared" si="10"/>
        <v>999007.7036110576</v>
      </c>
    </row>
    <row r="119" spans="1:13" x14ac:dyDescent="0.2">
      <c r="A119">
        <v>118</v>
      </c>
      <c r="B119">
        <f t="shared" si="11"/>
        <v>87901563.614580527</v>
      </c>
      <c r="C119">
        <f>IF(A119&lt;=Inputs!B7,IF(B119&gt;0,-PMT(Inputs!B6/12,Inputs!B7-A119+1,B119),0),0)</f>
        <v>722403.63685986178</v>
      </c>
      <c r="D119">
        <f>B119*Inputs!B6/12</f>
        <v>421194.99231986509</v>
      </c>
      <c r="E119">
        <f t="shared" si="6"/>
        <v>301208.64453999669</v>
      </c>
      <c r="F119">
        <f>MAX((B119-E119)*Inputs!B18,0)</f>
        <v>606578.37618741137</v>
      </c>
      <c r="G119">
        <f>MAX((B119-E119-F119)*Inputs!B19,0)</f>
        <v>109497.06733066482</v>
      </c>
      <c r="H119">
        <f>G119*Inputs!B17</f>
        <v>27374.266832666206</v>
      </c>
      <c r="I119">
        <f t="shared" si="7"/>
        <v>1017284.088058073</v>
      </c>
      <c r="J119">
        <f t="shared" si="8"/>
        <v>86884279.526522458</v>
      </c>
      <c r="K119">
        <f>B119*Inputs!B8/12</f>
        <v>36625.651506075221</v>
      </c>
      <c r="L119">
        <f t="shared" si="9"/>
        <v>384569.34081378987</v>
      </c>
      <c r="M119">
        <f t="shared" si="10"/>
        <v>989909.82122540672</v>
      </c>
    </row>
    <row r="120" spans="1:13" x14ac:dyDescent="0.2">
      <c r="A120">
        <v>119</v>
      </c>
      <c r="B120">
        <f t="shared" si="11"/>
        <v>86884279.526522458</v>
      </c>
      <c r="C120">
        <f>IF(A120&lt;=Inputs!B7,IF(B120&gt;0,-PMT(Inputs!B6/12,Inputs!B7-A120+1,B120),0),0)</f>
        <v>716498.46096370928</v>
      </c>
      <c r="D120">
        <f>B120*Inputs!B6/12</f>
        <v>416320.50606458681</v>
      </c>
      <c r="E120">
        <f t="shared" si="6"/>
        <v>300177.95489912247</v>
      </c>
      <c r="F120">
        <f>MAX((B120-E120)*Inputs!B18,0)</f>
        <v>599541.44880946109</v>
      </c>
      <c r="G120">
        <f>MAX((B120-E120-F120)*Inputs!B19,0)</f>
        <v>108226.78975211438</v>
      </c>
      <c r="H120">
        <f>G120*Inputs!B17</f>
        <v>27056.697438028594</v>
      </c>
      <c r="I120">
        <f t="shared" si="7"/>
        <v>1007946.1934606979</v>
      </c>
      <c r="J120">
        <f t="shared" si="8"/>
        <v>85876333.333061755</v>
      </c>
      <c r="K120">
        <f>B120*Inputs!B8/12</f>
        <v>36201.783136051024</v>
      </c>
      <c r="L120">
        <f t="shared" si="9"/>
        <v>380118.72292853578</v>
      </c>
      <c r="M120">
        <f t="shared" si="10"/>
        <v>980889.49602266925</v>
      </c>
    </row>
    <row r="121" spans="1:13" x14ac:dyDescent="0.2">
      <c r="A121">
        <v>120</v>
      </c>
      <c r="B121">
        <f t="shared" si="11"/>
        <v>85876333.333061755</v>
      </c>
      <c r="C121">
        <f>IF(A121&lt;=Inputs!B7,IF(B121&gt;0,-PMT(Inputs!B6/12,Inputs!B7-A121+1,B121),0),0)</f>
        <v>710641.55600721599</v>
      </c>
      <c r="D121">
        <f>B121*Inputs!B6/12</f>
        <v>411490.76388758764</v>
      </c>
      <c r="E121">
        <f t="shared" si="6"/>
        <v>299150.79211962834</v>
      </c>
      <c r="F121">
        <f>MAX((B121-E121)*Inputs!B18,0)</f>
        <v>592569.15616530809</v>
      </c>
      <c r="G121">
        <f>MAX((B121-E121-F121)*Inputs!B19,0)</f>
        <v>106968.17977345921</v>
      </c>
      <c r="H121">
        <f>G121*Inputs!B17</f>
        <v>26742.044943364803</v>
      </c>
      <c r="I121">
        <f t="shared" si="7"/>
        <v>998688.12805839558</v>
      </c>
      <c r="J121">
        <f t="shared" si="8"/>
        <v>84877645.205003366</v>
      </c>
      <c r="K121">
        <f>B121*Inputs!B8/12</f>
        <v>35781.805555442399</v>
      </c>
      <c r="L121">
        <f t="shared" si="9"/>
        <v>375708.95833214524</v>
      </c>
      <c r="M121">
        <f t="shared" si="10"/>
        <v>971946.08311503078</v>
      </c>
    </row>
    <row r="122" spans="1:13" x14ac:dyDescent="0.2">
      <c r="A122">
        <v>121</v>
      </c>
      <c r="B122">
        <f t="shared" si="11"/>
        <v>84877645.205003366</v>
      </c>
      <c r="C122">
        <f>IF(A122&lt;=Inputs!B7,IF(B122&gt;0,-PMT(Inputs!B6/12,Inputs!B7-A122+1,B122),0),0)</f>
        <v>704832.52740711183</v>
      </c>
      <c r="D122">
        <f>B122*Inputs!B6/12</f>
        <v>406705.38327397447</v>
      </c>
      <c r="E122">
        <f t="shared" si="6"/>
        <v>298127.14413313736</v>
      </c>
      <c r="F122">
        <f>MAX((B122-E122)*Inputs!B18,0)</f>
        <v>585660.94557062676</v>
      </c>
      <c r="G122">
        <f>MAX((B122-E122-F122)*Inputs!B19,0)</f>
        <v>105721.13762636736</v>
      </c>
      <c r="H122">
        <f>G122*Inputs!B17</f>
        <v>26430.28440659184</v>
      </c>
      <c r="I122">
        <f t="shared" si="7"/>
        <v>989509.22733013146</v>
      </c>
      <c r="J122">
        <f t="shared" si="8"/>
        <v>83888135.977673233</v>
      </c>
      <c r="K122">
        <f>B122*Inputs!B8/12</f>
        <v>35365.685502084736</v>
      </c>
      <c r="L122">
        <f t="shared" si="9"/>
        <v>371339.69777188974</v>
      </c>
      <c r="M122">
        <f t="shared" si="10"/>
        <v>963078.94292353967</v>
      </c>
    </row>
    <row r="123" spans="1:13" x14ac:dyDescent="0.2">
      <c r="A123">
        <v>122</v>
      </c>
      <c r="B123">
        <f t="shared" si="11"/>
        <v>83888135.977673233</v>
      </c>
      <c r="C123">
        <f>IF(A123&lt;=Inputs!B7,IF(B123&gt;0,-PMT(Inputs!B6/12,Inputs!B7-A123+1,B123),0),0)</f>
        <v>699070.98380558612</v>
      </c>
      <c r="D123">
        <f>B123*Inputs!B6/12</f>
        <v>401963.98489301762</v>
      </c>
      <c r="E123">
        <f t="shared" si="6"/>
        <v>297106.9989125685</v>
      </c>
      <c r="F123">
        <f>MAX((B123-E123)*Inputs!B18,0)</f>
        <v>578816.26894220361</v>
      </c>
      <c r="G123">
        <f>MAX((B123-E123-F123)*Inputs!B19,0)</f>
        <v>104485.56437308094</v>
      </c>
      <c r="H123">
        <f>G123*Inputs!B17</f>
        <v>26121.391093270235</v>
      </c>
      <c r="I123">
        <f t="shared" si="7"/>
        <v>980408.83222785301</v>
      </c>
      <c r="J123">
        <f t="shared" si="8"/>
        <v>82907727.145445377</v>
      </c>
      <c r="K123">
        <f>B123*Inputs!B8/12</f>
        <v>34953.389990697186</v>
      </c>
      <c r="L123">
        <f t="shared" si="9"/>
        <v>367010.59490232042</v>
      </c>
      <c r="M123">
        <f t="shared" si="10"/>
        <v>954287.44113458274</v>
      </c>
    </row>
    <row r="124" spans="1:13" x14ac:dyDescent="0.2">
      <c r="A124">
        <v>123</v>
      </c>
      <c r="B124">
        <f t="shared" si="11"/>
        <v>82907727.145445377</v>
      </c>
      <c r="C124">
        <f>IF(A124&lt;=Inputs!B7,IF(B124&gt;0,-PMT(Inputs!B6/12,Inputs!B7-A124+1,B124),0),0)</f>
        <v>693356.53704392142</v>
      </c>
      <c r="D124">
        <f>B124*Inputs!B6/12</f>
        <v>397266.19257192576</v>
      </c>
      <c r="E124">
        <f t="shared" si="6"/>
        <v>296090.34447199566</v>
      </c>
      <c r="F124">
        <f>MAX((B124-E124)*Inputs!B18,0)</f>
        <v>572034.58276004111</v>
      </c>
      <c r="G124">
        <f>MAX((B124-E124-F124)*Inputs!B19,0)</f>
        <v>103261.36189957526</v>
      </c>
      <c r="H124">
        <f>G124*Inputs!B17</f>
        <v>25815.340474893816</v>
      </c>
      <c r="I124">
        <f t="shared" si="7"/>
        <v>971386.28913161205</v>
      </c>
      <c r="J124">
        <f t="shared" si="8"/>
        <v>81936340.856313765</v>
      </c>
      <c r="K124">
        <f>B124*Inputs!B8/12</f>
        <v>34544.88631060224</v>
      </c>
      <c r="L124">
        <f t="shared" si="9"/>
        <v>362721.30626132351</v>
      </c>
      <c r="M124">
        <f t="shared" si="10"/>
        <v>945570.94865671825</v>
      </c>
    </row>
    <row r="125" spans="1:13" x14ac:dyDescent="0.2">
      <c r="A125">
        <v>124</v>
      </c>
      <c r="B125">
        <f t="shared" si="11"/>
        <v>81936340.856313765</v>
      </c>
      <c r="C125">
        <f>IF(A125&lt;=Inputs!B7,IF(B125&gt;0,-PMT(Inputs!B6/12,Inputs!B7-A125+1,B125),0),0)</f>
        <v>687688.80213634402</v>
      </c>
      <c r="D125">
        <f>B125*Inputs!B6/12</f>
        <v>392611.63326983684</v>
      </c>
      <c r="E125">
        <f t="shared" si="6"/>
        <v>295077.16886650719</v>
      </c>
      <c r="F125">
        <f>MAX((B125-E125)*Inputs!B18,0)</f>
        <v>565315.34802977205</v>
      </c>
      <c r="G125">
        <f>MAX((B125-E125-F125)*Inputs!B19,0)</f>
        <v>102048.43290877408</v>
      </c>
      <c r="H125">
        <f>G125*Inputs!B17</f>
        <v>25512.108227193519</v>
      </c>
      <c r="I125">
        <f t="shared" si="7"/>
        <v>962440.94980505342</v>
      </c>
      <c r="J125">
        <f t="shared" si="8"/>
        <v>80973899.906508714</v>
      </c>
      <c r="K125">
        <f>B125*Inputs!B8/12</f>
        <v>34140.142023464068</v>
      </c>
      <c r="L125">
        <f t="shared" si="9"/>
        <v>358471.49124637275</v>
      </c>
      <c r="M125">
        <f t="shared" si="10"/>
        <v>936928.84157785994</v>
      </c>
    </row>
    <row r="126" spans="1:13" x14ac:dyDescent="0.2">
      <c r="A126">
        <v>125</v>
      </c>
      <c r="B126">
        <f t="shared" si="11"/>
        <v>80973899.906508714</v>
      </c>
      <c r="C126">
        <f>IF(A126&lt;=Inputs!B7,IF(B126&gt;0,-PMT(Inputs!B6/12,Inputs!B7-A126+1,B126),0),0)</f>
        <v>682067.39724408532</v>
      </c>
      <c r="D126">
        <f>B126*Inputs!B6/12</f>
        <v>387999.93705202098</v>
      </c>
      <c r="E126">
        <f t="shared" si="6"/>
        <v>294067.46019206435</v>
      </c>
      <c r="F126">
        <f>MAX((B126-E126)*Inputs!B18,0)</f>
        <v>558658.0302453828</v>
      </c>
      <c r="G126">
        <f>MAX((B126-E126-F126)*Inputs!B19,0)</f>
        <v>100846.68091382054</v>
      </c>
      <c r="H126">
        <f>G126*Inputs!B17</f>
        <v>25211.670228455136</v>
      </c>
      <c r="I126">
        <f t="shared" si="7"/>
        <v>953572.17135126761</v>
      </c>
      <c r="J126">
        <f t="shared" si="8"/>
        <v>80020327.735157445</v>
      </c>
      <c r="K126">
        <f>B126*Inputs!B8/12</f>
        <v>33739.124961045301</v>
      </c>
      <c r="L126">
        <f t="shared" si="9"/>
        <v>354260.8120909757</v>
      </c>
      <c r="M126">
        <f t="shared" si="10"/>
        <v>928360.50112281251</v>
      </c>
    </row>
    <row r="127" spans="1:13" x14ac:dyDescent="0.2">
      <c r="A127">
        <v>126</v>
      </c>
      <c r="B127">
        <f t="shared" si="11"/>
        <v>80020327.735157445</v>
      </c>
      <c r="C127">
        <f>IF(A127&lt;=Inputs!B7,IF(B127&gt;0,-PMT(Inputs!B6/12,Inputs!B7-A127+1,B127),0),0)</f>
        <v>676491.94364965823</v>
      </c>
      <c r="D127">
        <f>B127*Inputs!B6/12</f>
        <v>383430.73706429609</v>
      </c>
      <c r="E127">
        <f t="shared" si="6"/>
        <v>293061.20658536215</v>
      </c>
      <c r="F127">
        <f>MAX((B127-E127)*Inputs!B18,0)</f>
        <v>552062.09935224231</v>
      </c>
      <c r="G127">
        <f>MAX((B127-E127-F127)*Inputs!B19,0)</f>
        <v>99656.010231403285</v>
      </c>
      <c r="H127">
        <f>G127*Inputs!B17</f>
        <v>24914.002557850821</v>
      </c>
      <c r="I127">
        <f t="shared" si="7"/>
        <v>944779.3161690078</v>
      </c>
      <c r="J127">
        <f t="shared" si="8"/>
        <v>79075548.418988436</v>
      </c>
      <c r="K127">
        <f>B127*Inputs!B8/12</f>
        <v>33341.803222982271</v>
      </c>
      <c r="L127">
        <f t="shared" si="9"/>
        <v>350088.93384131382</v>
      </c>
      <c r="M127">
        <f t="shared" si="10"/>
        <v>919865.31361115701</v>
      </c>
    </row>
    <row r="128" spans="1:13" x14ac:dyDescent="0.2">
      <c r="A128">
        <v>127</v>
      </c>
      <c r="B128">
        <f t="shared" si="11"/>
        <v>79075548.418988436</v>
      </c>
      <c r="C128">
        <f>IF(A128&lt;=Inputs!B7,IF(B128&gt;0,-PMT(Inputs!B6/12,Inputs!B7-A128+1,B128),0),0)</f>
        <v>670962.06573134393</v>
      </c>
      <c r="D128">
        <f>B128*Inputs!B6/12</f>
        <v>378903.66950765293</v>
      </c>
      <c r="E128">
        <f t="shared" si="6"/>
        <v>292058.396223691</v>
      </c>
      <c r="F128">
        <f>MAX((B128-E128)*Inputs!B18,0)</f>
        <v>545527.02971043275</v>
      </c>
      <c r="G128">
        <f>MAX((B128-E128-F128)*Inputs!B19,0)</f>
        <v>98476.325975137093</v>
      </c>
      <c r="H128">
        <f>G128*Inputs!B17</f>
        <v>24619.081493784273</v>
      </c>
      <c r="I128">
        <f t="shared" si="7"/>
        <v>936061.75190926087</v>
      </c>
      <c r="J128">
        <f t="shared" si="8"/>
        <v>78139486.66707918</v>
      </c>
      <c r="K128">
        <f>B128*Inputs!B8/12</f>
        <v>32948.145174578516</v>
      </c>
      <c r="L128">
        <f t="shared" si="9"/>
        <v>345955.5243330744</v>
      </c>
      <c r="M128">
        <f t="shared" si="10"/>
        <v>911442.67041547655</v>
      </c>
    </row>
    <row r="129" spans="1:13" x14ac:dyDescent="0.2">
      <c r="A129">
        <v>128</v>
      </c>
      <c r="B129">
        <f t="shared" si="11"/>
        <v>78139486.66707918</v>
      </c>
      <c r="C129">
        <f>IF(A129&lt;=Inputs!B7,IF(B129&gt;0,-PMT(Inputs!B6/12,Inputs!B7-A129+1,B129),0),0)</f>
        <v>665477.39093788352</v>
      </c>
      <c r="D129">
        <f>B129*Inputs!B6/12</f>
        <v>374418.37361308775</v>
      </c>
      <c r="E129">
        <f t="shared" si="6"/>
        <v>291059.01732479577</v>
      </c>
      <c r="F129">
        <f>MAX((B129-E129)*Inputs!B18,0)</f>
        <v>539052.30005838349</v>
      </c>
      <c r="G129">
        <f>MAX((B129-E129-F129)*Inputs!B19,0)</f>
        <v>97307.53404899819</v>
      </c>
      <c r="H129">
        <f>G129*Inputs!B17</f>
        <v>24326.883512249547</v>
      </c>
      <c r="I129">
        <f t="shared" si="7"/>
        <v>927418.85143217735</v>
      </c>
      <c r="J129">
        <f t="shared" si="8"/>
        <v>77212067.815647006</v>
      </c>
      <c r="K129">
        <f>B129*Inputs!B8/12</f>
        <v>32558.119444616328</v>
      </c>
      <c r="L129">
        <f t="shared" si="9"/>
        <v>341860.25416847144</v>
      </c>
      <c r="M129">
        <f t="shared" si="10"/>
        <v>903091.96791992779</v>
      </c>
    </row>
    <row r="130" spans="1:13" x14ac:dyDescent="0.2">
      <c r="A130">
        <v>129</v>
      </c>
      <c r="B130">
        <f t="shared" si="11"/>
        <v>77212067.815647006</v>
      </c>
      <c r="C130">
        <f>IF(A130&lt;=Inputs!B7,IF(B130&gt;0,-PMT(Inputs!B6/12,Inputs!B7-A130+1,B130),0),0)</f>
        <v>660037.54976338055</v>
      </c>
      <c r="D130">
        <f>B130*Inputs!B6/12</f>
        <v>369974.49161664193</v>
      </c>
      <c r="E130">
        <f t="shared" ref="E130:E193" si="12">MAX(C130-D130,0)</f>
        <v>290063.05814673862</v>
      </c>
      <c r="F130">
        <f>MAX((B130-E130)*Inputs!B18,0)</f>
        <v>532637.39347680006</v>
      </c>
      <c r="G130">
        <f>MAX((B130-E130-F130)*Inputs!B19,0)</f>
        <v>96149.541140812915</v>
      </c>
      <c r="H130">
        <f>G130*Inputs!B17</f>
        <v>24037.385285203229</v>
      </c>
      <c r="I130">
        <f t="shared" ref="I130:I193" si="13">MIN(B130,E130+F130+G130)</f>
        <v>918849.99276435166</v>
      </c>
      <c r="J130">
        <f t="shared" ref="J130:J193" si="14">MAX(B130-I130,0)</f>
        <v>76293217.822882652</v>
      </c>
      <c r="K130">
        <f>B130*Inputs!B8/12</f>
        <v>32171.694923186253</v>
      </c>
      <c r="L130">
        <f t="shared" ref="L130:L193" si="15">MAX(D130-K130,0)</f>
        <v>337802.79669345566</v>
      </c>
      <c r="M130">
        <f t="shared" ref="M130:M193" si="16">MAX(I130-H130,0)</f>
        <v>894812.60747914843</v>
      </c>
    </row>
    <row r="131" spans="1:13" x14ac:dyDescent="0.2">
      <c r="A131">
        <v>130</v>
      </c>
      <c r="B131">
        <f t="shared" ref="B131:B194" si="17">J130</f>
        <v>76293217.822882652</v>
      </c>
      <c r="C131">
        <f>IF(A131&lt;=Inputs!B7,IF(B131&gt;0,-PMT(Inputs!B6/12,Inputs!B7-A131+1,B131),0),0)</f>
        <v>654642.17572240741</v>
      </c>
      <c r="D131">
        <f>B131*Inputs!B6/12</f>
        <v>365571.66873464611</v>
      </c>
      <c r="E131">
        <f t="shared" si="12"/>
        <v>289070.5069877613</v>
      </c>
      <c r="F131">
        <f>MAX((B131-E131)*Inputs!B18,0)</f>
        <v>526281.79735289246</v>
      </c>
      <c r="G131">
        <f>MAX((B131-E131-F131)*Inputs!B19,0)</f>
        <v>95002.254715800271</v>
      </c>
      <c r="H131">
        <f>G131*Inputs!B17</f>
        <v>23750.563678950068</v>
      </c>
      <c r="I131">
        <f t="shared" si="13"/>
        <v>910354.55905645411</v>
      </c>
      <c r="J131">
        <f t="shared" si="14"/>
        <v>75382863.263826191</v>
      </c>
      <c r="K131">
        <f>B131*Inputs!B8/12</f>
        <v>31788.840759534436</v>
      </c>
      <c r="L131">
        <f t="shared" si="15"/>
        <v>333782.82797511166</v>
      </c>
      <c r="M131">
        <f t="shared" si="16"/>
        <v>886603.99537750403</v>
      </c>
    </row>
    <row r="132" spans="1:13" x14ac:dyDescent="0.2">
      <c r="A132">
        <v>131</v>
      </c>
      <c r="B132">
        <f t="shared" si="17"/>
        <v>75382863.263826191</v>
      </c>
      <c r="C132">
        <f>IF(A132&lt;=Inputs!B7,IF(B132&gt;0,-PMT(Inputs!B6/12,Inputs!B7-A132+1,B132),0),0)</f>
        <v>649290.90532531368</v>
      </c>
      <c r="D132">
        <f>B132*Inputs!B6/12</f>
        <v>361209.5531391672</v>
      </c>
      <c r="E132">
        <f t="shared" si="12"/>
        <v>288081.35218614648</v>
      </c>
      <c r="F132">
        <f>MAX((B132-E132)*Inputs!B18,0)</f>
        <v>519985.0033448938</v>
      </c>
      <c r="G132">
        <f>MAX((B132-E132-F132)*Inputs!B19,0)</f>
        <v>93865.583010167087</v>
      </c>
      <c r="H132">
        <f>G132*Inputs!B17</f>
        <v>23466.395752541772</v>
      </c>
      <c r="I132">
        <f t="shared" si="13"/>
        <v>901931.93854120746</v>
      </c>
      <c r="J132">
        <f t="shared" si="14"/>
        <v>74480931.325284988</v>
      </c>
      <c r="K132">
        <f>B132*Inputs!B8/12</f>
        <v>31409.526359927579</v>
      </c>
      <c r="L132">
        <f t="shared" si="15"/>
        <v>329800.02677923965</v>
      </c>
      <c r="M132">
        <f t="shared" si="16"/>
        <v>878465.54278866574</v>
      </c>
    </row>
    <row r="133" spans="1:13" x14ac:dyDescent="0.2">
      <c r="A133">
        <v>132</v>
      </c>
      <c r="B133">
        <f t="shared" si="17"/>
        <v>74480931.325284988</v>
      </c>
      <c r="C133">
        <f>IF(A133&lt;=Inputs!B7,IF(B133&gt;0,-PMT(Inputs!B6/12,Inputs!B7-A133+1,B133),0),0)</f>
        <v>643983.37805373955</v>
      </c>
      <c r="D133">
        <f>B133*Inputs!B6/12</f>
        <v>356887.79593365727</v>
      </c>
      <c r="E133">
        <f t="shared" si="12"/>
        <v>287095.58212008228</v>
      </c>
      <c r="F133">
        <f>MAX((B133-E133)*Inputs!B18,0)</f>
        <v>513746.50734687166</v>
      </c>
      <c r="G133">
        <f>MAX((B133-E133-F133)*Inputs!B19,0)</f>
        <v>92739.435024755774</v>
      </c>
      <c r="H133">
        <f>G133*Inputs!B17</f>
        <v>23184.858756188944</v>
      </c>
      <c r="I133">
        <f t="shared" si="13"/>
        <v>893581.52449170966</v>
      </c>
      <c r="J133">
        <f t="shared" si="14"/>
        <v>73587349.800793275</v>
      </c>
      <c r="K133">
        <f>B133*Inputs!B8/12</f>
        <v>31033.721385535409</v>
      </c>
      <c r="L133">
        <f t="shared" si="15"/>
        <v>325854.07454812183</v>
      </c>
      <c r="M133">
        <f t="shared" si="16"/>
        <v>870396.66573552066</v>
      </c>
    </row>
    <row r="134" spans="1:13" x14ac:dyDescent="0.2">
      <c r="A134">
        <v>133</v>
      </c>
      <c r="B134">
        <f t="shared" si="17"/>
        <v>73587349.800793275</v>
      </c>
      <c r="C134">
        <f>IF(A134&lt;=Inputs!B7,IF(B134&gt;0,-PMT(Inputs!B6/12,Inputs!B7-A134+1,B134),0),0)</f>
        <v>638719.23633632518</v>
      </c>
      <c r="D134">
        <f>B134*Inputs!B6/12</f>
        <v>352606.05112880113</v>
      </c>
      <c r="E134">
        <f t="shared" si="12"/>
        <v>286113.18520752405</v>
      </c>
      <c r="F134">
        <f>MAX((B134-E134)*Inputs!B18,0)</f>
        <v>507565.80945382721</v>
      </c>
      <c r="G134">
        <f>MAX((B134-E134-F134)*Inputs!B19,0)</f>
        <v>91623.720518744289</v>
      </c>
      <c r="H134">
        <f>G134*Inputs!B17</f>
        <v>22905.930129686072</v>
      </c>
      <c r="I134">
        <f t="shared" si="13"/>
        <v>885302.71518009552</v>
      </c>
      <c r="J134">
        <f t="shared" si="14"/>
        <v>72702047.085613176</v>
      </c>
      <c r="K134">
        <f>B134*Inputs!B8/12</f>
        <v>30661.395750330532</v>
      </c>
      <c r="L134">
        <f t="shared" si="15"/>
        <v>321944.6553784706</v>
      </c>
      <c r="M134">
        <f t="shared" si="16"/>
        <v>862396.7850504095</v>
      </c>
    </row>
    <row r="135" spans="1:13" x14ac:dyDescent="0.2">
      <c r="A135">
        <v>134</v>
      </c>
      <c r="B135">
        <f t="shared" si="17"/>
        <v>72702047.085613176</v>
      </c>
      <c r="C135">
        <f>IF(A135&lt;=Inputs!B7,IF(B135&gt;0,-PMT(Inputs!B6/12,Inputs!B7-A135+1,B135),0),0)</f>
        <v>633498.12552462239</v>
      </c>
      <c r="D135">
        <f>B135*Inputs!B6/12</f>
        <v>348363.97561856318</v>
      </c>
      <c r="E135">
        <f t="shared" si="12"/>
        <v>285134.1499060592</v>
      </c>
      <c r="F135">
        <f>MAX((B135-E135)*Inputs!B18,0)</f>
        <v>501442.41392708191</v>
      </c>
      <c r="G135">
        <f>MAX((B135-E135-F135)*Inputs!B19,0)</f>
        <v>90518.350003397791</v>
      </c>
      <c r="H135">
        <f>G135*Inputs!B17</f>
        <v>22629.587500849448</v>
      </c>
      <c r="I135">
        <f t="shared" si="13"/>
        <v>877094.91383653891</v>
      </c>
      <c r="J135">
        <f t="shared" si="14"/>
        <v>71824952.171776637</v>
      </c>
      <c r="K135">
        <f>B135*Inputs!B8/12</f>
        <v>30292.519619005488</v>
      </c>
      <c r="L135">
        <f t="shared" si="15"/>
        <v>318071.45599955769</v>
      </c>
      <c r="M135">
        <f t="shared" si="16"/>
        <v>854465.32633568952</v>
      </c>
    </row>
    <row r="136" spans="1:13" x14ac:dyDescent="0.2">
      <c r="A136">
        <v>135</v>
      </c>
      <c r="B136">
        <f t="shared" si="17"/>
        <v>71824952.171776637</v>
      </c>
      <c r="C136">
        <f>IF(A136&lt;=Inputs!B7,IF(B136&gt;0,-PMT(Inputs!B6/12,Inputs!B7-A136+1,B136),0),0)</f>
        <v>628319.69386920216</v>
      </c>
      <c r="D136">
        <f>B136*Inputs!B6/12</f>
        <v>344161.2291564297</v>
      </c>
      <c r="E136">
        <f t="shared" si="12"/>
        <v>284158.46471277246</v>
      </c>
      <c r="F136">
        <f>MAX((B136-E136)*Inputs!B18,0)</f>
        <v>495375.82915994548</v>
      </c>
      <c r="G136">
        <f>MAX((B136-E136-F136)*Inputs!B19,0)</f>
        <v>89423.2347358712</v>
      </c>
      <c r="H136">
        <f>G136*Inputs!B17</f>
        <v>22355.8086839678</v>
      </c>
      <c r="I136">
        <f t="shared" si="13"/>
        <v>868957.5286085892</v>
      </c>
      <c r="J136">
        <f t="shared" si="14"/>
        <v>70955994.643168047</v>
      </c>
      <c r="K136">
        <f>B136*Inputs!B8/12</f>
        <v>29927.063404906934</v>
      </c>
      <c r="L136">
        <f t="shared" si="15"/>
        <v>314234.16575152276</v>
      </c>
      <c r="M136">
        <f t="shared" si="16"/>
        <v>846601.7199246214</v>
      </c>
    </row>
    <row r="137" spans="1:13" x14ac:dyDescent="0.2">
      <c r="A137">
        <v>136</v>
      </c>
      <c r="B137">
        <f t="shared" si="17"/>
        <v>70955994.643168047</v>
      </c>
      <c r="C137">
        <f>IF(A137&lt;=Inputs!B7,IF(B137&gt;0,-PMT(Inputs!B6/12,Inputs!B7-A137+1,B137),0),0)</f>
        <v>623183.59249595541</v>
      </c>
      <c r="D137">
        <f>B137*Inputs!B6/12</f>
        <v>339997.47433184693</v>
      </c>
      <c r="E137">
        <f t="shared" si="12"/>
        <v>283186.11816410848</v>
      </c>
      <c r="F137">
        <f>MAX((B137-E137)*Inputs!B18,0)</f>
        <v>489365.56764366839</v>
      </c>
      <c r="G137">
        <f>MAX((B137-E137-F137)*Inputs!B19,0)</f>
        <v>88338.286713063062</v>
      </c>
      <c r="H137">
        <f>G137*Inputs!B17</f>
        <v>22084.571678265766</v>
      </c>
      <c r="I137">
        <f t="shared" si="13"/>
        <v>860889.97252083989</v>
      </c>
      <c r="J137">
        <f t="shared" si="14"/>
        <v>70095104.670647204</v>
      </c>
      <c r="K137">
        <f>B137*Inputs!B8/12</f>
        <v>29564.997767986686</v>
      </c>
      <c r="L137">
        <f t="shared" si="15"/>
        <v>310432.47656386025</v>
      </c>
      <c r="M137">
        <f t="shared" si="16"/>
        <v>838805.40084257408</v>
      </c>
    </row>
    <row r="138" spans="1:13" x14ac:dyDescent="0.2">
      <c r="A138">
        <v>137</v>
      </c>
      <c r="B138">
        <f t="shared" si="17"/>
        <v>70095104.670647204</v>
      </c>
      <c r="C138">
        <f>IF(A138&lt;=Inputs!B7,IF(B138&gt;0,-PMT(Inputs!B6/12,Inputs!B7-A138+1,B138),0),0)</f>
        <v>618089.47538259032</v>
      </c>
      <c r="D138">
        <f>B138*Inputs!B6/12</f>
        <v>335872.37654685118</v>
      </c>
      <c r="E138">
        <f t="shared" si="12"/>
        <v>282217.09883573913</v>
      </c>
      <c r="F138">
        <f>MAX((B138-E138)*Inputs!B18,0)</f>
        <v>483411.14593367174</v>
      </c>
      <c r="G138">
        <f>MAX((B138-E138-F138)*Inputs!B19,0)</f>
        <v>87263.418665519566</v>
      </c>
      <c r="H138">
        <f>G138*Inputs!B17</f>
        <v>21815.854666379892</v>
      </c>
      <c r="I138">
        <f t="shared" si="13"/>
        <v>852891.66343493049</v>
      </c>
      <c r="J138">
        <f t="shared" si="14"/>
        <v>69242213.007212266</v>
      </c>
      <c r="K138">
        <f>B138*Inputs!B8/12</f>
        <v>29206.29361276967</v>
      </c>
      <c r="L138">
        <f t="shared" si="15"/>
        <v>306666.0829340815</v>
      </c>
      <c r="M138">
        <f t="shared" si="16"/>
        <v>831075.80876855063</v>
      </c>
    </row>
    <row r="139" spans="1:13" x14ac:dyDescent="0.2">
      <c r="A139">
        <v>138</v>
      </c>
      <c r="B139">
        <f t="shared" si="17"/>
        <v>69242213.007212266</v>
      </c>
      <c r="C139">
        <f>IF(A139&lt;=Inputs!B7,IF(B139&gt;0,-PMT(Inputs!B6/12,Inputs!B7-A139+1,B139),0),0)</f>
        <v>613036.99933532078</v>
      </c>
      <c r="D139">
        <f>B139*Inputs!B6/12</f>
        <v>331785.60399289214</v>
      </c>
      <c r="E139">
        <f t="shared" si="12"/>
        <v>281251.39534242864</v>
      </c>
      <c r="F139">
        <f>MAX((B139-E139)*Inputs!B18,0)</f>
        <v>477512.08461605466</v>
      </c>
      <c r="G139">
        <f>MAX((B139-E139-F139)*Inputs!B19,0)</f>
        <v>86198.544051388468</v>
      </c>
      <c r="H139">
        <f>G139*Inputs!B17</f>
        <v>21549.636012847117</v>
      </c>
      <c r="I139">
        <f t="shared" si="13"/>
        <v>844962.02400987176</v>
      </c>
      <c r="J139">
        <f t="shared" si="14"/>
        <v>68397250.983202398</v>
      </c>
      <c r="K139">
        <f>B139*Inputs!B8/12</f>
        <v>28850.922086338443</v>
      </c>
      <c r="L139">
        <f t="shared" si="15"/>
        <v>302934.68190655368</v>
      </c>
      <c r="M139">
        <f t="shared" si="16"/>
        <v>823412.38799702469</v>
      </c>
    </row>
    <row r="140" spans="1:13" x14ac:dyDescent="0.2">
      <c r="A140">
        <v>139</v>
      </c>
      <c r="B140">
        <f t="shared" si="17"/>
        <v>68397250.983202398</v>
      </c>
      <c r="C140">
        <f>IF(A140&lt;=Inputs!B7,IF(B140&gt;0,-PMT(Inputs!B6/12,Inputs!B7-A140+1,B140),0),0)</f>
        <v>608025.82396574423</v>
      </c>
      <c r="D140">
        <f>B140*Inputs!B6/12</f>
        <v>327736.82762784482</v>
      </c>
      <c r="E140">
        <f t="shared" si="12"/>
        <v>280288.99633789941</v>
      </c>
      <c r="F140">
        <f>MAX((B140-E140)*Inputs!B18,0)</f>
        <v>471667.90827437636</v>
      </c>
      <c r="G140">
        <f>MAX((B140-E140-F140)*Inputs!B19,0)</f>
        <v>85143.577050422842</v>
      </c>
      <c r="H140">
        <f>G140*Inputs!B17</f>
        <v>21285.894262605711</v>
      </c>
      <c r="I140">
        <f t="shared" si="13"/>
        <v>837100.48166269856</v>
      </c>
      <c r="J140">
        <f t="shared" si="14"/>
        <v>67560150.501539692</v>
      </c>
      <c r="K140">
        <f>B140*Inputs!B8/12</f>
        <v>28498.854576334332</v>
      </c>
      <c r="L140">
        <f t="shared" si="15"/>
        <v>299237.97305151046</v>
      </c>
      <c r="M140">
        <f t="shared" si="16"/>
        <v>815814.58740009286</v>
      </c>
    </row>
    <row r="141" spans="1:13" x14ac:dyDescent="0.2">
      <c r="A141">
        <v>140</v>
      </c>
      <c r="B141">
        <f t="shared" si="17"/>
        <v>67560150.501539692</v>
      </c>
      <c r="C141">
        <f>IF(A141&lt;=Inputs!B7,IF(B141&gt;0,-PMT(Inputs!B6/12,Inputs!B7-A141+1,B141),0),0)</f>
        <v>603055.61166791024</v>
      </c>
      <c r="D141">
        <f>B141*Inputs!B6/12</f>
        <v>323725.72115321102</v>
      </c>
      <c r="E141">
        <f t="shared" si="12"/>
        <v>279329.89051469922</v>
      </c>
      <c r="F141">
        <f>MAX((B141-E141)*Inputs!B18,0)</f>
        <v>465878.14545671095</v>
      </c>
      <c r="G141">
        <f>MAX((B141-E141-F141)*Inputs!B19,0)</f>
        <v>84098.432558033921</v>
      </c>
      <c r="H141">
        <f>G141*Inputs!B17</f>
        <v>21024.60813950848</v>
      </c>
      <c r="I141">
        <f t="shared" si="13"/>
        <v>829306.46852944407</v>
      </c>
      <c r="J141">
        <f t="shared" si="14"/>
        <v>66730844.033010252</v>
      </c>
      <c r="K141">
        <f>B141*Inputs!B8/12</f>
        <v>28150.062708974874</v>
      </c>
      <c r="L141">
        <f t="shared" si="15"/>
        <v>295575.65844423615</v>
      </c>
      <c r="M141">
        <f t="shared" si="16"/>
        <v>808281.86038993555</v>
      </c>
    </row>
    <row r="142" spans="1:13" x14ac:dyDescent="0.2">
      <c r="A142">
        <v>141</v>
      </c>
      <c r="B142">
        <f t="shared" si="17"/>
        <v>66730844.033010252</v>
      </c>
      <c r="C142">
        <f>IF(A142&lt;=Inputs!B7,IF(B142&gt;0,-PMT(Inputs!B6/12,Inputs!B7-A142+1,B142),0),0)</f>
        <v>598126.02759557578</v>
      </c>
      <c r="D142">
        <f>B142*Inputs!B6/12</f>
        <v>319751.96099150745</v>
      </c>
      <c r="E142">
        <f t="shared" si="12"/>
        <v>278374.06660406833</v>
      </c>
      <c r="F142">
        <f>MAX((B142-E142)*Inputs!B18,0)</f>
        <v>460142.32864297187</v>
      </c>
      <c r="G142">
        <f>MAX((B142-E142-F142)*Inputs!B19,0)</f>
        <v>83063.026179392589</v>
      </c>
      <c r="H142">
        <f>G142*Inputs!B17</f>
        <v>20765.756544848147</v>
      </c>
      <c r="I142">
        <f t="shared" si="13"/>
        <v>821579.42142643279</v>
      </c>
      <c r="J142">
        <f t="shared" si="14"/>
        <v>65909264.611583821</v>
      </c>
      <c r="K142">
        <f>B142*Inputs!B8/12</f>
        <v>27804.518347087607</v>
      </c>
      <c r="L142">
        <f t="shared" si="15"/>
        <v>291947.44264441985</v>
      </c>
      <c r="M142">
        <f t="shared" si="16"/>
        <v>800813.6648815847</v>
      </c>
    </row>
    <row r="143" spans="1:13" x14ac:dyDescent="0.2">
      <c r="A143">
        <v>142</v>
      </c>
      <c r="B143">
        <f t="shared" si="17"/>
        <v>65909264.611583821</v>
      </c>
      <c r="C143">
        <f>IF(A143&lt;=Inputs!B7,IF(B143&gt;0,-PMT(Inputs!B6/12,Inputs!B7-A143+1,B143),0),0)</f>
        <v>593236.73963964591</v>
      </c>
      <c r="D143">
        <f>B143*Inputs!B6/12</f>
        <v>315815.22626383917</v>
      </c>
      <c r="E143">
        <f t="shared" si="12"/>
        <v>277421.51337580674</v>
      </c>
      <c r="F143">
        <f>MAX((B143-E143)*Inputs!B18,0)</f>
        <v>454459.99421250471</v>
      </c>
      <c r="G143">
        <f>MAX((B143-E143-F143)*Inputs!B19,0)</f>
        <v>82037.274223579414</v>
      </c>
      <c r="H143">
        <f>G143*Inputs!B17</f>
        <v>20509.318555894853</v>
      </c>
      <c r="I143">
        <f t="shared" si="13"/>
        <v>813918.78181189089</v>
      </c>
      <c r="J143">
        <f t="shared" si="14"/>
        <v>65095345.829771928</v>
      </c>
      <c r="K143">
        <f>B143*Inputs!B8/12</f>
        <v>27462.193588159924</v>
      </c>
      <c r="L143">
        <f t="shared" si="15"/>
        <v>288353.03267567925</v>
      </c>
      <c r="M143">
        <f t="shared" si="16"/>
        <v>793409.463255996</v>
      </c>
    </row>
    <row r="144" spans="1:13" x14ac:dyDescent="0.2">
      <c r="A144">
        <v>143</v>
      </c>
      <c r="B144">
        <f t="shared" si="17"/>
        <v>65095345.829771928</v>
      </c>
      <c r="C144">
        <f>IF(A144&lt;=Inputs!B7,IF(B144&gt;0,-PMT(Inputs!B6/12,Inputs!B7-A144+1,B144),0),0)</f>
        <v>588387.41840579954</v>
      </c>
      <c r="D144">
        <f>B144*Inputs!B6/12</f>
        <v>311915.19876765716</v>
      </c>
      <c r="E144">
        <f t="shared" si="12"/>
        <v>276472.21963814239</v>
      </c>
      <c r="F144">
        <f>MAX((B144-E144)*Inputs!B18,0)</f>
        <v>448830.68241194607</v>
      </c>
      <c r="G144">
        <f>MAX((B144-E144-F144)*Inputs!B19,0)</f>
        <v>81021.09369778265</v>
      </c>
      <c r="H144">
        <f>G144*Inputs!B17</f>
        <v>20255.273424445662</v>
      </c>
      <c r="I144">
        <f t="shared" si="13"/>
        <v>806323.995747871</v>
      </c>
      <c r="J144">
        <f t="shared" si="14"/>
        <v>64289021.834024057</v>
      </c>
      <c r="K144">
        <f>B144*Inputs!B8/12</f>
        <v>27123.06076240497</v>
      </c>
      <c r="L144">
        <f t="shared" si="15"/>
        <v>284792.13800525217</v>
      </c>
      <c r="M144">
        <f t="shared" si="16"/>
        <v>786068.72232342535</v>
      </c>
    </row>
    <row r="145" spans="1:13" x14ac:dyDescent="0.2">
      <c r="A145">
        <v>144</v>
      </c>
      <c r="B145">
        <f t="shared" si="17"/>
        <v>64289021.834024057</v>
      </c>
      <c r="C145">
        <f>IF(A145&lt;=Inputs!B7,IF(B145&gt;0,-PMT(Inputs!B6/12,Inputs!B7-A145+1,B145),0),0)</f>
        <v>583577.73719229898</v>
      </c>
      <c r="D145">
        <f>B145*Inputs!B6/12</f>
        <v>308051.56295469863</v>
      </c>
      <c r="E145">
        <f t="shared" si="12"/>
        <v>275526.17423760035</v>
      </c>
      <c r="F145">
        <f>MAX((B145-E145)*Inputs!B18,0)</f>
        <v>443253.93732334557</v>
      </c>
      <c r="G145">
        <f>MAX((B145-E145-F145)*Inputs!B19,0)</f>
        <v>80014.402301543727</v>
      </c>
      <c r="H145">
        <f>G145*Inputs!B17</f>
        <v>20003.600575385932</v>
      </c>
      <c r="I145">
        <f t="shared" si="13"/>
        <v>798794.51386248961</v>
      </c>
      <c r="J145">
        <f t="shared" si="14"/>
        <v>63490227.320161566</v>
      </c>
      <c r="K145">
        <f>B145*Inputs!B8/12</f>
        <v>26787.092430843357</v>
      </c>
      <c r="L145">
        <f t="shared" si="15"/>
        <v>281264.4705238553</v>
      </c>
      <c r="M145">
        <f t="shared" si="16"/>
        <v>778790.91328710364</v>
      </c>
    </row>
    <row r="146" spans="1:13" x14ac:dyDescent="0.2">
      <c r="A146">
        <v>145</v>
      </c>
      <c r="B146">
        <f t="shared" si="17"/>
        <v>63490227.320161566</v>
      </c>
      <c r="C146">
        <f>IF(A146&lt;=Inputs!B7,IF(B146&gt;0,-PMT(Inputs!B6/12,Inputs!B7-A146+1,B146),0),0)</f>
        <v>578807.37196797808</v>
      </c>
      <c r="D146">
        <f>B146*Inputs!B6/12</f>
        <v>304224.00590910751</v>
      </c>
      <c r="E146">
        <f t="shared" si="12"/>
        <v>274583.36605887057</v>
      </c>
      <c r="F146">
        <f>MAX((B146-E146)*Inputs!B18,0)</f>
        <v>437729.30683254992</v>
      </c>
      <c r="G146">
        <f>MAX((B146-E146-F146)*Inputs!B19,0)</f>
        <v>79017.118421050109</v>
      </c>
      <c r="H146">
        <f>G146*Inputs!B17</f>
        <v>19754.279605262527</v>
      </c>
      <c r="I146">
        <f t="shared" si="13"/>
        <v>791329.79131247068</v>
      </c>
      <c r="J146">
        <f t="shared" si="14"/>
        <v>62698897.528849095</v>
      </c>
      <c r="K146">
        <f>B146*Inputs!B8/12</f>
        <v>26454.261383400652</v>
      </c>
      <c r="L146">
        <f t="shared" si="15"/>
        <v>277769.74452570686</v>
      </c>
      <c r="M146">
        <f t="shared" si="16"/>
        <v>771575.51170720812</v>
      </c>
    </row>
    <row r="147" spans="1:13" x14ac:dyDescent="0.2">
      <c r="A147">
        <v>146</v>
      </c>
      <c r="B147">
        <f t="shared" si="17"/>
        <v>62698897.528849095</v>
      </c>
      <c r="C147">
        <f>IF(A147&lt;=Inputs!B7,IF(B147&gt;0,-PMT(Inputs!B6/12,Inputs!B7-A147+1,B147),0),0)</f>
        <v>574076.00135041319</v>
      </c>
      <c r="D147">
        <f>B147*Inputs!B6/12</f>
        <v>300432.21732573526</v>
      </c>
      <c r="E147">
        <f t="shared" si="12"/>
        <v>273643.78402467794</v>
      </c>
      <c r="F147">
        <f>MAX((B147-E147)*Inputs!B18,0)</f>
        <v>432256.34259784548</v>
      </c>
      <c r="G147">
        <f>MAX((B147-E147-F147)*Inputs!B19,0)</f>
        <v>78029.161123474769</v>
      </c>
      <c r="H147">
        <f>G147*Inputs!B17</f>
        <v>19507.290280868692</v>
      </c>
      <c r="I147">
        <f t="shared" si="13"/>
        <v>783929.28774599824</v>
      </c>
      <c r="J147">
        <f t="shared" si="14"/>
        <v>61914968.241103098</v>
      </c>
      <c r="K147">
        <f>B147*Inputs!B8/12</f>
        <v>26124.540637020458</v>
      </c>
      <c r="L147">
        <f t="shared" si="15"/>
        <v>274307.67668871477</v>
      </c>
      <c r="M147">
        <f t="shared" si="16"/>
        <v>764421.99746512959</v>
      </c>
    </row>
    <row r="148" spans="1:13" x14ac:dyDescent="0.2">
      <c r="A148">
        <v>147</v>
      </c>
      <c r="B148">
        <f t="shared" si="17"/>
        <v>61914968.241103098</v>
      </c>
      <c r="C148">
        <f>IF(A148&lt;=Inputs!B7,IF(B148&gt;0,-PMT(Inputs!B6/12,Inputs!B7-A148+1,B148),0),0)</f>
        <v>569383.30658427137</v>
      </c>
      <c r="D148">
        <f>B148*Inputs!B6/12</f>
        <v>296675.889488619</v>
      </c>
      <c r="E148">
        <f t="shared" si="12"/>
        <v>272707.41709565237</v>
      </c>
      <c r="F148">
        <f>MAX((B148-E148)*Inputs!B18,0)</f>
        <v>426834.60001885897</v>
      </c>
      <c r="G148">
        <f>MAX((B148-E148-F148)*Inputs!B19,0)</f>
        <v>77050.450151362253</v>
      </c>
      <c r="H148">
        <f>G148*Inputs!B17</f>
        <v>19262.612537840563</v>
      </c>
      <c r="I148">
        <f t="shared" si="13"/>
        <v>776592.46726587357</v>
      </c>
      <c r="J148">
        <f t="shared" si="14"/>
        <v>61138375.773837224</v>
      </c>
      <c r="K148">
        <f>B148*Inputs!B8/12</f>
        <v>25797.903433792959</v>
      </c>
      <c r="L148">
        <f t="shared" si="15"/>
        <v>270877.98605482606</v>
      </c>
      <c r="M148">
        <f t="shared" si="16"/>
        <v>757329.85472803295</v>
      </c>
    </row>
    <row r="149" spans="1:13" x14ac:dyDescent="0.2">
      <c r="A149">
        <v>148</v>
      </c>
      <c r="B149">
        <f t="shared" si="17"/>
        <v>61138375.773837224</v>
      </c>
      <c r="C149">
        <f>IF(A149&lt;=Inputs!B7,IF(B149&gt;0,-PMT(Inputs!B6/12,Inputs!B7-A149+1,B149),0),0)</f>
        <v>564728.97151983518</v>
      </c>
      <c r="D149">
        <f>B149*Inputs!B6/12</f>
        <v>292954.71724963671</v>
      </c>
      <c r="E149">
        <f t="shared" si="12"/>
        <v>271774.25427019846</v>
      </c>
      <c r="F149">
        <f>MAX((B149-E149)*Inputs!B18,0)</f>
        <v>421463.63820571295</v>
      </c>
      <c r="G149">
        <f>MAX((B149-E149-F149)*Inputs!B19,0)</f>
        <v>76080.905917060736</v>
      </c>
      <c r="H149">
        <f>G149*Inputs!B17</f>
        <v>19020.226479265184</v>
      </c>
      <c r="I149">
        <f t="shared" si="13"/>
        <v>769318.79839297221</v>
      </c>
      <c r="J149">
        <f t="shared" si="14"/>
        <v>60369056.97544425</v>
      </c>
      <c r="K149">
        <f>B149*Inputs!B8/12</f>
        <v>25474.323239098841</v>
      </c>
      <c r="L149">
        <f t="shared" si="15"/>
        <v>267480.39401053789</v>
      </c>
      <c r="M149">
        <f t="shared" si="16"/>
        <v>750298.57191370707</v>
      </c>
    </row>
    <row r="150" spans="1:13" x14ac:dyDescent="0.2">
      <c r="A150">
        <v>149</v>
      </c>
      <c r="B150">
        <f t="shared" si="17"/>
        <v>60369056.97544425</v>
      </c>
      <c r="C150">
        <f>IF(A150&lt;=Inputs!B7,IF(B150&gt;0,-PMT(Inputs!B6/12,Inputs!B7-A150+1,B150),0),0)</f>
        <v>560112.68259170384</v>
      </c>
      <c r="D150">
        <f>B150*Inputs!B6/12</f>
        <v>289268.39800733706</v>
      </c>
      <c r="E150">
        <f t="shared" si="12"/>
        <v>270844.28458436677</v>
      </c>
      <c r="F150">
        <f>MAX((B150-E150)*Inputs!B18,0)</f>
        <v>416143.01994843385</v>
      </c>
      <c r="G150">
        <f>MAX((B150-E150-F150)*Inputs!B19,0)</f>
        <v>75120.449497199748</v>
      </c>
      <c r="H150">
        <f>G150*Inputs!B17</f>
        <v>18780.112374299937</v>
      </c>
      <c r="I150">
        <f t="shared" si="13"/>
        <v>762107.7540300003</v>
      </c>
      <c r="J150">
        <f t="shared" si="14"/>
        <v>59606949.221414253</v>
      </c>
      <c r="K150">
        <f>B150*Inputs!B8/12</f>
        <v>25153.77373976844</v>
      </c>
      <c r="L150">
        <f t="shared" si="15"/>
        <v>264114.62426756864</v>
      </c>
      <c r="M150">
        <f t="shared" si="16"/>
        <v>743327.6416557004</v>
      </c>
    </row>
    <row r="151" spans="1:13" x14ac:dyDescent="0.2">
      <c r="A151">
        <v>150</v>
      </c>
      <c r="B151">
        <f t="shared" si="17"/>
        <v>59606949.221414253</v>
      </c>
      <c r="C151">
        <f>IF(A151&lt;=Inputs!B7,IF(B151&gt;0,-PMT(Inputs!B6/12,Inputs!B7-A151+1,B151),0),0)</f>
        <v>555534.12879766803</v>
      </c>
      <c r="D151">
        <f>B151*Inputs!B6/12</f>
        <v>285616.63168594328</v>
      </c>
      <c r="E151">
        <f t="shared" si="12"/>
        <v>269917.49711172475</v>
      </c>
      <c r="F151">
        <f>MAX((B151-E151)*Inputs!B18,0)</f>
        <v>410872.31168661197</v>
      </c>
      <c r="G151">
        <f>MAX((B151-E151-F151)*Inputs!B19,0)</f>
        <v>74169.002627213253</v>
      </c>
      <c r="H151">
        <f>G151*Inputs!B17</f>
        <v>18542.250656803313</v>
      </c>
      <c r="I151">
        <f t="shared" si="13"/>
        <v>754958.81142554991</v>
      </c>
      <c r="J151">
        <f t="shared" si="14"/>
        <v>58851990.409988701</v>
      </c>
      <c r="K151">
        <f>B151*Inputs!B8/12</f>
        <v>24836.22884225594</v>
      </c>
      <c r="L151">
        <f t="shared" si="15"/>
        <v>260780.40284368733</v>
      </c>
      <c r="M151">
        <f t="shared" si="16"/>
        <v>736416.56076874654</v>
      </c>
    </row>
    <row r="152" spans="1:13" x14ac:dyDescent="0.2">
      <c r="A152">
        <v>151</v>
      </c>
      <c r="B152">
        <f t="shared" si="17"/>
        <v>58851990.409988701</v>
      </c>
      <c r="C152">
        <f>IF(A152&lt;=Inputs!B7,IF(B152&gt;0,-PMT(Inputs!B6/12,Inputs!B7-A152+1,B152),0),0)</f>
        <v>550993.00167775771</v>
      </c>
      <c r="D152">
        <f>B152*Inputs!B6/12</f>
        <v>281999.12071452924</v>
      </c>
      <c r="E152">
        <f t="shared" si="12"/>
        <v>268993.88096322847</v>
      </c>
      <c r="F152">
        <f>MAX((B152-E152)*Inputs!B18,0)</f>
        <v>405651.08347930916</v>
      </c>
      <c r="G152">
        <f>MAX((B152-E152-F152)*Inputs!B19,0)</f>
        <v>73226.487695907548</v>
      </c>
      <c r="H152">
        <f>G152*Inputs!B17</f>
        <v>18306.621923976887</v>
      </c>
      <c r="I152">
        <f t="shared" si="13"/>
        <v>747871.45213844522</v>
      </c>
      <c r="J152">
        <f t="shared" si="14"/>
        <v>58104118.957850255</v>
      </c>
      <c r="K152">
        <f>B152*Inputs!B8/12</f>
        <v>24521.662670828624</v>
      </c>
      <c r="L152">
        <f t="shared" si="15"/>
        <v>257477.45804370061</v>
      </c>
      <c r="M152">
        <f t="shared" si="16"/>
        <v>729564.8302144683</v>
      </c>
    </row>
    <row r="153" spans="1:13" x14ac:dyDescent="0.2">
      <c r="A153">
        <v>152</v>
      </c>
      <c r="B153">
        <f t="shared" si="17"/>
        <v>58104118.957850255</v>
      </c>
      <c r="C153">
        <f>IF(A153&lt;=Inputs!B7,IF(B153&gt;0,-PMT(Inputs!B6/12,Inputs!B7-A153+1,B153),0),0)</f>
        <v>546488.99529346067</v>
      </c>
      <c r="D153">
        <f>B153*Inputs!B6/12</f>
        <v>278415.57000636583</v>
      </c>
      <c r="E153">
        <f t="shared" si="12"/>
        <v>268073.42528709484</v>
      </c>
      <c r="F153">
        <f>MAX((B153-E153)*Inputs!B18,0)</f>
        <v>400478.90897521458</v>
      </c>
      <c r="G153">
        <f>MAX((B153-E153-F153)*Inputs!B19,0)</f>
        <v>72292.827740073888</v>
      </c>
      <c r="H153">
        <f>G153*Inputs!B17</f>
        <v>18073.206935018472</v>
      </c>
      <c r="I153">
        <f t="shared" si="13"/>
        <v>740845.16200238327</v>
      </c>
      <c r="J153">
        <f t="shared" si="14"/>
        <v>57363273.79584787</v>
      </c>
      <c r="K153">
        <f>B153*Inputs!B8/12</f>
        <v>24210.04956577094</v>
      </c>
      <c r="L153">
        <f t="shared" si="15"/>
        <v>254205.52044059488</v>
      </c>
      <c r="M153">
        <f t="shared" si="16"/>
        <v>722771.95506736485</v>
      </c>
    </row>
    <row r="154" spans="1:13" x14ac:dyDescent="0.2">
      <c r="A154">
        <v>153</v>
      </c>
      <c r="B154">
        <f t="shared" si="17"/>
        <v>57363273.79584787</v>
      </c>
      <c r="C154">
        <f>IF(A154&lt;=Inputs!B7,IF(B154&gt;0,-PMT(Inputs!B6/12,Inputs!B7-A154+1,B154),0),0)</f>
        <v>542021.80620711111</v>
      </c>
      <c r="D154">
        <f>B154*Inputs!B6/12</f>
        <v>274865.68693843769</v>
      </c>
      <c r="E154">
        <f t="shared" si="12"/>
        <v>267156.11926867341</v>
      </c>
      <c r="F154">
        <f>MAX((B154-E154)*Inputs!B18,0)</f>
        <v>395355.36538304441</v>
      </c>
      <c r="G154">
        <f>MAX((B154-E154-F154)*Inputs!B19,0)</f>
        <v>71367.946439145147</v>
      </c>
      <c r="H154">
        <f>G154*Inputs!B17</f>
        <v>17841.986609786287</v>
      </c>
      <c r="I154">
        <f t="shared" si="13"/>
        <v>733879.43109086296</v>
      </c>
      <c r="J154">
        <f t="shared" si="14"/>
        <v>56629394.364757009</v>
      </c>
      <c r="K154">
        <f>B154*Inputs!B8/12</f>
        <v>23901.364081603282</v>
      </c>
      <c r="L154">
        <f t="shared" si="15"/>
        <v>250964.32285683442</v>
      </c>
      <c r="M154">
        <f t="shared" si="16"/>
        <v>716037.44448107667</v>
      </c>
    </row>
    <row r="155" spans="1:13" x14ac:dyDescent="0.2">
      <c r="A155">
        <v>154</v>
      </c>
      <c r="B155">
        <f t="shared" si="17"/>
        <v>56629394.364757009</v>
      </c>
      <c r="C155">
        <f>IF(A155&lt;=Inputs!B7,IF(B155&gt;0,-PMT(Inputs!B6/12,Inputs!B7-A155+1,B155),0),0)</f>
        <v>537591.13346144732</v>
      </c>
      <c r="D155">
        <f>B155*Inputs!B6/12</f>
        <v>271349.18133112736</v>
      </c>
      <c r="E155">
        <f t="shared" si="12"/>
        <v>266241.95213031996</v>
      </c>
      <c r="F155">
        <f>MAX((B155-E155)*Inputs!B18,0)</f>
        <v>390280.03344218474</v>
      </c>
      <c r="G155">
        <f>MAX((B155-E155-F155)*Inputs!B19,0)</f>
        <v>70451.768109896424</v>
      </c>
      <c r="H155">
        <f>G155*Inputs!B17</f>
        <v>17612.942027474106</v>
      </c>
      <c r="I155">
        <f t="shared" si="13"/>
        <v>726973.75368240115</v>
      </c>
      <c r="J155">
        <f t="shared" si="14"/>
        <v>55902420.611074604</v>
      </c>
      <c r="K155">
        <f>B155*Inputs!B8/12</f>
        <v>23595.580985315421</v>
      </c>
      <c r="L155">
        <f t="shared" si="15"/>
        <v>247753.60034581192</v>
      </c>
      <c r="M155">
        <f t="shared" si="16"/>
        <v>709360.81165492709</v>
      </c>
    </row>
    <row r="156" spans="1:13" x14ac:dyDescent="0.2">
      <c r="A156">
        <v>155</v>
      </c>
      <c r="B156">
        <f t="shared" si="17"/>
        <v>55902420.611074604</v>
      </c>
      <c r="C156">
        <f>IF(A156&lt;=Inputs!B7,IF(B156&gt;0,-PMT(Inputs!B6/12,Inputs!B7-A156+1,B156),0),0)</f>
        <v>533196.678559336</v>
      </c>
      <c r="D156">
        <f>B156*Inputs!B6/12</f>
        <v>267865.76542806585</v>
      </c>
      <c r="E156">
        <f t="shared" si="12"/>
        <v>265330.91313127015</v>
      </c>
      <c r="F156">
        <f>MAX((B156-E156)*Inputs!B18,0)</f>
        <v>385252.49739357544</v>
      </c>
      <c r="G156">
        <f>MAX((B156-E156-F156)*Inputs!B19,0)</f>
        <v>69544.217701189089</v>
      </c>
      <c r="H156">
        <f>G156*Inputs!B17</f>
        <v>17386.054425297272</v>
      </c>
      <c r="I156">
        <f t="shared" si="13"/>
        <v>720127.62822603469</v>
      </c>
      <c r="J156">
        <f t="shared" si="14"/>
        <v>55182292.98284857</v>
      </c>
      <c r="K156">
        <f>B156*Inputs!B8/12</f>
        <v>23292.675254614416</v>
      </c>
      <c r="L156">
        <f t="shared" si="15"/>
        <v>244573.09017345143</v>
      </c>
      <c r="M156">
        <f t="shared" si="16"/>
        <v>702741.57380073739</v>
      </c>
    </row>
    <row r="157" spans="1:13" x14ac:dyDescent="0.2">
      <c r="A157">
        <v>156</v>
      </c>
      <c r="B157">
        <f t="shared" si="17"/>
        <v>55182292.98284857</v>
      </c>
      <c r="C157">
        <f>IF(A157&lt;=Inputs!B7,IF(B157&gt;0,-PMT(Inputs!B6/12,Inputs!B7-A157+1,B157),0),0)</f>
        <v>528838.1454436616</v>
      </c>
      <c r="D157">
        <f>B157*Inputs!B6/12</f>
        <v>264415.15387614939</v>
      </c>
      <c r="E157">
        <f t="shared" si="12"/>
        <v>264422.99156751222</v>
      </c>
      <c r="F157">
        <f>MAX((B157-E157)*Inputs!B18,0)</f>
        <v>380272.34495083248</v>
      </c>
      <c r="G157">
        <f>MAX((B157-E157-F157)*Inputs!B19,0)</f>
        <v>68645.220788757913</v>
      </c>
      <c r="H157">
        <f>G157*Inputs!B17</f>
        <v>17161.305197189478</v>
      </c>
      <c r="I157">
        <f t="shared" si="13"/>
        <v>713340.5573071026</v>
      </c>
      <c r="J157">
        <f t="shared" si="14"/>
        <v>54468952.425541468</v>
      </c>
      <c r="K157">
        <f>B157*Inputs!B8/12</f>
        <v>22992.622076186904</v>
      </c>
      <c r="L157">
        <f t="shared" si="15"/>
        <v>241422.53179996248</v>
      </c>
      <c r="M157">
        <f t="shared" si="16"/>
        <v>696179.25210991316</v>
      </c>
    </row>
    <row r="158" spans="1:13" x14ac:dyDescent="0.2">
      <c r="A158">
        <v>157</v>
      </c>
      <c r="B158">
        <f t="shared" si="17"/>
        <v>54468952.425541468</v>
      </c>
      <c r="C158">
        <f>IF(A158&lt;=Inputs!B7,IF(B158&gt;0,-PMT(Inputs!B6/12,Inputs!B7-A158+1,B158),0),0)</f>
        <v>524515.24047738209</v>
      </c>
      <c r="D158">
        <f>B158*Inputs!B6/12</f>
        <v>260997.06370571954</v>
      </c>
      <c r="E158">
        <f t="shared" si="12"/>
        <v>263518.17677166255</v>
      </c>
      <c r="F158">
        <f>MAX((B158-E158)*Inputs!B18,0)</f>
        <v>375339.16727160802</v>
      </c>
      <c r="G158">
        <f>MAX((B158-E158-F158)*Inputs!B19,0)</f>
        <v>67754.703570041107</v>
      </c>
      <c r="H158">
        <f>G158*Inputs!B17</f>
        <v>16938.675892510277</v>
      </c>
      <c r="I158">
        <f t="shared" si="13"/>
        <v>706612.04761331168</v>
      </c>
      <c r="J158">
        <f t="shared" si="14"/>
        <v>53762340.377928153</v>
      </c>
      <c r="K158">
        <f>B158*Inputs!B8/12</f>
        <v>22695.396843975614</v>
      </c>
      <c r="L158">
        <f t="shared" si="15"/>
        <v>238301.66686174393</v>
      </c>
      <c r="M158">
        <f t="shared" si="16"/>
        <v>689673.37172080134</v>
      </c>
    </row>
    <row r="159" spans="1:13" x14ac:dyDescent="0.2">
      <c r="A159">
        <v>158</v>
      </c>
      <c r="B159">
        <f t="shared" si="17"/>
        <v>53762340.377928153</v>
      </c>
      <c r="C159">
        <f>IF(A159&lt;=Inputs!B7,IF(B159&gt;0,-PMT(Inputs!B6/12,Inputs!B7-A159+1,B159),0),0)</f>
        <v>520227.67242374475</v>
      </c>
      <c r="D159">
        <f>B159*Inputs!B6/12</f>
        <v>257611.21431090575</v>
      </c>
      <c r="E159">
        <f t="shared" si="12"/>
        <v>262616.45811283903</v>
      </c>
      <c r="F159">
        <f>MAX((B159-E159)*Inputs!B18,0)</f>
        <v>370452.5589291841</v>
      </c>
      <c r="G159">
        <f>MAX((B159-E159-F159)*Inputs!B19,0)</f>
        <v>66872.592859052515</v>
      </c>
      <c r="H159">
        <f>G159*Inputs!B17</f>
        <v>16718.148214763129</v>
      </c>
      <c r="I159">
        <f t="shared" si="13"/>
        <v>699941.6099010756</v>
      </c>
      <c r="J159">
        <f t="shared" si="14"/>
        <v>53062398.768027075</v>
      </c>
      <c r="K159">
        <f>B159*Inputs!B8/12</f>
        <v>22400.975157470064</v>
      </c>
      <c r="L159">
        <f t="shared" si="15"/>
        <v>235210.23915343569</v>
      </c>
      <c r="M159">
        <f t="shared" si="16"/>
        <v>683223.46168631245</v>
      </c>
    </row>
    <row r="160" spans="1:13" x14ac:dyDescent="0.2">
      <c r="A160">
        <v>159</v>
      </c>
      <c r="B160">
        <f t="shared" si="17"/>
        <v>53062398.768027075</v>
      </c>
      <c r="C160">
        <f>IF(A160&lt;=Inputs!B7,IF(B160&gt;0,-PMT(Inputs!B6/12,Inputs!B7-A160+1,B160),0),0)</f>
        <v>515975.15242666693</v>
      </c>
      <c r="D160">
        <f>B160*Inputs!B6/12</f>
        <v>254257.32743012975</v>
      </c>
      <c r="E160">
        <f t="shared" si="12"/>
        <v>261717.82499653718</v>
      </c>
      <c r="F160">
        <f>MAX((B160-E160)*Inputs!B18,0)</f>
        <v>365612.11788430082</v>
      </c>
      <c r="G160">
        <f>MAX((B160-E160-F160)*Inputs!B19,0)</f>
        <v>65998.816081296201</v>
      </c>
      <c r="H160">
        <f>G160*Inputs!B17</f>
        <v>16499.70402032405</v>
      </c>
      <c r="I160">
        <f t="shared" si="13"/>
        <v>693328.75896213413</v>
      </c>
      <c r="J160">
        <f t="shared" si="14"/>
        <v>52369070.009064943</v>
      </c>
      <c r="K160">
        <f>B160*Inputs!B8/12</f>
        <v>22109.332820011285</v>
      </c>
      <c r="L160">
        <f t="shared" si="15"/>
        <v>232147.99461011848</v>
      </c>
      <c r="M160">
        <f t="shared" si="16"/>
        <v>676829.05494181009</v>
      </c>
    </row>
    <row r="161" spans="1:13" x14ac:dyDescent="0.2">
      <c r="A161">
        <v>160</v>
      </c>
      <c r="B161">
        <f t="shared" si="17"/>
        <v>52369070.009064943</v>
      </c>
      <c r="C161">
        <f>IF(A161&lt;=Inputs!B7,IF(B161&gt;0,-PMT(Inputs!B6/12,Inputs!B7-A161+1,B161),0),0)</f>
        <v>511757.39399127482</v>
      </c>
      <c r="D161">
        <f>B161*Inputs!B6/12</f>
        <v>250935.12712676951</v>
      </c>
      <c r="E161">
        <f t="shared" si="12"/>
        <v>260822.26686450531</v>
      </c>
      <c r="F161">
        <f>MAX((B161-E161)*Inputs!B18,0)</f>
        <v>360817.44545721513</v>
      </c>
      <c r="G161">
        <f>MAX((B161-E161-F161)*Inputs!B19,0)</f>
        <v>65133.301268722527</v>
      </c>
      <c r="H161">
        <f>G161*Inputs!B17</f>
        <v>16283.325317180632</v>
      </c>
      <c r="I161">
        <f t="shared" si="13"/>
        <v>686773.01359044295</v>
      </c>
      <c r="J161">
        <f t="shared" si="14"/>
        <v>51682296.995474502</v>
      </c>
      <c r="K161">
        <f>B161*Inputs!B8/12</f>
        <v>21820.445837110394</v>
      </c>
      <c r="L161">
        <f t="shared" si="15"/>
        <v>229114.68128965911</v>
      </c>
      <c r="M161">
        <f t="shared" si="16"/>
        <v>670489.68827326235</v>
      </c>
    </row>
    <row r="162" spans="1:13" x14ac:dyDescent="0.2">
      <c r="A162">
        <v>161</v>
      </c>
      <c r="B162">
        <f t="shared" si="17"/>
        <v>51682296.995474502</v>
      </c>
      <c r="C162">
        <f>IF(A162&lt;=Inputs!B7,IF(B162&gt;0,-PMT(Inputs!B6/12,Inputs!B7-A162+1,B162),0),0)</f>
        <v>507574.11296460225</v>
      </c>
      <c r="D162">
        <f>B162*Inputs!B6/12</f>
        <v>247644.33976998201</v>
      </c>
      <c r="E162">
        <f t="shared" si="12"/>
        <v>259929.77319462024</v>
      </c>
      <c r="F162">
        <f>MAX((B162-E162)*Inputs!B18,0)</f>
        <v>356068.14629998826</v>
      </c>
      <c r="G162">
        <f>MAX((B162-E162-F162)*Inputs!B19,0)</f>
        <v>64275.977054725714</v>
      </c>
      <c r="H162">
        <f>G162*Inputs!B17</f>
        <v>16068.994263681428</v>
      </c>
      <c r="I162">
        <f t="shared" si="13"/>
        <v>680273.89654933428</v>
      </c>
      <c r="J162">
        <f t="shared" si="14"/>
        <v>51002023.098925166</v>
      </c>
      <c r="K162">
        <f>B162*Inputs!B8/12</f>
        <v>21534.290414781044</v>
      </c>
      <c r="L162">
        <f t="shared" si="15"/>
        <v>226110.04935520096</v>
      </c>
      <c r="M162">
        <f t="shared" si="16"/>
        <v>664204.90228565282</v>
      </c>
    </row>
    <row r="163" spans="1:13" x14ac:dyDescent="0.2">
      <c r="A163">
        <v>162</v>
      </c>
      <c r="B163">
        <f t="shared" si="17"/>
        <v>51002023.098925166</v>
      </c>
      <c r="C163">
        <f>IF(A163&lt;=Inputs!B7,IF(B163&gt;0,-PMT(Inputs!B6/12,Inputs!B7-A163+1,B163),0),0)</f>
        <v>503425.02751644707</v>
      </c>
      <c r="D163">
        <f>B163*Inputs!B6/12</f>
        <v>244384.69401568311</v>
      </c>
      <c r="E163">
        <f t="shared" si="12"/>
        <v>259040.33350076395</v>
      </c>
      <c r="F163">
        <f>MAX((B163-E163)*Inputs!B18,0)</f>
        <v>351363.82836900157</v>
      </c>
      <c r="G163">
        <f>MAX((B163-E163-F163)*Inputs!B19,0)</f>
        <v>63426.77266918237</v>
      </c>
      <c r="H163">
        <f>G163*Inputs!B17</f>
        <v>15856.693167295593</v>
      </c>
      <c r="I163">
        <f t="shared" si="13"/>
        <v>673830.93453894788</v>
      </c>
      <c r="J163">
        <f t="shared" si="14"/>
        <v>50328192.16438622</v>
      </c>
      <c r="K163">
        <f>B163*Inputs!B8/12</f>
        <v>21250.842957885488</v>
      </c>
      <c r="L163">
        <f t="shared" si="15"/>
        <v>223133.85105779761</v>
      </c>
      <c r="M163">
        <f t="shared" si="16"/>
        <v>657974.24137165234</v>
      </c>
    </row>
    <row r="164" spans="1:13" x14ac:dyDescent="0.2">
      <c r="A164">
        <v>163</v>
      </c>
      <c r="B164">
        <f t="shared" si="17"/>
        <v>50328192.16438622</v>
      </c>
      <c r="C164">
        <f>IF(A164&lt;=Inputs!B7,IF(B164&gt;0,-PMT(Inputs!B6/12,Inputs!B7-A164+1,B164),0),0)</f>
        <v>499309.85812038434</v>
      </c>
      <c r="D164">
        <f>B164*Inputs!B6/12</f>
        <v>241155.92078768401</v>
      </c>
      <c r="E164">
        <f t="shared" si="12"/>
        <v>258153.93733270033</v>
      </c>
      <c r="F164">
        <f>MAX((B164-E164)*Inputs!B18,0)</f>
        <v>346704.10289769724</v>
      </c>
      <c r="G164">
        <f>MAX((B164-E164-F164)*Inputs!B19,0)</f>
        <v>62585.617933530906</v>
      </c>
      <c r="H164">
        <f>G164*Inputs!B17</f>
        <v>15646.404483382727</v>
      </c>
      <c r="I164">
        <f t="shared" si="13"/>
        <v>667443.65816392854</v>
      </c>
      <c r="J164">
        <f t="shared" si="14"/>
        <v>49660748.506222293</v>
      </c>
      <c r="K164">
        <f>B164*Inputs!B8/12</f>
        <v>20970.080068494259</v>
      </c>
      <c r="L164">
        <f t="shared" si="15"/>
        <v>220185.84071918976</v>
      </c>
      <c r="M164">
        <f t="shared" si="16"/>
        <v>651797.25368054584</v>
      </c>
    </row>
    <row r="165" spans="1:13" x14ac:dyDescent="0.2">
      <c r="A165">
        <v>164</v>
      </c>
      <c r="B165">
        <f t="shared" si="17"/>
        <v>49660748.506222293</v>
      </c>
      <c r="C165">
        <f>IF(A165&lt;=Inputs!B7,IF(B165&gt;0,-PMT(Inputs!B6/12,Inputs!B7-A165+1,B165),0),0)</f>
        <v>495228.32753493445</v>
      </c>
      <c r="D165">
        <f>B165*Inputs!B6/12</f>
        <v>237957.75325898183</v>
      </c>
      <c r="E165">
        <f t="shared" si="12"/>
        <v>257270.57427595262</v>
      </c>
      <c r="F165">
        <f>MAX((B165-E165)*Inputs!B18,0)</f>
        <v>342088.58436954295</v>
      </c>
      <c r="G165">
        <f>MAX((B165-E165-F165)*Inputs!B19,0)</f>
        <v>61752.443255891063</v>
      </c>
      <c r="H165">
        <f>G165*Inputs!B17</f>
        <v>15438.110813972766</v>
      </c>
      <c r="I165">
        <f t="shared" si="13"/>
        <v>661111.60190138663</v>
      </c>
      <c r="J165">
        <f t="shared" si="14"/>
        <v>48999636.904320903</v>
      </c>
      <c r="K165">
        <f>B165*Inputs!B8/12</f>
        <v>20691.978544259287</v>
      </c>
      <c r="L165">
        <f t="shared" si="15"/>
        <v>217265.77471472253</v>
      </c>
      <c r="M165">
        <f t="shared" si="16"/>
        <v>645673.49108741386</v>
      </c>
    </row>
    <row r="166" spans="1:13" x14ac:dyDescent="0.2">
      <c r="A166">
        <v>165</v>
      </c>
      <c r="B166">
        <f t="shared" si="17"/>
        <v>48999636.904320903</v>
      </c>
      <c r="C166">
        <f>IF(A166&lt;=Inputs!B7,IF(B166&gt;0,-PMT(Inputs!B6/12,Inputs!B7-A166+1,B166),0),0)</f>
        <v>491180.1607848843</v>
      </c>
      <c r="D166">
        <f>B166*Inputs!B6/12</f>
        <v>234789.92683320434</v>
      </c>
      <c r="E166">
        <f t="shared" si="12"/>
        <v>256390.23395167995</v>
      </c>
      <c r="F166">
        <f>MAX((B166-E166)*Inputs!B18,0)</f>
        <v>337516.89049121813</v>
      </c>
      <c r="G166">
        <f>MAX((B166-E166-F166)*Inputs!B19,0)</f>
        <v>60927.179626223769</v>
      </c>
      <c r="H166">
        <f>G166*Inputs!B17</f>
        <v>15231.794906555942</v>
      </c>
      <c r="I166">
        <f t="shared" si="13"/>
        <v>654834.30406912183</v>
      </c>
      <c r="J166">
        <f t="shared" si="14"/>
        <v>48344802.600251779</v>
      </c>
      <c r="K166">
        <f>B166*Inputs!B8/12</f>
        <v>20416.515376800377</v>
      </c>
      <c r="L166">
        <f t="shared" si="15"/>
        <v>214373.41145640396</v>
      </c>
      <c r="M166">
        <f t="shared" si="16"/>
        <v>639602.50916256593</v>
      </c>
    </row>
    <row r="167" spans="1:13" x14ac:dyDescent="0.2">
      <c r="A167">
        <v>166</v>
      </c>
      <c r="B167">
        <f t="shared" si="17"/>
        <v>48344802.600251779</v>
      </c>
      <c r="C167">
        <f>IF(A167&lt;=Inputs!B7,IF(B167&gt;0,-PMT(Inputs!B6/12,Inputs!B7-A167+1,B167),0),0)</f>
        <v>487165.08514276386</v>
      </c>
      <c r="D167">
        <f>B167*Inputs!B6/12</f>
        <v>231652.17912620644</v>
      </c>
      <c r="E167">
        <f t="shared" si="12"/>
        <v>255512.90601655742</v>
      </c>
      <c r="F167">
        <f>MAX((B167-E167)*Inputs!B18,0)</f>
        <v>332988.64216602064</v>
      </c>
      <c r="G167">
        <f>MAX((B167-E167-F167)*Inputs!B19,0)</f>
        <v>60109.75861153048</v>
      </c>
      <c r="H167">
        <f>G167*Inputs!B17</f>
        <v>15027.43965288262</v>
      </c>
      <c r="I167">
        <f t="shared" si="13"/>
        <v>648611.30679410859</v>
      </c>
      <c r="J167">
        <f t="shared" si="14"/>
        <v>47696191.293457672</v>
      </c>
      <c r="K167">
        <f>B167*Inputs!B8/12</f>
        <v>20143.667750104909</v>
      </c>
      <c r="L167">
        <f t="shared" si="15"/>
        <v>211508.51137610152</v>
      </c>
      <c r="M167">
        <f t="shared" si="16"/>
        <v>633583.86714122596</v>
      </c>
    </row>
    <row r="168" spans="1:13" x14ac:dyDescent="0.2">
      <c r="A168">
        <v>167</v>
      </c>
      <c r="B168">
        <f t="shared" si="17"/>
        <v>47696191.293457672</v>
      </c>
      <c r="C168">
        <f>IF(A168&lt;=Inputs!B7,IF(B168&gt;0,-PMT(Inputs!B6/12,Inputs!B7-A168+1,B168),0),0)</f>
        <v>483182.83011047047</v>
      </c>
      <c r="D168">
        <f>B168*Inputs!B6/12</f>
        <v>228544.24994781803</v>
      </c>
      <c r="E168">
        <f t="shared" si="12"/>
        <v>254638.58016265245</v>
      </c>
      <c r="F168">
        <f>MAX((B168-E168)*Inputs!B18,0)</f>
        <v>328503.46346749121</v>
      </c>
      <c r="G168">
        <f>MAX((B168-E168-F168)*Inputs!B19,0)</f>
        <v>59300.112351092059</v>
      </c>
      <c r="H168">
        <f>G168*Inputs!B17</f>
        <v>14825.028087773015</v>
      </c>
      <c r="I168">
        <f t="shared" si="13"/>
        <v>642442.15598123567</v>
      </c>
      <c r="J168">
        <f t="shared" si="14"/>
        <v>47053749.137476437</v>
      </c>
      <c r="K168">
        <f>B168*Inputs!B8/12</f>
        <v>19873.413038940696</v>
      </c>
      <c r="L168">
        <f t="shared" si="15"/>
        <v>208670.83690887733</v>
      </c>
      <c r="M168">
        <f t="shared" si="16"/>
        <v>627617.12789346266</v>
      </c>
    </row>
    <row r="169" spans="1:13" x14ac:dyDescent="0.2">
      <c r="A169">
        <v>168</v>
      </c>
      <c r="B169">
        <f t="shared" si="17"/>
        <v>47053749.137476437</v>
      </c>
      <c r="C169">
        <f>IF(A169&lt;=Inputs!B7,IF(B169&gt;0,-PMT(Inputs!B6/12,Inputs!B7-A169+1,B169),0),0)</f>
        <v>479233.12740104645</v>
      </c>
      <c r="D169">
        <f>B169*Inputs!B6/12</f>
        <v>225465.88128374124</v>
      </c>
      <c r="E169">
        <f t="shared" si="12"/>
        <v>253767.24611730521</v>
      </c>
      <c r="F169">
        <f>MAX((B169-E169)*Inputs!B18,0)</f>
        <v>324060.98161325452</v>
      </c>
      <c r="G169">
        <f>MAX((B169-E169-F169)*Inputs!B19,0)</f>
        <v>58498.173551746673</v>
      </c>
      <c r="H169">
        <f>G169*Inputs!B17</f>
        <v>14624.543387936668</v>
      </c>
      <c r="I169">
        <f t="shared" si="13"/>
        <v>636326.40128230641</v>
      </c>
      <c r="J169">
        <f t="shared" si="14"/>
        <v>46417422.736194134</v>
      </c>
      <c r="K169">
        <f>B169*Inputs!B8/12</f>
        <v>19605.728807281848</v>
      </c>
      <c r="L169">
        <f t="shared" si="15"/>
        <v>205860.15247645939</v>
      </c>
      <c r="M169">
        <f t="shared" si="16"/>
        <v>621701.85789436975</v>
      </c>
    </row>
    <row r="170" spans="1:13" x14ac:dyDescent="0.2">
      <c r="A170">
        <v>169</v>
      </c>
      <c r="B170">
        <f t="shared" si="17"/>
        <v>46417422.736194134</v>
      </c>
      <c r="C170">
        <f>IF(A170&lt;=Inputs!B7,IF(B170&gt;0,-PMT(Inputs!B6/12,Inputs!B7-A170+1,B170),0),0)</f>
        <v>475315.710920604</v>
      </c>
      <c r="D170">
        <f>B170*Inputs!B6/12</f>
        <v>222416.81727759691</v>
      </c>
      <c r="E170">
        <f t="shared" si="12"/>
        <v>252898.89364300709</v>
      </c>
      <c r="F170">
        <f>MAX((B170-E170)*Inputs!B18,0)</f>
        <v>319660.82693907537</v>
      </c>
      <c r="G170">
        <f>MAX((B170-E170-F170)*Inputs!B19,0)</f>
        <v>57703.875483206437</v>
      </c>
      <c r="H170">
        <f>G170*Inputs!B17</f>
        <v>14425.968870801609</v>
      </c>
      <c r="I170">
        <f t="shared" si="13"/>
        <v>630263.59606528888</v>
      </c>
      <c r="J170">
        <f t="shared" si="14"/>
        <v>45787159.140128843</v>
      </c>
      <c r="K170">
        <f>B170*Inputs!B8/12</f>
        <v>19340.592806747558</v>
      </c>
      <c r="L170">
        <f t="shared" si="15"/>
        <v>203076.22447084935</v>
      </c>
      <c r="M170">
        <f t="shared" si="16"/>
        <v>615837.62719448726</v>
      </c>
    </row>
    <row r="171" spans="1:13" x14ac:dyDescent="0.2">
      <c r="A171">
        <v>170</v>
      </c>
      <c r="B171">
        <f t="shared" si="17"/>
        <v>45787159.140128843</v>
      </c>
      <c r="C171">
        <f>IF(A171&lt;=Inputs!B7,IF(B171&gt;0,-PMT(Inputs!B6/12,Inputs!B7-A171+1,B171),0),0)</f>
        <v>471430.31675039785</v>
      </c>
      <c r="D171">
        <f>B171*Inputs!B6/12</f>
        <v>219396.80421311737</v>
      </c>
      <c r="E171">
        <f t="shared" si="12"/>
        <v>252033.51253728048</v>
      </c>
      <c r="F171">
        <f>MAX((B171-E171)*Inputs!B18,0)</f>
        <v>315302.63287312671</v>
      </c>
      <c r="G171">
        <f>MAX((B171-E171-F171)*Inputs!B19,0)</f>
        <v>56917.151973412474</v>
      </c>
      <c r="H171">
        <f>G171*Inputs!B17</f>
        <v>14229.287993353119</v>
      </c>
      <c r="I171">
        <f t="shared" si="13"/>
        <v>624253.29738381971</v>
      </c>
      <c r="J171">
        <f t="shared" si="14"/>
        <v>45162905.842745021</v>
      </c>
      <c r="K171">
        <f>B171*Inputs!B8/12</f>
        <v>19077.982975053685</v>
      </c>
      <c r="L171">
        <f t="shared" si="15"/>
        <v>200318.82123806368</v>
      </c>
      <c r="M171">
        <f t="shared" si="16"/>
        <v>610024.00939046661</v>
      </c>
    </row>
    <row r="172" spans="1:13" x14ac:dyDescent="0.2">
      <c r="A172">
        <v>171</v>
      </c>
      <c r="B172">
        <f t="shared" si="17"/>
        <v>45162905.842745021</v>
      </c>
      <c r="C172">
        <f>IF(A172&lt;=Inputs!B7,IF(B172&gt;0,-PMT(Inputs!B6/12,Inputs!B7-A172+1,B172),0),0)</f>
        <v>467576.683129046</v>
      </c>
      <c r="D172">
        <f>B172*Inputs!B6/12</f>
        <v>216405.59049648655</v>
      </c>
      <c r="E172">
        <f t="shared" si="12"/>
        <v>251171.09263255945</v>
      </c>
      <c r="F172">
        <f>MAX((B172-E172)*Inputs!B18,0)</f>
        <v>310986.03591047006</v>
      </c>
      <c r="G172">
        <f>MAX((B172-E172-F172)*Inputs!B19,0)</f>
        <v>56137.937403928168</v>
      </c>
      <c r="H172">
        <f>G172*Inputs!B17</f>
        <v>14034.484350982042</v>
      </c>
      <c r="I172">
        <f t="shared" si="13"/>
        <v>618295.06594695768</v>
      </c>
      <c r="J172">
        <f t="shared" si="14"/>
        <v>44544610.776798062</v>
      </c>
      <c r="K172">
        <f>B172*Inputs!B8/12</f>
        <v>18817.877434477094</v>
      </c>
      <c r="L172">
        <f t="shared" si="15"/>
        <v>197587.71306200945</v>
      </c>
      <c r="M172">
        <f t="shared" si="16"/>
        <v>604260.58159597567</v>
      </c>
    </row>
    <row r="173" spans="1:13" x14ac:dyDescent="0.2">
      <c r="A173">
        <v>172</v>
      </c>
      <c r="B173">
        <f t="shared" si="17"/>
        <v>44544610.776798062</v>
      </c>
      <c r="C173">
        <f>IF(A173&lt;=Inputs!B7,IF(B173&gt;0,-PMT(Inputs!B6/12,Inputs!B7-A173+1,B173),0),0)</f>
        <v>463754.55043489352</v>
      </c>
      <c r="D173">
        <f>B173*Inputs!B6/12</f>
        <v>213442.92663882405</v>
      </c>
      <c r="E173">
        <f t="shared" si="12"/>
        <v>250311.62379606947</v>
      </c>
      <c r="F173">
        <f>MAX((B173-E173)*Inputs!B18,0)</f>
        <v>306710.67558774468</v>
      </c>
      <c r="G173">
        <f>MAX((B173-E173-F173)*Inputs!B19,0)</f>
        <v>55366.166705370211</v>
      </c>
      <c r="H173">
        <f>G173*Inputs!B17</f>
        <v>13841.541676342553</v>
      </c>
      <c r="I173">
        <f t="shared" si="13"/>
        <v>612388.4660891844</v>
      </c>
      <c r="J173">
        <f t="shared" si="14"/>
        <v>43932222.31070888</v>
      </c>
      <c r="K173">
        <f>B173*Inputs!B8/12</f>
        <v>18560.254490332525</v>
      </c>
      <c r="L173">
        <f t="shared" si="15"/>
        <v>194882.67214849152</v>
      </c>
      <c r="M173">
        <f t="shared" si="16"/>
        <v>598546.92441284179</v>
      </c>
    </row>
    <row r="174" spans="1:13" x14ac:dyDescent="0.2">
      <c r="A174">
        <v>173</v>
      </c>
      <c r="B174">
        <f t="shared" si="17"/>
        <v>43932222.31070888</v>
      </c>
      <c r="C174">
        <f>IF(A174&lt;=Inputs!B7,IF(B174&gt;0,-PMT(Inputs!B6/12,Inputs!B7-A174+1,B174),0),0)</f>
        <v>459963.6611685229</v>
      </c>
      <c r="D174">
        <f>B174*Inputs!B6/12</f>
        <v>210508.5652388134</v>
      </c>
      <c r="E174">
        <f t="shared" si="12"/>
        <v>249455.0959297095</v>
      </c>
      <c r="F174">
        <f>MAX((B174-E174)*Inputs!B18,0)</f>
        <v>302476.19445806427</v>
      </c>
      <c r="G174">
        <f>MAX((B174-E174-F174)*Inputs!B19,0)</f>
        <v>54601.775352876968</v>
      </c>
      <c r="H174">
        <f>G174*Inputs!B17</f>
        <v>13650.443838219242</v>
      </c>
      <c r="I174">
        <f t="shared" si="13"/>
        <v>606533.06574065075</v>
      </c>
      <c r="J174">
        <f t="shared" si="14"/>
        <v>43325689.244968228</v>
      </c>
      <c r="K174">
        <f>B174*Inputs!B8/12</f>
        <v>18305.092629462033</v>
      </c>
      <c r="L174">
        <f t="shared" si="15"/>
        <v>192203.47260935136</v>
      </c>
      <c r="M174">
        <f t="shared" si="16"/>
        <v>592882.62190243148</v>
      </c>
    </row>
    <row r="175" spans="1:13" x14ac:dyDescent="0.2">
      <c r="A175">
        <v>174</v>
      </c>
      <c r="B175">
        <f t="shared" si="17"/>
        <v>43325689.244968228</v>
      </c>
      <c r="C175">
        <f>IF(A175&lt;=Inputs!B7,IF(B175&gt;0,-PMT(Inputs!B6/12,Inputs!B7-A175+1,B175),0),0)</f>
        <v>456203.75993540458</v>
      </c>
      <c r="D175">
        <f>B175*Inputs!B6/12</f>
        <v>207602.26096547279</v>
      </c>
      <c r="E175">
        <f t="shared" si="12"/>
        <v>248601.4989699318</v>
      </c>
      <c r="F175">
        <f>MAX((B175-E175)*Inputs!B18,0)</f>
        <v>298282.23806612036</v>
      </c>
      <c r="G175">
        <f>MAX((B175-E175-F175)*Inputs!B19,0)</f>
        <v>53844.699361614352</v>
      </c>
      <c r="H175">
        <f>G175*Inputs!B17</f>
        <v>13461.174840403588</v>
      </c>
      <c r="I175">
        <f t="shared" si="13"/>
        <v>600728.43639766646</v>
      </c>
      <c r="J175">
        <f t="shared" si="14"/>
        <v>42724960.808570564</v>
      </c>
      <c r="K175">
        <f>B175*Inputs!B8/12</f>
        <v>18052.370518736763</v>
      </c>
      <c r="L175">
        <f t="shared" si="15"/>
        <v>189549.89044673601</v>
      </c>
      <c r="M175">
        <f t="shared" si="16"/>
        <v>587267.26155726286</v>
      </c>
    </row>
    <row r="176" spans="1:13" x14ac:dyDescent="0.2">
      <c r="A176">
        <v>175</v>
      </c>
      <c r="B176">
        <f t="shared" si="17"/>
        <v>42724960.808570564</v>
      </c>
      <c r="C176">
        <f>IF(A176&lt;=Inputs!B7,IF(B176&gt;0,-PMT(Inputs!B6/12,Inputs!B7-A176+1,B176),0),0)</f>
        <v>452474.59342869266</v>
      </c>
      <c r="D176">
        <f>B176*Inputs!B6/12</f>
        <v>204723.77054106732</v>
      </c>
      <c r="E176">
        <f t="shared" si="12"/>
        <v>247750.82288762534</v>
      </c>
      <c r="F176">
        <f>MAX((B176-E176)*Inputs!B18,0)</f>
        <v>294128.4549234896</v>
      </c>
      <c r="G176">
        <f>MAX((B176-E176-F176)*Inputs!B19,0)</f>
        <v>53094.875282318295</v>
      </c>
      <c r="H176">
        <f>G176*Inputs!B17</f>
        <v>13273.718820579574</v>
      </c>
      <c r="I176">
        <f t="shared" si="13"/>
        <v>594974.15309343324</v>
      </c>
      <c r="J176">
        <f t="shared" si="14"/>
        <v>42129986.655477129</v>
      </c>
      <c r="K176">
        <f>B176*Inputs!B8/12</f>
        <v>17802.067003571068</v>
      </c>
      <c r="L176">
        <f t="shared" si="15"/>
        <v>186921.70353749624</v>
      </c>
      <c r="M176">
        <f t="shared" si="16"/>
        <v>581700.43427285366</v>
      </c>
    </row>
    <row r="177" spans="1:13" x14ac:dyDescent="0.2">
      <c r="A177">
        <v>176</v>
      </c>
      <c r="B177">
        <f t="shared" si="17"/>
        <v>42129986.655477129</v>
      </c>
      <c r="C177">
        <f>IF(A177&lt;=Inputs!B7,IF(B177&gt;0,-PMT(Inputs!B6/12,Inputs!B7-A177+1,B177),0),0)</f>
        <v>448775.91041215771</v>
      </c>
      <c r="D177">
        <f>B177*Inputs!B6/12</f>
        <v>201872.85272416126</v>
      </c>
      <c r="E177">
        <f t="shared" si="12"/>
        <v>246903.05768799645</v>
      </c>
      <c r="F177">
        <f>MAX((B177-E177)*Inputs!B18,0)</f>
        <v>290014.49648414343</v>
      </c>
      <c r="G177">
        <f>MAX((B177-E177-F177)*Inputs!B19,0)</f>
        <v>52352.240196873921</v>
      </c>
      <c r="H177">
        <f>G177*Inputs!B17</f>
        <v>13088.06004921848</v>
      </c>
      <c r="I177">
        <f t="shared" si="13"/>
        <v>589269.79436901375</v>
      </c>
      <c r="J177">
        <f t="shared" si="14"/>
        <v>41540716.861108117</v>
      </c>
      <c r="K177">
        <f>B177*Inputs!B8/12</f>
        <v>17554.161106448806</v>
      </c>
      <c r="L177">
        <f t="shared" si="15"/>
        <v>184318.69161771247</v>
      </c>
      <c r="M177">
        <f t="shared" si="16"/>
        <v>576181.73431979527</v>
      </c>
    </row>
    <row r="178" spans="1:13" x14ac:dyDescent="0.2">
      <c r="A178">
        <v>177</v>
      </c>
      <c r="B178">
        <f t="shared" si="17"/>
        <v>41540716.861108117</v>
      </c>
      <c r="C178">
        <f>IF(A178&lt;=Inputs!B7,IF(B178&gt;0,-PMT(Inputs!B6/12,Inputs!B7-A178+1,B178),0),0)</f>
        <v>445107.46170326241</v>
      </c>
      <c r="D178">
        <f>B178*Inputs!B6/12</f>
        <v>199049.26829280972</v>
      </c>
      <c r="E178">
        <f t="shared" si="12"/>
        <v>246058.19341045269</v>
      </c>
      <c r="F178">
        <f>MAX((B178-E178)*Inputs!B18,0)</f>
        <v>285940.0171201597</v>
      </c>
      <c r="G178">
        <f>MAX((B178-E178-F178)*Inputs!B19,0)</f>
        <v>51616.731713931098</v>
      </c>
      <c r="H178">
        <f>G178*Inputs!B17</f>
        <v>12904.182928482775</v>
      </c>
      <c r="I178">
        <f t="shared" si="13"/>
        <v>583614.94224454346</v>
      </c>
      <c r="J178">
        <f t="shared" si="14"/>
        <v>40957101.918863572</v>
      </c>
      <c r="K178">
        <f>B178*Inputs!B8/12</f>
        <v>17308.632025461717</v>
      </c>
      <c r="L178">
        <f t="shared" si="15"/>
        <v>181740.63626734802</v>
      </c>
      <c r="M178">
        <f t="shared" si="16"/>
        <v>570710.75931606069</v>
      </c>
    </row>
    <row r="179" spans="1:13" x14ac:dyDescent="0.2">
      <c r="A179">
        <v>178</v>
      </c>
      <c r="B179">
        <f t="shared" si="17"/>
        <v>40957101.918863572</v>
      </c>
      <c r="C179">
        <f>IF(A179&lt;=Inputs!B7,IF(B179&gt;0,-PMT(Inputs!B6/12,Inputs!B7-A179+1,B179),0),0)</f>
        <v>441469.00015637296</v>
      </c>
      <c r="D179">
        <f>B179*Inputs!B6/12</f>
        <v>196252.78002788793</v>
      </c>
      <c r="E179">
        <f t="shared" si="12"/>
        <v>245216.22012848503</v>
      </c>
      <c r="F179">
        <f>MAX((B179-E179)*Inputs!B18,0)</f>
        <v>281904.67409763281</v>
      </c>
      <c r="G179">
        <f>MAX((B179-E179-F179)*Inputs!B19,0)</f>
        <v>50888.287964555762</v>
      </c>
      <c r="H179">
        <f>G179*Inputs!B17</f>
        <v>12722.071991138941</v>
      </c>
      <c r="I179">
        <f t="shared" si="13"/>
        <v>578009.18219067366</v>
      </c>
      <c r="J179">
        <f t="shared" si="14"/>
        <v>40379092.736672901</v>
      </c>
      <c r="K179">
        <f>B179*Inputs!B8/12</f>
        <v>17065.459132859822</v>
      </c>
      <c r="L179">
        <f t="shared" si="15"/>
        <v>179187.3208950281</v>
      </c>
      <c r="M179">
        <f t="shared" si="16"/>
        <v>565287.11019953468</v>
      </c>
    </row>
    <row r="180" spans="1:13" x14ac:dyDescent="0.2">
      <c r="A180">
        <v>179</v>
      </c>
      <c r="B180">
        <f t="shared" si="17"/>
        <v>40379092.736672901</v>
      </c>
      <c r="C180">
        <f>IF(A180&lt;=Inputs!B7,IF(B180&gt;0,-PMT(Inputs!B6/12,Inputs!B7-A180+1,B180),0),0)</f>
        <v>437860.28064610873</v>
      </c>
      <c r="D180">
        <f>B180*Inputs!B6/12</f>
        <v>193483.15269655766</v>
      </c>
      <c r="E180">
        <f t="shared" si="12"/>
        <v>244377.12794955107</v>
      </c>
      <c r="F180">
        <f>MAX((B180-E180)*Inputs!B18,0)</f>
        <v>277908.12755278149</v>
      </c>
      <c r="G180">
        <f>MAX((B180-E180-F180)*Inputs!B19,0)</f>
        <v>50166.84759791712</v>
      </c>
      <c r="H180">
        <f>G180*Inputs!B17</f>
        <v>12541.71189947928</v>
      </c>
      <c r="I180">
        <f t="shared" si="13"/>
        <v>572452.10310024966</v>
      </c>
      <c r="J180">
        <f t="shared" si="14"/>
        <v>39806640.633572653</v>
      </c>
      <c r="K180">
        <f>B180*Inputs!B8/12</f>
        <v>16824.62197361371</v>
      </c>
      <c r="L180">
        <f t="shared" si="15"/>
        <v>176658.53072294395</v>
      </c>
      <c r="M180">
        <f t="shared" si="16"/>
        <v>559910.39120077039</v>
      </c>
    </row>
    <row r="181" spans="1:13" x14ac:dyDescent="0.2">
      <c r="A181">
        <v>180</v>
      </c>
      <c r="B181">
        <f t="shared" si="17"/>
        <v>39806640.633572653</v>
      </c>
      <c r="C181">
        <f>IF(A181&lt;=Inputs!B7,IF(B181&gt;0,-PMT(Inputs!B6/12,Inputs!B7-A181+1,B181),0),0)</f>
        <v>434281.06005082856</v>
      </c>
      <c r="D181">
        <f>B181*Inputs!B6/12</f>
        <v>190740.15303586898</v>
      </c>
      <c r="E181">
        <f t="shared" si="12"/>
        <v>243540.90701495958</v>
      </c>
      <c r="F181">
        <f>MAX((B181-E181)*Inputs!B18,0)</f>
        <v>273950.0404682536</v>
      </c>
      <c r="G181">
        <f>MAX((B181-E181-F181)*Inputs!B19,0)</f>
        <v>49452.349777010168</v>
      </c>
      <c r="H181">
        <f>G181*Inputs!B17</f>
        <v>12363.087444252542</v>
      </c>
      <c r="I181">
        <f t="shared" si="13"/>
        <v>566943.29726022331</v>
      </c>
      <c r="J181">
        <f t="shared" si="14"/>
        <v>39239697.336312428</v>
      </c>
      <c r="K181">
        <f>B181*Inputs!B8/12</f>
        <v>16586.100263988606</v>
      </c>
      <c r="L181">
        <f t="shared" si="15"/>
        <v>174154.05277188038</v>
      </c>
      <c r="M181">
        <f t="shared" si="16"/>
        <v>554580.20981597074</v>
      </c>
    </row>
    <row r="182" spans="1:13" x14ac:dyDescent="0.2">
      <c r="A182">
        <v>181</v>
      </c>
      <c r="B182">
        <f t="shared" si="17"/>
        <v>39239697.336312428</v>
      </c>
      <c r="C182">
        <f>IF(A182&lt;=Inputs!B7,IF(B182&gt;0,-PMT(Inputs!B6/12,Inputs!B7-A182+1,B182),0),0)</f>
        <v>430731.09723625163</v>
      </c>
      <c r="D182">
        <f>B182*Inputs!B6/12</f>
        <v>188023.54973649708</v>
      </c>
      <c r="E182">
        <f t="shared" si="12"/>
        <v>242707.54749975455</v>
      </c>
      <c r="F182">
        <f>MAX((B182-E182)*Inputs!B18,0)</f>
        <v>270030.07864962431</v>
      </c>
      <c r="G182">
        <f>MAX((B182-E182-F182)*Inputs!B19,0)</f>
        <v>48744.734174413294</v>
      </c>
      <c r="H182">
        <f>G182*Inputs!B17</f>
        <v>12186.183543603323</v>
      </c>
      <c r="I182">
        <f t="shared" si="13"/>
        <v>561482.36032379209</v>
      </c>
      <c r="J182">
        <f t="shared" si="14"/>
        <v>38678214.975988634</v>
      </c>
      <c r="K182">
        <f>B182*Inputs!B8/12</f>
        <v>16349.873890130179</v>
      </c>
      <c r="L182">
        <f t="shared" si="15"/>
        <v>171673.67584636691</v>
      </c>
      <c r="M182">
        <f t="shared" si="16"/>
        <v>549296.17678018881</v>
      </c>
    </row>
    <row r="183" spans="1:13" x14ac:dyDescent="0.2">
      <c r="A183">
        <v>182</v>
      </c>
      <c r="B183">
        <f t="shared" si="17"/>
        <v>38678214.975988634</v>
      </c>
      <c r="C183">
        <f>IF(A183&lt;=Inputs!B7,IF(B183&gt;0,-PMT(Inputs!B6/12,Inputs!B7-A183+1,B183),0),0)</f>
        <v>427210.15303921083</v>
      </c>
      <c r="D183">
        <f>B183*Inputs!B6/12</f>
        <v>185333.11342661222</v>
      </c>
      <c r="E183">
        <f t="shared" si="12"/>
        <v>241877.0396125986</v>
      </c>
      <c r="F183">
        <f>MAX((B183-E183)*Inputs!B18,0)</f>
        <v>266147.91070208815</v>
      </c>
      <c r="G183">
        <f>MAX((B183-E183-F183)*Inputs!B19,0)</f>
        <v>48043.940968080831</v>
      </c>
      <c r="H183">
        <f>G183*Inputs!B17</f>
        <v>12010.985242020208</v>
      </c>
      <c r="I183">
        <f t="shared" si="13"/>
        <v>556068.89128276752</v>
      </c>
      <c r="J183">
        <f t="shared" si="14"/>
        <v>38122146.084705867</v>
      </c>
      <c r="K183">
        <f>B183*Inputs!B8/12</f>
        <v>16115.92290666193</v>
      </c>
      <c r="L183">
        <f t="shared" si="15"/>
        <v>169217.19051995029</v>
      </c>
      <c r="M183">
        <f t="shared" si="16"/>
        <v>544057.9060407473</v>
      </c>
    </row>
    <row r="184" spans="1:13" x14ac:dyDescent="0.2">
      <c r="A184">
        <v>183</v>
      </c>
      <c r="B184">
        <f t="shared" si="17"/>
        <v>38122146.084705867</v>
      </c>
      <c r="C184">
        <f>IF(A184&lt;=Inputs!B7,IF(B184&gt;0,-PMT(Inputs!B6/12,Inputs!B7-A184+1,B184),0),0)</f>
        <v>423717.99025154178</v>
      </c>
      <c r="D184">
        <f>B184*Inputs!B6/12</f>
        <v>182668.6166558823</v>
      </c>
      <c r="E184">
        <f t="shared" si="12"/>
        <v>241049.37359565948</v>
      </c>
      <c r="F184">
        <f>MAX((B184-E184)*Inputs!B18,0)</f>
        <v>262303.20800734177</v>
      </c>
      <c r="G184">
        <f>MAX((B184-E184-F184)*Inputs!B19,0)</f>
        <v>47349.910837169991</v>
      </c>
      <c r="H184">
        <f>G184*Inputs!B17</f>
        <v>11837.477709292498</v>
      </c>
      <c r="I184">
        <f t="shared" si="13"/>
        <v>550702.49244017119</v>
      </c>
      <c r="J184">
        <f t="shared" si="14"/>
        <v>37571443.592265695</v>
      </c>
      <c r="K184">
        <f>B184*Inputs!B8/12</f>
        <v>15884.227535294112</v>
      </c>
      <c r="L184">
        <f t="shared" si="15"/>
        <v>166784.3891205882</v>
      </c>
      <c r="M184">
        <f t="shared" si="16"/>
        <v>538865.01473087864</v>
      </c>
    </row>
    <row r="185" spans="1:13" x14ac:dyDescent="0.2">
      <c r="A185">
        <v>184</v>
      </c>
      <c r="B185">
        <f t="shared" si="17"/>
        <v>37571443.592265695</v>
      </c>
      <c r="C185">
        <f>IF(A185&lt;=Inputs!B7,IF(B185&gt;0,-PMT(Inputs!B6/12,Inputs!B7-A185+1,B185),0),0)</f>
        <v>420254.3736041009</v>
      </c>
      <c r="D185">
        <f>B185*Inputs!B6/12</f>
        <v>180029.83387960645</v>
      </c>
      <c r="E185">
        <f t="shared" si="12"/>
        <v>240224.53972449445</v>
      </c>
      <c r="F185">
        <f>MAX((B185-E185)*Inputs!B18,0)</f>
        <v>258495.64470065662</v>
      </c>
      <c r="G185">
        <f>MAX((B185-E185-F185)*Inputs!B19,0)</f>
        <v>46662.584957902152</v>
      </c>
      <c r="H185">
        <f>G185*Inputs!B17</f>
        <v>11665.646239475538</v>
      </c>
      <c r="I185">
        <f t="shared" si="13"/>
        <v>545382.7693830533</v>
      </c>
      <c r="J185">
        <f t="shared" si="14"/>
        <v>37026060.822882645</v>
      </c>
      <c r="K185">
        <f>B185*Inputs!B8/12</f>
        <v>15654.76816344404</v>
      </c>
      <c r="L185">
        <f t="shared" si="15"/>
        <v>164375.06571616241</v>
      </c>
      <c r="M185">
        <f t="shared" si="16"/>
        <v>533717.12314357772</v>
      </c>
    </row>
    <row r="186" spans="1:13" x14ac:dyDescent="0.2">
      <c r="A186">
        <v>185</v>
      </c>
      <c r="B186">
        <f t="shared" si="17"/>
        <v>37026060.822882645</v>
      </c>
      <c r="C186">
        <f>IF(A186&lt;=Inputs!B7,IF(B186&gt;0,-PMT(Inputs!B6/12,Inputs!B7-A186+1,B186),0),0)</f>
        <v>416819.06975091569</v>
      </c>
      <c r="D186">
        <f>B186*Inputs!B6/12</f>
        <v>177416.54144297936</v>
      </c>
      <c r="E186">
        <f t="shared" si="12"/>
        <v>239402.52830793633</v>
      </c>
      <c r="F186">
        <f>MAX((B186-E186)*Inputs!B18,0)</f>
        <v>254724.89764813986</v>
      </c>
      <c r="G186">
        <f>MAX((B186-E186-F186)*Inputs!B19,0)</f>
        <v>45981.904999458049</v>
      </c>
      <c r="H186">
        <f>G186*Inputs!B17</f>
        <v>11495.476249864512</v>
      </c>
      <c r="I186">
        <f t="shared" si="13"/>
        <v>540109.33095553424</v>
      </c>
      <c r="J186">
        <f t="shared" si="14"/>
        <v>36485951.49192711</v>
      </c>
      <c r="K186">
        <f>B186*Inputs!B8/12</f>
        <v>15427.525342867768</v>
      </c>
      <c r="L186">
        <f t="shared" si="15"/>
        <v>161989.01610011159</v>
      </c>
      <c r="M186">
        <f t="shared" si="16"/>
        <v>528613.85470566968</v>
      </c>
    </row>
    <row r="187" spans="1:13" x14ac:dyDescent="0.2">
      <c r="A187">
        <v>186</v>
      </c>
      <c r="B187">
        <f t="shared" si="17"/>
        <v>36485951.49192711</v>
      </c>
      <c r="C187">
        <f>IF(A187&lt;=Inputs!B7,IF(B187&gt;0,-PMT(Inputs!B6/12,Inputs!B7-A187+1,B187),0),0)</f>
        <v>413411.8472534641</v>
      </c>
      <c r="D187">
        <f>B187*Inputs!B6/12</f>
        <v>174828.51756548407</v>
      </c>
      <c r="E187">
        <f t="shared" si="12"/>
        <v>238583.32968798003</v>
      </c>
      <c r="F187">
        <f>MAX((B187-E187)*Inputs!B18,0)</f>
        <v>250990.64642418205</v>
      </c>
      <c r="G187">
        <f>MAX((B187-E187-F187)*Inputs!B19,0)</f>
        <v>45307.813119906794</v>
      </c>
      <c r="H187">
        <f>G187*Inputs!B17</f>
        <v>11326.953279976698</v>
      </c>
      <c r="I187">
        <f t="shared" si="13"/>
        <v>534881.78923206893</v>
      </c>
      <c r="J187">
        <f t="shared" si="14"/>
        <v>35951069.702695042</v>
      </c>
      <c r="K187">
        <f>B187*Inputs!B8/12</f>
        <v>15202.479788302962</v>
      </c>
      <c r="L187">
        <f t="shared" si="15"/>
        <v>159626.0377771811</v>
      </c>
      <c r="M187">
        <f t="shared" si="16"/>
        <v>523554.83595209225</v>
      </c>
    </row>
    <row r="188" spans="1:13" x14ac:dyDescent="0.2">
      <c r="A188">
        <v>187</v>
      </c>
      <c r="B188">
        <f t="shared" si="17"/>
        <v>35951069.702695042</v>
      </c>
      <c r="C188">
        <f>IF(A188&lt;=Inputs!B7,IF(B188&gt;0,-PMT(Inputs!B6/12,Inputs!B7-A188+1,B188),0),0)</f>
        <v>410032.47656508157</v>
      </c>
      <c r="D188">
        <f>B188*Inputs!B6/12</f>
        <v>172265.54232541376</v>
      </c>
      <c r="E188">
        <f t="shared" si="12"/>
        <v>237766.93423966781</v>
      </c>
      <c r="F188">
        <f>MAX((B188-E188)*Inputs!B18,0)</f>
        <v>247292.57328908992</v>
      </c>
      <c r="G188">
        <f>MAX((B188-E188-F188)*Inputs!B19,0)</f>
        <v>44640.251962168135</v>
      </c>
      <c r="H188">
        <f>G188*Inputs!B17</f>
        <v>11160.062990542034</v>
      </c>
      <c r="I188">
        <f t="shared" si="13"/>
        <v>529699.75949092582</v>
      </c>
      <c r="J188">
        <f t="shared" si="14"/>
        <v>35421369.94320412</v>
      </c>
      <c r="K188">
        <f>B188*Inputs!B8/12</f>
        <v>14979.612376122934</v>
      </c>
      <c r="L188">
        <f t="shared" si="15"/>
        <v>157285.92994929082</v>
      </c>
      <c r="M188">
        <f t="shared" si="16"/>
        <v>518539.69650038378</v>
      </c>
    </row>
    <row r="189" spans="1:13" x14ac:dyDescent="0.2">
      <c r="A189">
        <v>188</v>
      </c>
      <c r="B189">
        <f t="shared" si="17"/>
        <v>35421369.94320412</v>
      </c>
      <c r="C189">
        <f>IF(A189&lt;=Inputs!B7,IF(B189&gt;0,-PMT(Inputs!B6/12,Inputs!B7-A189+1,B189),0),0)</f>
        <v>406680.73001549771</v>
      </c>
      <c r="D189">
        <f>B189*Inputs!B6/12</f>
        <v>169727.39764451975</v>
      </c>
      <c r="E189">
        <f t="shared" si="12"/>
        <v>236953.33237097797</v>
      </c>
      <c r="F189">
        <f>MAX((B189-E189)*Inputs!B18,0)</f>
        <v>243630.36316690251</v>
      </c>
      <c r="G189">
        <f>MAX((B189-E189-F189)*Inputs!B19,0)</f>
        <v>43979.164650007988</v>
      </c>
      <c r="H189">
        <f>G189*Inputs!B17</f>
        <v>10994.791162501997</v>
      </c>
      <c r="I189">
        <f t="shared" si="13"/>
        <v>524562.86018788849</v>
      </c>
      <c r="J189">
        <f t="shared" si="14"/>
        <v>34896807.083016232</v>
      </c>
      <c r="K189">
        <f>B189*Inputs!B8/12</f>
        <v>14758.904143001717</v>
      </c>
      <c r="L189">
        <f t="shared" si="15"/>
        <v>154968.49350151804</v>
      </c>
      <c r="M189">
        <f t="shared" si="16"/>
        <v>513568.06902538647</v>
      </c>
    </row>
    <row r="190" spans="1:13" x14ac:dyDescent="0.2">
      <c r="A190">
        <v>189</v>
      </c>
      <c r="B190">
        <f t="shared" si="17"/>
        <v>34896807.083016232</v>
      </c>
      <c r="C190">
        <f>IF(A190&lt;=Inputs!B7,IF(B190&gt;0,-PMT(Inputs!B6/12,Inputs!B7-A190+1,B190),0),0)</f>
        <v>403356.3817954968</v>
      </c>
      <c r="D190">
        <f>B190*Inputs!B6/12</f>
        <v>167213.86727278613</v>
      </c>
      <c r="E190">
        <f t="shared" si="12"/>
        <v>236142.51452271067</v>
      </c>
      <c r="F190">
        <f>MAX((B190-E190)*Inputs!B18,0)</f>
        <v>240003.70362338974</v>
      </c>
      <c r="G190">
        <f>MAX((B190-E190-F190)*Inputs!B19,0)</f>
        <v>43324.494784066832</v>
      </c>
      <c r="H190">
        <f>G190*Inputs!B17</f>
        <v>10831.123696016708</v>
      </c>
      <c r="I190">
        <f t="shared" si="13"/>
        <v>519470.71293016721</v>
      </c>
      <c r="J190">
        <f t="shared" si="14"/>
        <v>34377336.370086066</v>
      </c>
      <c r="K190">
        <f>B190*Inputs!B8/12</f>
        <v>14540.336284590097</v>
      </c>
      <c r="L190">
        <f t="shared" si="15"/>
        <v>152673.53098819603</v>
      </c>
      <c r="M190">
        <f t="shared" si="16"/>
        <v>508639.58923415048</v>
      </c>
    </row>
    <row r="191" spans="1:13" x14ac:dyDescent="0.2">
      <c r="A191">
        <v>190</v>
      </c>
      <c r="B191">
        <f t="shared" si="17"/>
        <v>34377336.370086066</v>
      </c>
      <c r="C191">
        <f>IF(A191&lt;=Inputs!B7,IF(B191&gt;0,-PMT(Inputs!B6/12,Inputs!B7-A191+1,B191),0),0)</f>
        <v>400059.20794170554</v>
      </c>
      <c r="D191">
        <f>B191*Inputs!B6/12</f>
        <v>164724.73677332906</v>
      </c>
      <c r="E191">
        <f t="shared" si="12"/>
        <v>235334.47116837648</v>
      </c>
      <c r="F191">
        <f>MAX((B191-E191)*Inputs!B18,0)</f>
        <v>236412.28484423144</v>
      </c>
      <c r="G191">
        <f>MAX((B191-E191-F191)*Inputs!B19,0)</f>
        <v>42676.186437920624</v>
      </c>
      <c r="H191">
        <f>G191*Inputs!B17</f>
        <v>10669.046609480156</v>
      </c>
      <c r="I191">
        <f t="shared" si="13"/>
        <v>514422.94245052856</v>
      </c>
      <c r="J191">
        <f t="shared" si="14"/>
        <v>33862913.427635536</v>
      </c>
      <c r="K191">
        <f>B191*Inputs!B8/12</f>
        <v>14323.890154202527</v>
      </c>
      <c r="L191">
        <f t="shared" si="15"/>
        <v>150400.84661912653</v>
      </c>
      <c r="M191">
        <f t="shared" si="16"/>
        <v>503753.89584104839</v>
      </c>
    </row>
    <row r="192" spans="1:13" x14ac:dyDescent="0.2">
      <c r="A192">
        <v>191</v>
      </c>
      <c r="B192">
        <f t="shared" si="17"/>
        <v>33862913.427635536</v>
      </c>
      <c r="C192">
        <f>IF(A192&lt;=Inputs!B7,IF(B192&gt;0,-PMT(Inputs!B6/12,Inputs!B7-A192+1,B192),0),0)</f>
        <v>396788.98632150405</v>
      </c>
      <c r="D192">
        <f>B192*Inputs!B6/12</f>
        <v>162259.79350742028</v>
      </c>
      <c r="E192">
        <f t="shared" si="12"/>
        <v>234529.19281408377</v>
      </c>
      <c r="F192">
        <f>MAX((B192-E192)*Inputs!B18,0)</f>
        <v>232855.79961337574</v>
      </c>
      <c r="G192">
        <f>MAX((B192-E192-F192)*Inputs!B19,0)</f>
        <v>42034.184154174196</v>
      </c>
      <c r="H192">
        <f>G192*Inputs!B17</f>
        <v>10508.546038543549</v>
      </c>
      <c r="I192">
        <f t="shared" si="13"/>
        <v>509419.17658163368</v>
      </c>
      <c r="J192">
        <f t="shared" si="14"/>
        <v>33353494.251053903</v>
      </c>
      <c r="K192">
        <f>B192*Inputs!B8/12</f>
        <v>14109.547261514808</v>
      </c>
      <c r="L192">
        <f t="shared" si="15"/>
        <v>148150.24624590547</v>
      </c>
      <c r="M192">
        <f t="shared" si="16"/>
        <v>498910.63054309011</v>
      </c>
    </row>
    <row r="193" spans="1:13" x14ac:dyDescent="0.2">
      <c r="A193">
        <v>192</v>
      </c>
      <c r="B193">
        <f t="shared" si="17"/>
        <v>33353494.251053903</v>
      </c>
      <c r="C193">
        <f>IF(A193&lt;=Inputs!B7,IF(B193&gt;0,-PMT(Inputs!B6/12,Inputs!B7-A193+1,B193),0),0)</f>
        <v>393545.49661806133</v>
      </c>
      <c r="D193">
        <f>B193*Inputs!B6/12</f>
        <v>159818.8266196333</v>
      </c>
      <c r="E193">
        <f t="shared" si="12"/>
        <v>233726.66999842803</v>
      </c>
      <c r="F193">
        <f>MAX((B193-E193)*Inputs!B18,0)</f>
        <v>229333.9432915748</v>
      </c>
      <c r="G193">
        <f>MAX((B193-E193-F193)*Inputs!B19,0)</f>
        <v>41398.432940586557</v>
      </c>
      <c r="H193">
        <f>G193*Inputs!B17</f>
        <v>10349.608235146639</v>
      </c>
      <c r="I193">
        <f t="shared" si="13"/>
        <v>504459.04623058939</v>
      </c>
      <c r="J193">
        <f t="shared" si="14"/>
        <v>32849035.204823315</v>
      </c>
      <c r="K193">
        <f>B193*Inputs!B8/12</f>
        <v>13897.289271272459</v>
      </c>
      <c r="L193">
        <f t="shared" si="15"/>
        <v>145921.53734836084</v>
      </c>
      <c r="M193">
        <f t="shared" si="16"/>
        <v>494109.43799544277</v>
      </c>
    </row>
    <row r="194" spans="1:13" x14ac:dyDescent="0.2">
      <c r="A194">
        <v>193</v>
      </c>
      <c r="B194">
        <f t="shared" si="17"/>
        <v>32849035.204823315</v>
      </c>
      <c r="C194">
        <f>IF(A194&lt;=Inputs!B7,IF(B194&gt;0,-PMT(Inputs!B6/12,Inputs!B7-A194+1,B194),0),0)</f>
        <v>390328.52031549154</v>
      </c>
      <c r="D194">
        <f>B194*Inputs!B6/12</f>
        <v>157401.62702311171</v>
      </c>
      <c r="E194">
        <f t="shared" ref="E194:E257" si="18">MAX(C194-D194,0)</f>
        <v>232926.89329237983</v>
      </c>
      <c r="F194">
        <f>MAX((B194-E194)*Inputs!B18,0)</f>
        <v>225846.41379509712</v>
      </c>
      <c r="G194">
        <f>MAX((B194-E194-F194)*Inputs!B19,0)</f>
        <v>40768.878266228188</v>
      </c>
      <c r="H194">
        <f>G194*Inputs!B17</f>
        <v>10192.219566557047</v>
      </c>
      <c r="I194">
        <f t="shared" ref="I194:I257" si="19">MIN(B194,E194+F194+G194)</f>
        <v>499542.18535370514</v>
      </c>
      <c r="J194">
        <f t="shared" ref="J194:J257" si="20">MAX(B194-I194,0)</f>
        <v>32349493.019469611</v>
      </c>
      <c r="K194">
        <f>B194*Inputs!B8/12</f>
        <v>13687.098002009714</v>
      </c>
      <c r="L194">
        <f t="shared" ref="L194:L257" si="21">MAX(D194-K194,0)</f>
        <v>143714.529021102</v>
      </c>
      <c r="M194">
        <f t="shared" ref="M194:M257" si="22">MAX(I194-H194,0)</f>
        <v>489349.9657871481</v>
      </c>
    </row>
    <row r="195" spans="1:13" x14ac:dyDescent="0.2">
      <c r="A195">
        <v>194</v>
      </c>
      <c r="B195">
        <f t="shared" ref="B195:B258" si="23">J194</f>
        <v>32349493.019469611</v>
      </c>
      <c r="C195">
        <f>IF(A195&lt;=Inputs!B7,IF(B195&gt;0,-PMT(Inputs!B6/12,Inputs!B7-A195+1,B195),0),0)</f>
        <v>387137.84068413317</v>
      </c>
      <c r="D195">
        <f>B195*Inputs!B6/12</f>
        <v>155007.98738495857</v>
      </c>
      <c r="E195">
        <f t="shared" si="18"/>
        <v>232129.8532991746</v>
      </c>
      <c r="F195">
        <f>MAX((B195-E195)*Inputs!B18,0)</f>
        <v>222392.91157461421</v>
      </c>
      <c r="G195">
        <f>MAX((B195-E195-F195)*Inputs!B19,0)</f>
        <v>40145.466057669699</v>
      </c>
      <c r="H195">
        <f>G195*Inputs!B17</f>
        <v>10036.366514417425</v>
      </c>
      <c r="I195">
        <f t="shared" si="19"/>
        <v>494668.23093145853</v>
      </c>
      <c r="J195">
        <f t="shared" si="20"/>
        <v>31854824.788538154</v>
      </c>
      <c r="K195">
        <f>B195*Inputs!B8/12</f>
        <v>13478.955424779006</v>
      </c>
      <c r="L195">
        <f t="shared" si="21"/>
        <v>141529.03196017956</v>
      </c>
      <c r="M195">
        <f t="shared" si="22"/>
        <v>484631.86441704113</v>
      </c>
    </row>
    <row r="196" spans="1:13" x14ac:dyDescent="0.2">
      <c r="A196">
        <v>195</v>
      </c>
      <c r="B196">
        <f t="shared" si="23"/>
        <v>31854824.788538154</v>
      </c>
      <c r="C196">
        <f>IF(A196&lt;=Inputs!B7,IF(B196&gt;0,-PMT(Inputs!B6/12,Inputs!B7-A196+1,B196),0),0)</f>
        <v>383973.24276594754</v>
      </c>
      <c r="D196">
        <f>B196*Inputs!B6/12</f>
        <v>152637.70211174534</v>
      </c>
      <c r="E196">
        <f t="shared" si="18"/>
        <v>231335.5406542022</v>
      </c>
      <c r="F196">
        <f>MAX((B196-E196)*Inputs!B18,0)</f>
        <v>218973.1395942611</v>
      </c>
      <c r="G196">
        <f>MAX((B196-E196-F196)*Inputs!B19,0)</f>
        <v>39528.142695201939</v>
      </c>
      <c r="H196">
        <f>G196*Inputs!B17</f>
        <v>9882.0356738004848</v>
      </c>
      <c r="I196">
        <f t="shared" si="19"/>
        <v>489836.8229436652</v>
      </c>
      <c r="J196">
        <f t="shared" si="20"/>
        <v>31364987.965594489</v>
      </c>
      <c r="K196">
        <f>B196*Inputs!B8/12</f>
        <v>13272.843661890898</v>
      </c>
      <c r="L196">
        <f t="shared" si="21"/>
        <v>139364.85844985445</v>
      </c>
      <c r="M196">
        <f t="shared" si="22"/>
        <v>479954.7872698647</v>
      </c>
    </row>
    <row r="197" spans="1:13" x14ac:dyDescent="0.2">
      <c r="A197">
        <v>196</v>
      </c>
      <c r="B197">
        <f t="shared" si="23"/>
        <v>31364987.965594489</v>
      </c>
      <c r="C197">
        <f>IF(A197&lt;=Inputs!B7,IF(B197&gt;0,-PMT(Inputs!B6/12,Inputs!B7-A197+1,B197),0),0)</f>
        <v>380834.51336003654</v>
      </c>
      <c r="D197">
        <f>B197*Inputs!B6/12</f>
        <v>150290.56733514028</v>
      </c>
      <c r="E197">
        <f t="shared" si="18"/>
        <v>230543.94602489626</v>
      </c>
      <c r="F197">
        <f>MAX((B197-E197)*Inputs!B18,0)</f>
        <v>215586.80331086845</v>
      </c>
      <c r="G197">
        <f>MAX((B197-E197-F197)*Inputs!B19,0)</f>
        <v>38916.85500908707</v>
      </c>
      <c r="H197">
        <f>G197*Inputs!B17</f>
        <v>9729.2137522717676</v>
      </c>
      <c r="I197">
        <f t="shared" si="19"/>
        <v>485047.60434485174</v>
      </c>
      <c r="J197">
        <f t="shared" si="20"/>
        <v>30879940.361249637</v>
      </c>
      <c r="K197">
        <f>B197*Inputs!B8/12</f>
        <v>13068.744985664371</v>
      </c>
      <c r="L197">
        <f t="shared" si="21"/>
        <v>137221.8223494759</v>
      </c>
      <c r="M197">
        <f t="shared" si="22"/>
        <v>475318.39059257996</v>
      </c>
    </row>
    <row r="198" spans="1:13" x14ac:dyDescent="0.2">
      <c r="A198">
        <v>197</v>
      </c>
      <c r="B198">
        <f t="shared" si="23"/>
        <v>30879940.361249637</v>
      </c>
      <c r="C198">
        <f>IF(A198&lt;=Inputs!B7,IF(B198&gt;0,-PMT(Inputs!B6/12,Inputs!B7-A198+1,B198),0),0)</f>
        <v>377721.44100828021</v>
      </c>
      <c r="D198">
        <f>B198*Inputs!B6/12</f>
        <v>147966.38089765451</v>
      </c>
      <c r="E198">
        <f t="shared" si="18"/>
        <v>229755.06011062569</v>
      </c>
      <c r="F198">
        <f>MAX((B198-E198)*Inputs!B18,0)</f>
        <v>212233.61065336518</v>
      </c>
      <c r="G198">
        <f>MAX((B198-E198-F198)*Inputs!B19,0)</f>
        <v>38311.550275840382</v>
      </c>
      <c r="H198">
        <f>G198*Inputs!B17</f>
        <v>9577.8875689600955</v>
      </c>
      <c r="I198">
        <f t="shared" si="19"/>
        <v>480300.22103983123</v>
      </c>
      <c r="J198">
        <f t="shared" si="20"/>
        <v>30399640.140209805</v>
      </c>
      <c r="K198">
        <f>B198*Inputs!B8/12</f>
        <v>12866.64181718735</v>
      </c>
      <c r="L198">
        <f t="shared" si="21"/>
        <v>135099.73908046717</v>
      </c>
      <c r="M198">
        <f t="shared" si="22"/>
        <v>470722.33347087115</v>
      </c>
    </row>
    <row r="199" spans="1:13" x14ac:dyDescent="0.2">
      <c r="A199">
        <v>198</v>
      </c>
      <c r="B199">
        <f t="shared" si="23"/>
        <v>30399640.140209805</v>
      </c>
      <c r="C199">
        <f>IF(A199&lt;=Inputs!B7,IF(B199&gt;0,-PMT(Inputs!B6/12,Inputs!B7-A199+1,B199),0),0)</f>
        <v>374633.81598108943</v>
      </c>
      <c r="D199">
        <f>B199*Inputs!B6/12</f>
        <v>145664.94233850532</v>
      </c>
      <c r="E199">
        <f t="shared" si="18"/>
        <v>228968.87364258411</v>
      </c>
      <c r="F199">
        <f>MAX((B199-E199)*Inputs!B18,0)</f>
        <v>208913.27200235051</v>
      </c>
      <c r="G199">
        <f>MAX((B199-E199-F199)*Inputs!B19,0)</f>
        <v>37712.176214542771</v>
      </c>
      <c r="H199">
        <f>G199*Inputs!B17</f>
        <v>9428.0440536356928</v>
      </c>
      <c r="I199">
        <f t="shared" si="19"/>
        <v>475594.32185947738</v>
      </c>
      <c r="J199">
        <f t="shared" si="20"/>
        <v>29924045.818350326</v>
      </c>
      <c r="K199">
        <f>B199*Inputs!B8/12</f>
        <v>12666.51672508742</v>
      </c>
      <c r="L199">
        <f t="shared" si="21"/>
        <v>132998.4256134179</v>
      </c>
      <c r="M199">
        <f t="shared" si="22"/>
        <v>466166.2778058417</v>
      </c>
    </row>
    <row r="200" spans="1:13" x14ac:dyDescent="0.2">
      <c r="A200">
        <v>199</v>
      </c>
      <c r="B200">
        <f t="shared" si="23"/>
        <v>29924045.818350326</v>
      </c>
      <c r="C200">
        <f>IF(A200&lt;=Inputs!B7,IF(B200&gt;0,-PMT(Inputs!B6/12,Inputs!B7-A200+1,B200),0),0)</f>
        <v>371571.43026327732</v>
      </c>
      <c r="D200">
        <f>B200*Inputs!B6/12</f>
        <v>143386.05287959531</v>
      </c>
      <c r="E200">
        <f t="shared" si="18"/>
        <v>228185.377383682</v>
      </c>
      <c r="F200">
        <f>MAX((B200-E200)*Inputs!B18,0)</f>
        <v>205625.50016983337</v>
      </c>
      <c r="G200">
        <f>MAX((B200-E200-F200)*Inputs!B19,0)</f>
        <v>37118.680983183309</v>
      </c>
      <c r="H200">
        <f>G200*Inputs!B17</f>
        <v>9279.6702457958272</v>
      </c>
      <c r="I200">
        <f t="shared" si="19"/>
        <v>470929.55853669869</v>
      </c>
      <c r="J200">
        <f t="shared" si="20"/>
        <v>29453116.259813629</v>
      </c>
      <c r="K200">
        <f>B200*Inputs!B8/12</f>
        <v>12468.352424312636</v>
      </c>
      <c r="L200">
        <f t="shared" si="21"/>
        <v>130917.70045528268</v>
      </c>
      <c r="M200">
        <f t="shared" si="22"/>
        <v>461649.88829090289</v>
      </c>
    </row>
    <row r="201" spans="1:13" x14ac:dyDescent="0.2">
      <c r="A201">
        <v>200</v>
      </c>
      <c r="B201">
        <f t="shared" si="23"/>
        <v>29453116.259813629</v>
      </c>
      <c r="C201">
        <f>IF(A201&lt;=Inputs!B7,IF(B201&gt;0,-PMT(Inputs!B6/12,Inputs!B7-A201+1,B201),0),0)</f>
        <v>368534.07754004432</v>
      </c>
      <c r="D201">
        <f>B201*Inputs!B6/12</f>
        <v>141129.51541160696</v>
      </c>
      <c r="E201">
        <f t="shared" si="18"/>
        <v>227404.56212843736</v>
      </c>
      <c r="F201">
        <f>MAX((B201-E201)*Inputs!B18,0)</f>
        <v>202370.01037913849</v>
      </c>
      <c r="G201">
        <f>MAX((B201-E201-F201)*Inputs!B19,0)</f>
        <v>36531.013175032043</v>
      </c>
      <c r="H201">
        <f>G201*Inputs!B17</f>
        <v>9132.7532937580108</v>
      </c>
      <c r="I201">
        <f t="shared" si="19"/>
        <v>466305.5856826079</v>
      </c>
      <c r="J201">
        <f t="shared" si="20"/>
        <v>28986810.674131021</v>
      </c>
      <c r="K201">
        <f>B201*Inputs!B8/12</f>
        <v>12272.131774922345</v>
      </c>
      <c r="L201">
        <f t="shared" si="21"/>
        <v>128857.38363668462</v>
      </c>
      <c r="M201">
        <f t="shared" si="22"/>
        <v>457172.83238884987</v>
      </c>
    </row>
    <row r="202" spans="1:13" x14ac:dyDescent="0.2">
      <c r="A202">
        <v>201</v>
      </c>
      <c r="B202">
        <f t="shared" si="23"/>
        <v>28986810.674131021</v>
      </c>
      <c r="C202">
        <f>IF(A202&lt;=Inputs!B7,IF(B202&gt;0,-PMT(Inputs!B6/12,Inputs!B7-A202+1,B202),0),0)</f>
        <v>365521.55318307952</v>
      </c>
      <c r="D202">
        <f>B202*Inputs!B6/12</f>
        <v>138895.13448021116</v>
      </c>
      <c r="E202">
        <f t="shared" si="18"/>
        <v>226626.41870286837</v>
      </c>
      <c r="F202">
        <f>MAX((B202-E202)*Inputs!B18,0)</f>
        <v>199146.52024497718</v>
      </c>
      <c r="G202">
        <f>MAX((B202-E202-F202)*Inputs!B19,0)</f>
        <v>35949.12181504241</v>
      </c>
      <c r="H202">
        <f>G202*Inputs!B17</f>
        <v>8987.2804537606025</v>
      </c>
      <c r="I202">
        <f t="shared" si="19"/>
        <v>461722.06076288794</v>
      </c>
      <c r="J202">
        <f t="shared" si="20"/>
        <v>28525088.613368131</v>
      </c>
      <c r="K202">
        <f>B202*Inputs!B8/12</f>
        <v>12077.837780887925</v>
      </c>
      <c r="L202">
        <f t="shared" si="21"/>
        <v>126817.29669932323</v>
      </c>
      <c r="M202">
        <f t="shared" si="22"/>
        <v>452734.78030912735</v>
      </c>
    </row>
    <row r="203" spans="1:13" x14ac:dyDescent="0.2">
      <c r="A203">
        <v>202</v>
      </c>
      <c r="B203">
        <f t="shared" si="23"/>
        <v>28525088.613368131</v>
      </c>
      <c r="C203">
        <f>IF(A203&lt;=Inputs!B7,IF(B203&gt;0,-PMT(Inputs!B6/12,Inputs!B7-A203+1,B203),0),0)</f>
        <v>362533.65423677379</v>
      </c>
      <c r="D203">
        <f>B203*Inputs!B6/12</f>
        <v>136682.71627238896</v>
      </c>
      <c r="E203">
        <f t="shared" si="18"/>
        <v>225850.93796438482</v>
      </c>
      <c r="F203">
        <f>MAX((B203-E203)*Inputs!B18,0)</f>
        <v>195954.74975368215</v>
      </c>
      <c r="G203">
        <f>MAX((B203-E203-F203)*Inputs!B19,0)</f>
        <v>35372.956356283328</v>
      </c>
      <c r="H203">
        <f>G203*Inputs!B17</f>
        <v>8843.2390890708321</v>
      </c>
      <c r="I203">
        <f t="shared" si="19"/>
        <v>457178.6440743503</v>
      </c>
      <c r="J203">
        <f t="shared" si="20"/>
        <v>28067909.969293781</v>
      </c>
      <c r="K203">
        <f>B203*Inputs!B8/12</f>
        <v>11885.453588903389</v>
      </c>
      <c r="L203">
        <f t="shared" si="21"/>
        <v>124797.26268348558</v>
      </c>
      <c r="M203">
        <f t="shared" si="22"/>
        <v>448335.40498527949</v>
      </c>
    </row>
    <row r="204" spans="1:13" x14ac:dyDescent="0.2">
      <c r="A204">
        <v>203</v>
      </c>
      <c r="B204">
        <f t="shared" si="23"/>
        <v>28067909.969293781</v>
      </c>
      <c r="C204">
        <f>IF(A204&lt;=Inputs!B7,IF(B204&gt;0,-PMT(Inputs!B6/12,Inputs!B7-A204+1,B204),0),0)</f>
        <v>359570.17940454726</v>
      </c>
      <c r="D204">
        <f>B204*Inputs!B6/12</f>
        <v>134492.06860286606</v>
      </c>
      <c r="E204">
        <f t="shared" si="18"/>
        <v>225078.11080168121</v>
      </c>
      <c r="F204">
        <f>MAX((B204-E204)*Inputs!B18,0)</f>
        <v>192794.42124360433</v>
      </c>
      <c r="G204">
        <f>MAX((B204-E204-F204)*Inputs!B19,0)</f>
        <v>34802.466676400487</v>
      </c>
      <c r="H204">
        <f>G204*Inputs!B17</f>
        <v>8700.6166691001217</v>
      </c>
      <c r="I204">
        <f t="shared" si="19"/>
        <v>452674.99872168608</v>
      </c>
      <c r="J204">
        <f t="shared" si="20"/>
        <v>27615234.970572095</v>
      </c>
      <c r="K204">
        <f>B204*Inputs!B8/12</f>
        <v>11694.962487205741</v>
      </c>
      <c r="L204">
        <f t="shared" si="21"/>
        <v>122797.10611566031</v>
      </c>
      <c r="M204">
        <f t="shared" si="22"/>
        <v>443974.38205258595</v>
      </c>
    </row>
    <row r="205" spans="1:13" x14ac:dyDescent="0.2">
      <c r="A205">
        <v>204</v>
      </c>
      <c r="B205">
        <f t="shared" si="23"/>
        <v>27615234.970572095</v>
      </c>
      <c r="C205">
        <f>IF(A205&lt;=Inputs!B7,IF(B205&gt;0,-PMT(Inputs!B6/12,Inputs!B7-A205+1,B205),0),0)</f>
        <v>356630.92903528735</v>
      </c>
      <c r="D205">
        <f>B205*Inputs!B6/12</f>
        <v>132323.00090065796</v>
      </c>
      <c r="E205">
        <f t="shared" si="18"/>
        <v>224307.92813462939</v>
      </c>
      <c r="F205">
        <f>MAX((B205-E205)*Inputs!B18,0)</f>
        <v>189665.2593856708</v>
      </c>
      <c r="G205">
        <f>MAX((B205-E205-F205)*Inputs!B19,0)</f>
        <v>34237.603074106766</v>
      </c>
      <c r="H205">
        <f>G205*Inputs!B17</f>
        <v>8559.4007685266915</v>
      </c>
      <c r="I205">
        <f t="shared" si="19"/>
        <v>448210.79059440689</v>
      </c>
      <c r="J205">
        <f t="shared" si="20"/>
        <v>27167024.179977689</v>
      </c>
      <c r="K205">
        <f>B205*Inputs!B8/12</f>
        <v>11506.34790440504</v>
      </c>
      <c r="L205">
        <f t="shared" si="21"/>
        <v>120816.65299625293</v>
      </c>
      <c r="M205">
        <f t="shared" si="22"/>
        <v>439651.38982588018</v>
      </c>
    </row>
    <row r="206" spans="1:13" x14ac:dyDescent="0.2">
      <c r="A206">
        <v>205</v>
      </c>
      <c r="B206">
        <f t="shared" si="23"/>
        <v>27167024.179977689</v>
      </c>
      <c r="C206">
        <f>IF(A206&lt;=Inputs!B7,IF(B206&gt;0,-PMT(Inputs!B6/12,Inputs!B7-A206+1,B206),0),0)</f>
        <v>353715.7051098987</v>
      </c>
      <c r="D206">
        <f>B206*Inputs!B6/12</f>
        <v>130175.32419572643</v>
      </c>
      <c r="E206">
        <f t="shared" si="18"/>
        <v>223540.38091417227</v>
      </c>
      <c r="F206">
        <f>MAX((B206-E206)*Inputs!B18,0)</f>
        <v>186566.99116410225</v>
      </c>
      <c r="G206">
        <f>MAX((B206-E206-F206)*Inputs!B19,0)</f>
        <v>33678.316265701425</v>
      </c>
      <c r="H206">
        <f>G206*Inputs!B17</f>
        <v>8419.5790664253564</v>
      </c>
      <c r="I206">
        <f t="shared" si="19"/>
        <v>443785.68834397593</v>
      </c>
      <c r="J206">
        <f t="shared" si="20"/>
        <v>26723238.491633713</v>
      </c>
      <c r="K206">
        <f>B206*Inputs!B8/12</f>
        <v>11319.593408324037</v>
      </c>
      <c r="L206">
        <f t="shared" si="21"/>
        <v>118855.73078740238</v>
      </c>
      <c r="M206">
        <f t="shared" si="22"/>
        <v>435366.1092775506</v>
      </c>
    </row>
    <row r="207" spans="1:13" x14ac:dyDescent="0.2">
      <c r="A207">
        <v>206</v>
      </c>
      <c r="B207">
        <f t="shared" si="23"/>
        <v>26723238.491633713</v>
      </c>
      <c r="C207">
        <f>IF(A207&lt;=Inputs!B7,IF(B207&gt;0,-PMT(Inputs!B6/12,Inputs!B7-A207+1,B207),0),0)</f>
        <v>350824.31122796173</v>
      </c>
      <c r="D207">
        <f>B207*Inputs!B6/12</f>
        <v>128048.85110574488</v>
      </c>
      <c r="E207">
        <f t="shared" si="18"/>
        <v>222775.46012221684</v>
      </c>
      <c r="F207">
        <f>MAX((B207-E207)*Inputs!B18,0)</f>
        <v>183499.34585728918</v>
      </c>
      <c r="G207">
        <f>MAX((B207-E207-F207)*Inputs!B19,0)</f>
        <v>33124.557381617946</v>
      </c>
      <c r="H207">
        <f>G207*Inputs!B17</f>
        <v>8281.1393454044864</v>
      </c>
      <c r="I207">
        <f t="shared" si="19"/>
        <v>439399.36336112395</v>
      </c>
      <c r="J207">
        <f t="shared" si="20"/>
        <v>26283839.128272589</v>
      </c>
      <c r="K207">
        <f>B207*Inputs!B8/12</f>
        <v>11134.682704847381</v>
      </c>
      <c r="L207">
        <f t="shared" si="21"/>
        <v>116914.1684008975</v>
      </c>
      <c r="M207">
        <f t="shared" si="22"/>
        <v>431118.22401571949</v>
      </c>
    </row>
    <row r="208" spans="1:13" x14ac:dyDescent="0.2">
      <c r="A208">
        <v>207</v>
      </c>
      <c r="B208">
        <f t="shared" si="23"/>
        <v>26283839.128272589</v>
      </c>
      <c r="C208">
        <f>IF(A208&lt;=Inputs!B7,IF(B208&gt;0,-PMT(Inputs!B6/12,Inputs!B7-A208+1,B208),0),0)</f>
        <v>347956.55259450187</v>
      </c>
      <c r="D208">
        <f>B208*Inputs!B6/12</f>
        <v>125943.39582297283</v>
      </c>
      <c r="E208">
        <f t="shared" si="18"/>
        <v>222013.15677152906</v>
      </c>
      <c r="F208">
        <f>MAX((B208-E208)*Inputs!B18,0)</f>
        <v>180462.05501882458</v>
      </c>
      <c r="G208">
        <f>MAX((B208-E208-F208)*Inputs!B19,0)</f>
        <v>32576.277963000139</v>
      </c>
      <c r="H208">
        <f>G208*Inputs!B17</f>
        <v>8144.0694907500347</v>
      </c>
      <c r="I208">
        <f t="shared" si="19"/>
        <v>435051.48975335376</v>
      </c>
      <c r="J208">
        <f t="shared" si="20"/>
        <v>25848787.638519235</v>
      </c>
      <c r="K208">
        <f>B208*Inputs!B8/12</f>
        <v>10951.599636780245</v>
      </c>
      <c r="L208">
        <f t="shared" si="21"/>
        <v>114991.79618619259</v>
      </c>
      <c r="M208">
        <f t="shared" si="22"/>
        <v>426907.42026260373</v>
      </c>
    </row>
    <row r="209" spans="1:13" x14ac:dyDescent="0.2">
      <c r="A209">
        <v>208</v>
      </c>
      <c r="B209">
        <f t="shared" si="23"/>
        <v>25848787.638519235</v>
      </c>
      <c r="C209">
        <f>IF(A209&lt;=Inputs!B7,IF(B209&gt;0,-PMT(Inputs!B6/12,Inputs!B7-A209+1,B209),0),0)</f>
        <v>345112.23600686539</v>
      </c>
      <c r="D209">
        <f>B209*Inputs!B6/12</f>
        <v>123858.774101238</v>
      </c>
      <c r="E209">
        <f t="shared" si="18"/>
        <v>221253.4619056274</v>
      </c>
      <c r="F209">
        <f>MAX((B209-E209)*Inputs!B18,0)</f>
        <v>177454.85245869291</v>
      </c>
      <c r="G209">
        <f>MAX((B209-E209-F209)*Inputs!B19,0)</f>
        <v>32033.429958306431</v>
      </c>
      <c r="H209">
        <f>G209*Inputs!B17</f>
        <v>8008.3574895766078</v>
      </c>
      <c r="I209">
        <f t="shared" si="19"/>
        <v>430741.74432262674</v>
      </c>
      <c r="J209">
        <f t="shared" si="20"/>
        <v>25418045.894196607</v>
      </c>
      <c r="K209">
        <f>B209*Inputs!B8/12</f>
        <v>10770.328182716348</v>
      </c>
      <c r="L209">
        <f t="shared" si="21"/>
        <v>113088.44591852165</v>
      </c>
      <c r="M209">
        <f t="shared" si="22"/>
        <v>422733.38683305011</v>
      </c>
    </row>
    <row r="210" spans="1:13" x14ac:dyDescent="0.2">
      <c r="A210">
        <v>209</v>
      </c>
      <c r="B210">
        <f t="shared" si="23"/>
        <v>25418045.894196607</v>
      </c>
      <c r="C210">
        <f>IF(A210&lt;=Inputs!B7,IF(B210&gt;0,-PMT(Inputs!B6/12,Inputs!B7-A210+1,B210),0),0)</f>
        <v>342291.16984170367</v>
      </c>
      <c r="D210">
        <f>B210*Inputs!B6/12</f>
        <v>121794.80324302542</v>
      </c>
      <c r="E210">
        <f t="shared" si="18"/>
        <v>220496.36659867823</v>
      </c>
      <c r="F210">
        <f>MAX((B210-E210)*Inputs!B18,0)</f>
        <v>174477.47422461334</v>
      </c>
      <c r="G210">
        <f>MAX((B210-E210-F210)*Inputs!B19,0)</f>
        <v>31495.965719942058</v>
      </c>
      <c r="H210">
        <f>G210*Inputs!B17</f>
        <v>7873.9914299855145</v>
      </c>
      <c r="I210">
        <f t="shared" si="19"/>
        <v>426469.80654323363</v>
      </c>
      <c r="J210">
        <f t="shared" si="20"/>
        <v>24991576.087653372</v>
      </c>
      <c r="K210">
        <f>B210*Inputs!B8/12</f>
        <v>10590.852455915254</v>
      </c>
      <c r="L210">
        <f t="shared" si="21"/>
        <v>111203.95078711017</v>
      </c>
      <c r="M210">
        <f t="shared" si="22"/>
        <v>418595.81511324813</v>
      </c>
    </row>
    <row r="211" spans="1:13" x14ac:dyDescent="0.2">
      <c r="A211">
        <v>210</v>
      </c>
      <c r="B211">
        <f t="shared" si="23"/>
        <v>24991576.087653372</v>
      </c>
      <c r="C211">
        <f>IF(A211&lt;=Inputs!B7,IF(B211&gt;0,-PMT(Inputs!B6/12,Inputs!B7-A211+1,B211),0),0)</f>
        <v>339493.16404206346</v>
      </c>
      <c r="D211">
        <f>B211*Inputs!B6/12</f>
        <v>119751.30208667241</v>
      </c>
      <c r="E211">
        <f t="shared" si="18"/>
        <v>219741.86195539107</v>
      </c>
      <c r="F211">
        <f>MAX((B211-E211)*Inputs!B18,0)</f>
        <v>171529.6585835361</v>
      </c>
      <c r="G211">
        <f>MAX((B211-E211-F211)*Inputs!B19,0)</f>
        <v>30963.838000918829</v>
      </c>
      <c r="H211">
        <f>G211*Inputs!B17</f>
        <v>7740.9595002297074</v>
      </c>
      <c r="I211">
        <f t="shared" si="19"/>
        <v>422235.35853984603</v>
      </c>
      <c r="J211">
        <f t="shared" si="20"/>
        <v>24569340.729113527</v>
      </c>
      <c r="K211">
        <f>B211*Inputs!B8/12</f>
        <v>10413.156703188904</v>
      </c>
      <c r="L211">
        <f t="shared" si="21"/>
        <v>109338.14538348351</v>
      </c>
      <c r="M211">
        <f t="shared" si="22"/>
        <v>414494.39903961634</v>
      </c>
    </row>
    <row r="212" spans="1:13" x14ac:dyDescent="0.2">
      <c r="A212">
        <v>211</v>
      </c>
      <c r="B212">
        <f t="shared" si="23"/>
        <v>24569340.729113527</v>
      </c>
      <c r="C212">
        <f>IF(A212&lt;=Inputs!B7,IF(B212&gt;0,-PMT(Inputs!B6/12,Inputs!B7-A212+1,B212),0),0)</f>
        <v>336718.03010458208</v>
      </c>
      <c r="D212">
        <f>B212*Inputs!B6/12</f>
        <v>117728.09099366899</v>
      </c>
      <c r="E212">
        <f t="shared" si="18"/>
        <v>218989.93911091308</v>
      </c>
      <c r="F212">
        <f>MAX((B212-E212)*Inputs!B18,0)</f>
        <v>168611.14600329113</v>
      </c>
      <c r="G212">
        <f>MAX((B212-E212-F212)*Inputs!B19,0)</f>
        <v>30436.999951542435</v>
      </c>
      <c r="H212">
        <f>G212*Inputs!B17</f>
        <v>7609.2499878856088</v>
      </c>
      <c r="I212">
        <f t="shared" si="19"/>
        <v>418038.08506574662</v>
      </c>
      <c r="J212">
        <f t="shared" si="20"/>
        <v>24151302.644047782</v>
      </c>
      <c r="K212">
        <f>B212*Inputs!B8/12</f>
        <v>10237.225303797304</v>
      </c>
      <c r="L212">
        <f t="shared" si="21"/>
        <v>107490.86568987169</v>
      </c>
      <c r="M212">
        <f t="shared" si="22"/>
        <v>410428.83507786103</v>
      </c>
    </row>
    <row r="213" spans="1:13" x14ac:dyDescent="0.2">
      <c r="A213">
        <v>212</v>
      </c>
      <c r="B213">
        <f t="shared" si="23"/>
        <v>24151302.644047782</v>
      </c>
      <c r="C213">
        <f>IF(A213&lt;=Inputs!B7,IF(B213&gt;0,-PMT(Inputs!B6/12,Inputs!B7-A213+1,B213),0),0)</f>
        <v>333965.58106678835</v>
      </c>
      <c r="D213">
        <f>B213*Inputs!B6/12</f>
        <v>115724.99183606228</v>
      </c>
      <c r="E213">
        <f t="shared" si="18"/>
        <v>218240.58923072607</v>
      </c>
      <c r="F213">
        <f>MAX((B213-E213)*Inputs!B18,0)</f>
        <v>165721.6791343872</v>
      </c>
      <c r="G213">
        <f>MAX((B213-E213-F213)*Inputs!B19,0)</f>
        <v>29915.405116126894</v>
      </c>
      <c r="H213">
        <f>G213*Inputs!B17</f>
        <v>7478.8512790317236</v>
      </c>
      <c r="I213">
        <f t="shared" si="19"/>
        <v>413877.67348124017</v>
      </c>
      <c r="J213">
        <f t="shared" si="20"/>
        <v>23737424.970566541</v>
      </c>
      <c r="K213">
        <f>B213*Inputs!B8/12</f>
        <v>10063.042768353242</v>
      </c>
      <c r="L213">
        <f t="shared" si="21"/>
        <v>105661.94906770904</v>
      </c>
      <c r="M213">
        <f t="shared" si="22"/>
        <v>406398.82220220845</v>
      </c>
    </row>
    <row r="214" spans="1:13" x14ac:dyDescent="0.2">
      <c r="A214">
        <v>213</v>
      </c>
      <c r="B214">
        <f t="shared" si="23"/>
        <v>23737424.970566541</v>
      </c>
      <c r="C214">
        <f>IF(A214&lt;=Inputs!B7,IF(B214&gt;0,-PMT(Inputs!B6/12,Inputs!B7-A214+1,B214),0),0)</f>
        <v>331235.63149450679</v>
      </c>
      <c r="D214">
        <f>B214*Inputs!B6/12</f>
        <v>113741.82798396469</v>
      </c>
      <c r="E214">
        <f t="shared" si="18"/>
        <v>217493.80351054209</v>
      </c>
      <c r="F214">
        <f>MAX((B214-E214)*Inputs!B18,0)</f>
        <v>162861.00279196064</v>
      </c>
      <c r="G214">
        <f>MAX((B214-E214-F214)*Inputs!B19,0)</f>
        <v>29399.007429736004</v>
      </c>
      <c r="H214">
        <f>G214*Inputs!B17</f>
        <v>7349.7518574340011</v>
      </c>
      <c r="I214">
        <f t="shared" si="19"/>
        <v>409753.81373223878</v>
      </c>
      <c r="J214">
        <f t="shared" si="20"/>
        <v>23327671.156834301</v>
      </c>
      <c r="K214">
        <f>B214*Inputs!B8/12</f>
        <v>9890.5937377360588</v>
      </c>
      <c r="L214">
        <f t="shared" si="21"/>
        <v>103851.23424622863</v>
      </c>
      <c r="M214">
        <f t="shared" si="22"/>
        <v>402404.06187480479</v>
      </c>
    </row>
    <row r="215" spans="1:13" x14ac:dyDescent="0.2">
      <c r="A215">
        <v>214</v>
      </c>
      <c r="B215">
        <f t="shared" si="23"/>
        <v>23327671.156834301</v>
      </c>
      <c r="C215">
        <f>IF(A215&lt;=Inputs!B7,IF(B215&gt;0,-PMT(Inputs!B6/12,Inputs!B7-A215+1,B215),0),0)</f>
        <v>328527.99746936461</v>
      </c>
      <c r="D215">
        <f>B215*Inputs!B6/12</f>
        <v>111778.42429316435</v>
      </c>
      <c r="E215">
        <f t="shared" si="18"/>
        <v>216749.57317620027</v>
      </c>
      <c r="F215">
        <f>MAX((B215-E215)*Inputs!B18,0)</f>
        <v>160028.86393787226</v>
      </c>
      <c r="G215">
        <f>MAX((B215-E215-F215)*Inputs!B19,0)</f>
        <v>28887.761214951559</v>
      </c>
      <c r="H215">
        <f>G215*Inputs!B17</f>
        <v>7221.9403037378897</v>
      </c>
      <c r="I215">
        <f t="shared" si="19"/>
        <v>405666.19832902408</v>
      </c>
      <c r="J215">
        <f t="shared" si="20"/>
        <v>22922004.958505277</v>
      </c>
      <c r="K215">
        <f>B215*Inputs!B8/12</f>
        <v>9719.8629820142924</v>
      </c>
      <c r="L215">
        <f t="shared" si="21"/>
        <v>102058.56131115006</v>
      </c>
      <c r="M215">
        <f t="shared" si="22"/>
        <v>398444.2580252862</v>
      </c>
    </row>
    <row r="216" spans="1:13" x14ac:dyDescent="0.2">
      <c r="A216">
        <v>215</v>
      </c>
      <c r="B216">
        <f t="shared" si="23"/>
        <v>22922004.958505277</v>
      </c>
      <c r="C216">
        <f>IF(A216&lt;=Inputs!B7,IF(B216&gt;0,-PMT(Inputs!B6/12,Inputs!B7-A216+1,B216),0),0)</f>
        <v>325842.49657640094</v>
      </c>
      <c r="D216">
        <f>B216*Inputs!B6/12</f>
        <v>109834.60709283779</v>
      </c>
      <c r="E216">
        <f t="shared" si="18"/>
        <v>216007.88948356314</v>
      </c>
      <c r="F216">
        <f>MAX((B216-E216)*Inputs!B18,0)</f>
        <v>157225.01166295147</v>
      </c>
      <c r="G216">
        <f>MAX((B216-E216-F216)*Inputs!B19,0)</f>
        <v>28381.621178668134</v>
      </c>
      <c r="H216">
        <f>G216*Inputs!B17</f>
        <v>7095.4052946670336</v>
      </c>
      <c r="I216">
        <f t="shared" si="19"/>
        <v>401614.52232518268</v>
      </c>
      <c r="J216">
        <f t="shared" si="20"/>
        <v>22520390.436180092</v>
      </c>
      <c r="K216">
        <f>B216*Inputs!B8/12</f>
        <v>9550.835399377198</v>
      </c>
      <c r="L216">
        <f t="shared" si="21"/>
        <v>100283.77169346059</v>
      </c>
      <c r="M216">
        <f t="shared" si="22"/>
        <v>394519.11703051563</v>
      </c>
    </row>
    <row r="217" spans="1:13" x14ac:dyDescent="0.2">
      <c r="A217">
        <v>216</v>
      </c>
      <c r="B217">
        <f t="shared" si="23"/>
        <v>22520390.436180092</v>
      </c>
      <c r="C217">
        <f>IF(A217&lt;=Inputs!B7,IF(B217&gt;0,-PMT(Inputs!B6/12,Inputs!B7-A217+1,B217),0),0)</f>
        <v>323178.94789177761</v>
      </c>
      <c r="D217">
        <f>B217*Inputs!B6/12</f>
        <v>107910.20417336294</v>
      </c>
      <c r="E217">
        <f t="shared" si="18"/>
        <v>215268.74371841468</v>
      </c>
      <c r="F217">
        <f>MAX((B217-E217)*Inputs!B18,0)</f>
        <v>154449.19716938617</v>
      </c>
      <c r="G217">
        <f>MAX((B217-E217-F217)*Inputs!B19,0)</f>
        <v>27880.542408914156</v>
      </c>
      <c r="H217">
        <f>G217*Inputs!B17</f>
        <v>6970.135602228539</v>
      </c>
      <c r="I217">
        <f t="shared" si="19"/>
        <v>397598.48329671501</v>
      </c>
      <c r="J217">
        <f t="shared" si="20"/>
        <v>22122791.952883378</v>
      </c>
      <c r="K217">
        <f>B217*Inputs!B8/12</f>
        <v>9383.4960150750394</v>
      </c>
      <c r="L217">
        <f t="shared" si="21"/>
        <v>98526.708158287904</v>
      </c>
      <c r="M217">
        <f t="shared" si="22"/>
        <v>390628.3476944865</v>
      </c>
    </row>
    <row r="218" spans="1:13" x14ac:dyDescent="0.2">
      <c r="A218">
        <v>217</v>
      </c>
      <c r="B218">
        <f t="shared" si="23"/>
        <v>22122791.952883378</v>
      </c>
      <c r="C218">
        <f>IF(A218&lt;=Inputs!B7,IF(B218&gt;0,-PMT(Inputs!B6/12,Inputs!B7-A218+1,B218),0),0)</f>
        <v>320537.17197059037</v>
      </c>
      <c r="D218">
        <f>B218*Inputs!B6/12</f>
        <v>106005.04477423285</v>
      </c>
      <c r="E218">
        <f t="shared" si="18"/>
        <v>214532.12719635753</v>
      </c>
      <c r="F218">
        <f>MAX((B218-E218)*Inputs!B18,0)</f>
        <v>151701.17375325726</v>
      </c>
      <c r="G218">
        <f>MAX((B218-E218-F218)*Inputs!B19,0)</f>
        <v>27384.480371699126</v>
      </c>
      <c r="H218">
        <f>G218*Inputs!B17</f>
        <v>6846.1200929247816</v>
      </c>
      <c r="I218">
        <f t="shared" si="19"/>
        <v>393617.78132131393</v>
      </c>
      <c r="J218">
        <f t="shared" si="20"/>
        <v>21729174.171562064</v>
      </c>
      <c r="K218">
        <f>B218*Inputs!B8/12</f>
        <v>9217.8299803680748</v>
      </c>
      <c r="L218">
        <f t="shared" si="21"/>
        <v>96787.214793864783</v>
      </c>
      <c r="M218">
        <f t="shared" si="22"/>
        <v>386771.66122838913</v>
      </c>
    </row>
    <row r="219" spans="1:13" x14ac:dyDescent="0.2">
      <c r="A219">
        <v>218</v>
      </c>
      <c r="B219">
        <f t="shared" si="23"/>
        <v>21729174.171562064</v>
      </c>
      <c r="C219">
        <f>IF(A219&lt;=Inputs!B7,IF(B219&gt;0,-PMT(Inputs!B6/12,Inputs!B7-A219+1,B219),0),0)</f>
        <v>317916.99083477916</v>
      </c>
      <c r="D219">
        <f>B219*Inputs!B6/12</f>
        <v>104118.95957206823</v>
      </c>
      <c r="E219">
        <f t="shared" si="18"/>
        <v>213798.03126271092</v>
      </c>
      <c r="F219">
        <f>MAX((B219-E219)*Inputs!B18,0)</f>
        <v>148980.69678721664</v>
      </c>
      <c r="G219">
        <f>MAX((B219-E219-F219)*Inputs!B19,0)</f>
        <v>26893.390907886729</v>
      </c>
      <c r="H219">
        <f>G219*Inputs!B17</f>
        <v>6723.3477269716823</v>
      </c>
      <c r="I219">
        <f t="shared" si="19"/>
        <v>389672.11895781429</v>
      </c>
      <c r="J219">
        <f t="shared" si="20"/>
        <v>21339502.052604251</v>
      </c>
      <c r="K219">
        <f>B219*Inputs!B8/12</f>
        <v>9053.8225714841938</v>
      </c>
      <c r="L219">
        <f t="shared" si="21"/>
        <v>95065.137000584029</v>
      </c>
      <c r="M219">
        <f t="shared" si="22"/>
        <v>382948.77123084263</v>
      </c>
    </row>
    <row r="220" spans="1:13" x14ac:dyDescent="0.2">
      <c r="A220">
        <v>219</v>
      </c>
      <c r="B220">
        <f t="shared" si="23"/>
        <v>21339502.052604251</v>
      </c>
      <c r="C220">
        <f>IF(A220&lt;=Inputs!B7,IF(B220&gt;0,-PMT(Inputs!B6/12,Inputs!B7-A220+1,B220),0),0)</f>
        <v>315318.22796113777</v>
      </c>
      <c r="D220">
        <f>B220*Inputs!B6/12</f>
        <v>102251.78066872871</v>
      </c>
      <c r="E220">
        <f t="shared" si="18"/>
        <v>213066.44729240908</v>
      </c>
      <c r="F220">
        <f>MAX((B220-E220)*Inputs!B18,0)</f>
        <v>146287.52370330764</v>
      </c>
      <c r="G220">
        <f>MAX((B220-E220-F220)*Inputs!B19,0)</f>
        <v>26407.230230093613</v>
      </c>
      <c r="H220">
        <f>G220*Inputs!B17</f>
        <v>6601.8075575234034</v>
      </c>
      <c r="I220">
        <f t="shared" si="19"/>
        <v>385761.20122581034</v>
      </c>
      <c r="J220">
        <f t="shared" si="20"/>
        <v>20953740.851378441</v>
      </c>
      <c r="K220">
        <f>B220*Inputs!B8/12</f>
        <v>8891.4591885851041</v>
      </c>
      <c r="L220">
        <f t="shared" si="21"/>
        <v>93360.321480143612</v>
      </c>
      <c r="M220">
        <f t="shared" si="22"/>
        <v>379159.39366828691</v>
      </c>
    </row>
    <row r="221" spans="1:13" x14ac:dyDescent="0.2">
      <c r="A221">
        <v>220</v>
      </c>
      <c r="B221">
        <f t="shared" si="23"/>
        <v>20953740.851378441</v>
      </c>
      <c r="C221">
        <f>IF(A221&lt;=Inputs!B7,IF(B221&gt;0,-PMT(Inputs!B6/12,Inputs!B7-A221+1,B221),0),0)</f>
        <v>312740.70826942165</v>
      </c>
      <c r="D221">
        <f>B221*Inputs!B6/12</f>
        <v>100403.3415795217</v>
      </c>
      <c r="E221">
        <f t="shared" si="18"/>
        <v>212337.36668989994</v>
      </c>
      <c r="F221">
        <f>MAX((B221-E221)*Inputs!B18,0)</f>
        <v>143621.41397592638</v>
      </c>
      <c r="G221">
        <f>MAX((B221-E221-F221)*Inputs!B19,0)</f>
        <v>25925.954919613683</v>
      </c>
      <c r="H221">
        <f>G221*Inputs!B17</f>
        <v>6481.4887299034208</v>
      </c>
      <c r="I221">
        <f t="shared" si="19"/>
        <v>381884.73558543995</v>
      </c>
      <c r="J221">
        <f t="shared" si="20"/>
        <v>20571856.115793001</v>
      </c>
      <c r="K221">
        <f>B221*Inputs!B8/12</f>
        <v>8730.7253547410164</v>
      </c>
      <c r="L221">
        <f t="shared" si="21"/>
        <v>91672.616224780679</v>
      </c>
      <c r="M221">
        <f t="shared" si="22"/>
        <v>375403.24685553653</v>
      </c>
    </row>
    <row r="222" spans="1:13" x14ac:dyDescent="0.2">
      <c r="A222">
        <v>221</v>
      </c>
      <c r="B222">
        <f t="shared" si="23"/>
        <v>20571856.115793001</v>
      </c>
      <c r="C222">
        <f>IF(A222&lt;=Inputs!B7,IF(B222&gt;0,-PMT(Inputs!B6/12,Inputs!B7-A222+1,B222),0),0)</f>
        <v>310184.25811055215</v>
      </c>
      <c r="D222">
        <f>B222*Inputs!B6/12</f>
        <v>98573.477221508147</v>
      </c>
      <c r="E222">
        <f t="shared" si="18"/>
        <v>211610.78088904399</v>
      </c>
      <c r="F222">
        <f>MAX((B222-E222)*Inputs!B18,0)</f>
        <v>140982.12910492325</v>
      </c>
      <c r="G222">
        <f>MAX((B222-E222-F222)*Inputs!B19,0)</f>
        <v>25449.521923367629</v>
      </c>
      <c r="H222">
        <f>G222*Inputs!B17</f>
        <v>6362.3804808419072</v>
      </c>
      <c r="I222">
        <f t="shared" si="19"/>
        <v>378042.43191733491</v>
      </c>
      <c r="J222">
        <f t="shared" si="20"/>
        <v>20193813.683875665</v>
      </c>
      <c r="K222">
        <f>B222*Inputs!B8/12</f>
        <v>8571.6067149137507</v>
      </c>
      <c r="L222">
        <f t="shared" si="21"/>
        <v>90001.870506594394</v>
      </c>
      <c r="M222">
        <f t="shared" si="22"/>
        <v>371680.051436493</v>
      </c>
    </row>
    <row r="223" spans="1:13" x14ac:dyDescent="0.2">
      <c r="A223">
        <v>222</v>
      </c>
      <c r="B223">
        <f t="shared" si="23"/>
        <v>20193813.683875665</v>
      </c>
      <c r="C223">
        <f>IF(A223&lt;=Inputs!B7,IF(B223&gt;0,-PMT(Inputs!B6/12,Inputs!B7-A223+1,B223),0),0)</f>
        <v>307648.70525491808</v>
      </c>
      <c r="D223">
        <f>B223*Inputs!B6/12</f>
        <v>96762.023901904235</v>
      </c>
      <c r="E223">
        <f t="shared" si="18"/>
        <v>210886.68135301385</v>
      </c>
      <c r="F223">
        <f>MAX((B223-E223)*Inputs!B18,0)</f>
        <v>138369.43259884324</v>
      </c>
      <c r="G223">
        <f>MAX((B223-E223-F223)*Inputs!B19,0)</f>
        <v>24977.888550877531</v>
      </c>
      <c r="H223">
        <f>G223*Inputs!B17</f>
        <v>6244.4721377193828</v>
      </c>
      <c r="I223">
        <f t="shared" si="19"/>
        <v>374234.0025027346</v>
      </c>
      <c r="J223">
        <f t="shared" si="20"/>
        <v>19819579.681372929</v>
      </c>
      <c r="K223">
        <f>B223*Inputs!B8/12</f>
        <v>8414.0890349481942</v>
      </c>
      <c r="L223">
        <f t="shared" si="21"/>
        <v>88347.934866956042</v>
      </c>
      <c r="M223">
        <f t="shared" si="22"/>
        <v>367989.53036501521</v>
      </c>
    </row>
    <row r="224" spans="1:13" x14ac:dyDescent="0.2">
      <c r="A224">
        <v>223</v>
      </c>
      <c r="B224">
        <f t="shared" si="23"/>
        <v>19819579.681372929</v>
      </c>
      <c r="C224">
        <f>IF(A224&lt;=Inputs!B7,IF(B224&gt;0,-PMT(Inputs!B6/12,Inputs!B7-A224+1,B224),0),0)</f>
        <v>305133.87888077245</v>
      </c>
      <c r="D224">
        <f>B224*Inputs!B6/12</f>
        <v>94968.819306578618</v>
      </c>
      <c r="E224">
        <f t="shared" si="18"/>
        <v>210165.05957419385</v>
      </c>
      <c r="F224">
        <f>MAX((B224-E224)*Inputs!B18,0)</f>
        <v>135783.08995830378</v>
      </c>
      <c r="G224">
        <f>MAX((B224-E224-F224)*Inputs!B19,0)</f>
        <v>24511.012471266316</v>
      </c>
      <c r="H224">
        <f>G224*Inputs!B17</f>
        <v>6127.7531178165791</v>
      </c>
      <c r="I224">
        <f t="shared" si="19"/>
        <v>370459.16200376395</v>
      </c>
      <c r="J224">
        <f t="shared" si="20"/>
        <v>19449120.519369166</v>
      </c>
      <c r="K224">
        <f>B224*Inputs!B8/12</f>
        <v>8258.1582005720538</v>
      </c>
      <c r="L224">
        <f t="shared" si="21"/>
        <v>86710.661106006562</v>
      </c>
      <c r="M224">
        <f t="shared" si="22"/>
        <v>364331.40888594737</v>
      </c>
    </row>
    <row r="225" spans="1:13" x14ac:dyDescent="0.2">
      <c r="A225">
        <v>224</v>
      </c>
      <c r="B225">
        <f t="shared" si="23"/>
        <v>19449120.519369166</v>
      </c>
      <c r="C225">
        <f>IF(A225&lt;=Inputs!B7,IF(B225&gt;0,-PMT(Inputs!B6/12,Inputs!B7-A225+1,B225),0),0)</f>
        <v>302639.60956272384</v>
      </c>
      <c r="D225">
        <f>B225*Inputs!B6/12</f>
        <v>93193.702488643932</v>
      </c>
      <c r="E225">
        <f t="shared" si="18"/>
        <v>209445.90707407991</v>
      </c>
      <c r="F225">
        <f>MAX((B225-E225)*Inputs!B18,0)</f>
        <v>133222.86865950946</v>
      </c>
      <c r="G225">
        <f>MAX((B225-E225-F225)*Inputs!B19,0)</f>
        <v>24048.851710281866</v>
      </c>
      <c r="H225">
        <f>G225*Inputs!B17</f>
        <v>6012.2129275704665</v>
      </c>
      <c r="I225">
        <f t="shared" si="19"/>
        <v>366717.62744387123</v>
      </c>
      <c r="J225">
        <f t="shared" si="20"/>
        <v>19082402.891925294</v>
      </c>
      <c r="K225">
        <f>B225*Inputs!B8/12</f>
        <v>8103.8002164038189</v>
      </c>
      <c r="L225">
        <f t="shared" si="21"/>
        <v>85089.902272240113</v>
      </c>
      <c r="M225">
        <f t="shared" si="22"/>
        <v>360705.41451630078</v>
      </c>
    </row>
    <row r="226" spans="1:13" x14ac:dyDescent="0.2">
      <c r="A226">
        <v>225</v>
      </c>
      <c r="B226">
        <f t="shared" si="23"/>
        <v>19082402.891925294</v>
      </c>
      <c r="C226">
        <f>IF(A226&lt;=Inputs!B7,IF(B226&gt;0,-PMT(Inputs!B6/12,Inputs!B7-A226+1,B226),0),0)</f>
        <v>300165.72926032229</v>
      </c>
      <c r="D226">
        <f>B226*Inputs!B6/12</f>
        <v>91436.513857142025</v>
      </c>
      <c r="E226">
        <f t="shared" si="18"/>
        <v>208729.21540318028</v>
      </c>
      <c r="F226">
        <f>MAX((B226-E226)*Inputs!B18,0)</f>
        <v>130688.53813790175</v>
      </c>
      <c r="G226">
        <f>MAX((B226-E226-F226)*Inputs!B19,0)</f>
        <v>23591.364647345585</v>
      </c>
      <c r="H226">
        <f>G226*Inputs!B17</f>
        <v>5897.8411618363962</v>
      </c>
      <c r="I226">
        <f t="shared" si="19"/>
        <v>363009.11818842759</v>
      </c>
      <c r="J226">
        <f t="shared" si="20"/>
        <v>18719393.773736868</v>
      </c>
      <c r="K226">
        <f>B226*Inputs!B8/12</f>
        <v>7951.001204968873</v>
      </c>
      <c r="L226">
        <f t="shared" si="21"/>
        <v>83485.512652173158</v>
      </c>
      <c r="M226">
        <f t="shared" si="22"/>
        <v>357111.27702659118</v>
      </c>
    </row>
    <row r="227" spans="1:13" x14ac:dyDescent="0.2">
      <c r="A227">
        <v>226</v>
      </c>
      <c r="B227">
        <f t="shared" si="23"/>
        <v>18719393.773736868</v>
      </c>
      <c r="C227">
        <f>IF(A227&lt;=Inputs!B7,IF(B227&gt;0,-PMT(Inputs!B6/12,Inputs!B7-A227+1,B227),0),0)</f>
        <v>297712.07130673842</v>
      </c>
      <c r="D227">
        <f>B227*Inputs!B6/12</f>
        <v>89697.095165822495</v>
      </c>
      <c r="E227">
        <f t="shared" si="18"/>
        <v>208014.97614091594</v>
      </c>
      <c r="F227">
        <f>MAX((B227-E227)*Inputs!B18,0)</f>
        <v>128179.8697719436</v>
      </c>
      <c r="G227">
        <f>MAX((B227-E227-F227)*Inputs!B19,0)</f>
        <v>23138.510012625211</v>
      </c>
      <c r="H227">
        <f>G227*Inputs!B17</f>
        <v>5784.6275031563027</v>
      </c>
      <c r="I227">
        <f t="shared" si="19"/>
        <v>359333.35592548474</v>
      </c>
      <c r="J227">
        <f t="shared" si="20"/>
        <v>18360060.417811383</v>
      </c>
      <c r="K227">
        <f>B227*Inputs!B8/12</f>
        <v>7799.747405723695</v>
      </c>
      <c r="L227">
        <f t="shared" si="21"/>
        <v>81897.347760098797</v>
      </c>
      <c r="M227">
        <f t="shared" si="22"/>
        <v>353548.72842232842</v>
      </c>
    </row>
    <row r="228" spans="1:13" x14ac:dyDescent="0.2">
      <c r="A228">
        <v>227</v>
      </c>
      <c r="B228">
        <f t="shared" si="23"/>
        <v>18360060.417811383</v>
      </c>
      <c r="C228">
        <f>IF(A228&lt;=Inputs!B7,IF(B228&gt;0,-PMT(Inputs!B6/12,Inputs!B7-A228+1,B228),0),0)</f>
        <v>295278.47039753472</v>
      </c>
      <c r="D228">
        <f>B228*Inputs!B6/12</f>
        <v>87975.289502012878</v>
      </c>
      <c r="E228">
        <f t="shared" si="18"/>
        <v>207303.18089552183</v>
      </c>
      <c r="F228">
        <f>MAX((B228-E228)*Inputs!B18,0)</f>
        <v>125696.63686703675</v>
      </c>
      <c r="G228">
        <f>MAX((B228-E228-F228)*Inputs!B19,0)</f>
        <v>22690.246884131659</v>
      </c>
      <c r="H228">
        <f>G228*Inputs!B17</f>
        <v>5672.5617210329146</v>
      </c>
      <c r="I228">
        <f t="shared" si="19"/>
        <v>355690.06464669027</v>
      </c>
      <c r="J228">
        <f t="shared" si="20"/>
        <v>18004370.353164691</v>
      </c>
      <c r="K228">
        <f>B228*Inputs!B8/12</f>
        <v>7650.0251740880767</v>
      </c>
      <c r="L228">
        <f t="shared" si="21"/>
        <v>80325.2643279248</v>
      </c>
      <c r="M228">
        <f t="shared" si="22"/>
        <v>350017.50292565738</v>
      </c>
    </row>
    <row r="229" spans="1:13" x14ac:dyDescent="0.2">
      <c r="A229">
        <v>228</v>
      </c>
      <c r="B229">
        <f t="shared" si="23"/>
        <v>18004370.353164691</v>
      </c>
      <c r="C229">
        <f>IF(A229&lt;=Inputs!B7,IF(B229&gt;0,-PMT(Inputs!B6/12,Inputs!B7-A229+1,B229),0),0)</f>
        <v>292864.76257952908</v>
      </c>
      <c r="D229">
        <f>B229*Inputs!B6/12</f>
        <v>86270.941275580815</v>
      </c>
      <c r="E229">
        <f t="shared" si="18"/>
        <v>206593.82130394827</v>
      </c>
      <c r="F229">
        <f>MAX((B229-E229)*Inputs!B18,0)</f>
        <v>123238.61463957161</v>
      </c>
      <c r="G229">
        <f>MAX((B229-E229-F229)*Inputs!B19,0)</f>
        <v>22246.534684839764</v>
      </c>
      <c r="H229">
        <f>G229*Inputs!B17</f>
        <v>5561.633671209941</v>
      </c>
      <c r="I229">
        <f t="shared" si="19"/>
        <v>352078.97062835965</v>
      </c>
      <c r="J229">
        <f t="shared" si="20"/>
        <v>17652291.382536333</v>
      </c>
      <c r="K229">
        <f>B229*Inputs!B8/12</f>
        <v>7501.8209804852886</v>
      </c>
      <c r="L229">
        <f t="shared" si="21"/>
        <v>78769.120295095519</v>
      </c>
      <c r="M229">
        <f t="shared" si="22"/>
        <v>346517.33695714973</v>
      </c>
    </row>
    <row r="230" spans="1:13" x14ac:dyDescent="0.2">
      <c r="A230">
        <v>229</v>
      </c>
      <c r="B230">
        <f t="shared" si="23"/>
        <v>17652291.382536333</v>
      </c>
      <c r="C230">
        <f>IF(A230&lt;=Inputs!B7,IF(B230&gt;0,-PMT(Inputs!B6/12,Inputs!B7-A230+1,B230),0),0)</f>
        <v>290470.78523974918</v>
      </c>
      <c r="D230">
        <f>B230*Inputs!B6/12</f>
        <v>84583.896207986603</v>
      </c>
      <c r="E230">
        <f t="shared" si="18"/>
        <v>205886.88903176258</v>
      </c>
      <c r="F230">
        <f>MAX((B230-E230)*Inputs!B18,0)</f>
        <v>120805.58020110796</v>
      </c>
      <c r="G230">
        <f>MAX((B230-E230-F230)*Inputs!B19,0)</f>
        <v>21807.333179832654</v>
      </c>
      <c r="H230">
        <f>G230*Inputs!B17</f>
        <v>5451.8332949581636</v>
      </c>
      <c r="I230">
        <f t="shared" si="19"/>
        <v>348499.80241270323</v>
      </c>
      <c r="J230">
        <f t="shared" si="20"/>
        <v>17303791.580123629</v>
      </c>
      <c r="K230">
        <f>B230*Inputs!B8/12</f>
        <v>7355.121409390139</v>
      </c>
      <c r="L230">
        <f t="shared" si="21"/>
        <v>77228.774798596467</v>
      </c>
      <c r="M230">
        <f t="shared" si="22"/>
        <v>343047.96911774506</v>
      </c>
    </row>
    <row r="231" spans="1:13" x14ac:dyDescent="0.2">
      <c r="A231">
        <v>230</v>
      </c>
      <c r="B231">
        <f t="shared" si="23"/>
        <v>17303791.580123629</v>
      </c>
      <c r="C231">
        <f>IF(A231&lt;=Inputs!B7,IF(B231&gt;0,-PMT(Inputs!B6/12,Inputs!B7-A231+1,B231),0),0)</f>
        <v>288096.37709447707</v>
      </c>
      <c r="D231">
        <f>B231*Inputs!B6/12</f>
        <v>82914.001321425734</v>
      </c>
      <c r="E231">
        <f t="shared" si="18"/>
        <v>205182.37577305135</v>
      </c>
      <c r="F231">
        <f>MAX((B231-E231)*Inputs!B18,0)</f>
        <v>118397.3125426857</v>
      </c>
      <c r="G231">
        <f>MAX((B231-E231-F231)*Inputs!B19,0)</f>
        <v>21372.602473469575</v>
      </c>
      <c r="H231">
        <f>G231*Inputs!B17</f>
        <v>5343.1506183673937</v>
      </c>
      <c r="I231">
        <f t="shared" si="19"/>
        <v>344952.29078920663</v>
      </c>
      <c r="J231">
        <f t="shared" si="20"/>
        <v>16958839.289334424</v>
      </c>
      <c r="K231">
        <f>B231*Inputs!B8/12</f>
        <v>7209.9131583848457</v>
      </c>
      <c r="L231">
        <f t="shared" si="21"/>
        <v>75704.088163040884</v>
      </c>
      <c r="M231">
        <f t="shared" si="22"/>
        <v>339609.14017083921</v>
      </c>
    </row>
    <row r="232" spans="1:13" x14ac:dyDescent="0.2">
      <c r="A232">
        <v>231</v>
      </c>
      <c r="B232">
        <f t="shared" si="23"/>
        <v>16958839.289334424</v>
      </c>
      <c r="C232">
        <f>IF(A232&lt;=Inputs!B7,IF(B232&gt;0,-PMT(Inputs!B6/12,Inputs!B7-A232+1,B232),0),0)</f>
        <v>285741.37817838328</v>
      </c>
      <c r="D232">
        <f>B232*Inputs!B6/12</f>
        <v>81261.104928060784</v>
      </c>
      <c r="E232">
        <f t="shared" si="18"/>
        <v>204480.2732503225</v>
      </c>
      <c r="F232">
        <f>MAX((B232-E232)*Inputs!B18,0)</f>
        <v>116013.59251926449</v>
      </c>
      <c r="G232">
        <f>MAX((B232-E232-F232)*Inputs!B19,0)</f>
        <v>20942.303006577</v>
      </c>
      <c r="H232">
        <f>G232*Inputs!B17</f>
        <v>5235.57575164425</v>
      </c>
      <c r="I232">
        <f t="shared" si="19"/>
        <v>341436.16877616401</v>
      </c>
      <c r="J232">
        <f t="shared" si="20"/>
        <v>16617403.12055826</v>
      </c>
      <c r="K232">
        <f>B232*Inputs!B8/12</f>
        <v>7066.1830372226768</v>
      </c>
      <c r="L232">
        <f t="shared" si="21"/>
        <v>74194.921890838101</v>
      </c>
      <c r="M232">
        <f t="shared" si="22"/>
        <v>336200.59302451974</v>
      </c>
    </row>
    <row r="233" spans="1:13" x14ac:dyDescent="0.2">
      <c r="A233">
        <v>232</v>
      </c>
      <c r="B233">
        <f t="shared" si="23"/>
        <v>16617403.12055826</v>
      </c>
      <c r="C233">
        <f>IF(A233&lt;=Inputs!B7,IF(B233&gt;0,-PMT(Inputs!B6/12,Inputs!B7-A233+1,B233),0),0)</f>
        <v>283405.62983375008</v>
      </c>
      <c r="D233">
        <f>B233*Inputs!B6/12</f>
        <v>79625.056619341674</v>
      </c>
      <c r="E233">
        <f t="shared" si="18"/>
        <v>203780.57321440842</v>
      </c>
      <c r="F233">
        <f>MAX((B233-E233)*Inputs!B18,0)</f>
        <v>113654.20283429143</v>
      </c>
      <c r="G233">
        <f>MAX((B233-E233-F233)*Inputs!B19,0)</f>
        <v>20516.395553662864</v>
      </c>
      <c r="H233">
        <f>G233*Inputs!B17</f>
        <v>5129.0988884157159</v>
      </c>
      <c r="I233">
        <f t="shared" si="19"/>
        <v>337951.17160236271</v>
      </c>
      <c r="J233">
        <f t="shared" si="20"/>
        <v>16279451.948955897</v>
      </c>
      <c r="K233">
        <f>B233*Inputs!B8/12</f>
        <v>6923.9179668992756</v>
      </c>
      <c r="L233">
        <f t="shared" si="21"/>
        <v>72701.138652442402</v>
      </c>
      <c r="M233">
        <f t="shared" si="22"/>
        <v>332822.07271394698</v>
      </c>
    </row>
    <row r="234" spans="1:13" x14ac:dyDescent="0.2">
      <c r="A234">
        <v>233</v>
      </c>
      <c r="B234">
        <f t="shared" si="23"/>
        <v>16279451.948955897</v>
      </c>
      <c r="C234">
        <f>IF(A234&lt;=Inputs!B7,IF(B234&gt;0,-PMT(Inputs!B6/12,Inputs!B7-A234+1,B234),0),0)</f>
        <v>281088.9746997825</v>
      </c>
      <c r="D234">
        <f>B234*Inputs!B6/12</f>
        <v>78005.707255413683</v>
      </c>
      <c r="E234">
        <f t="shared" si="18"/>
        <v>203083.2674443688</v>
      </c>
      <c r="F234">
        <f>MAX((B234-E234)*Inputs!B18,0)</f>
        <v>111318.92802439527</v>
      </c>
      <c r="G234">
        <f>MAX((B234-E234-F234)*Inputs!B19,0)</f>
        <v>20094.841220153619</v>
      </c>
      <c r="H234">
        <f>G234*Inputs!B17</f>
        <v>5023.7103050384048</v>
      </c>
      <c r="I234">
        <f t="shared" si="19"/>
        <v>334497.03668891767</v>
      </c>
      <c r="J234">
        <f t="shared" si="20"/>
        <v>15944954.912266979</v>
      </c>
      <c r="K234">
        <f>B234*Inputs!B8/12</f>
        <v>6783.1049787316233</v>
      </c>
      <c r="L234">
        <f t="shared" si="21"/>
        <v>71222.602276682053</v>
      </c>
      <c r="M234">
        <f t="shared" si="22"/>
        <v>329473.32638387923</v>
      </c>
    </row>
    <row r="235" spans="1:13" x14ac:dyDescent="0.2">
      <c r="A235">
        <v>234</v>
      </c>
      <c r="B235">
        <f t="shared" si="23"/>
        <v>15944954.912266979</v>
      </c>
      <c r="C235">
        <f>IF(A235&lt;=Inputs!B7,IF(B235&gt;0,-PMT(Inputs!B6/12,Inputs!B7-A235+1,B235),0),0)</f>
        <v>278791.25670200697</v>
      </c>
      <c r="D235">
        <f>B235*Inputs!B6/12</f>
        <v>76402.908954612605</v>
      </c>
      <c r="E235">
        <f t="shared" si="18"/>
        <v>202388.34774739435</v>
      </c>
      <c r="F235">
        <f>MAX((B235-E235)*Inputs!B18,0)</f>
        <v>109007.55444420667</v>
      </c>
      <c r="G235">
        <f>MAX((B235-E235-F235)*Inputs!B19,0)</f>
        <v>19677.601439654034</v>
      </c>
      <c r="H235">
        <f>G235*Inputs!B17</f>
        <v>4919.4003599135085</v>
      </c>
      <c r="I235">
        <f t="shared" si="19"/>
        <v>331073.50363125501</v>
      </c>
      <c r="J235">
        <f t="shared" si="20"/>
        <v>15613881.408635724</v>
      </c>
      <c r="K235">
        <f>B235*Inputs!B8/12</f>
        <v>6643.7312134445747</v>
      </c>
      <c r="L235">
        <f t="shared" si="21"/>
        <v>69759.177741168038</v>
      </c>
      <c r="M235">
        <f t="shared" si="22"/>
        <v>326154.10327134148</v>
      </c>
    </row>
    <row r="236" spans="1:13" x14ac:dyDescent="0.2">
      <c r="A236">
        <v>235</v>
      </c>
      <c r="B236">
        <f t="shared" si="23"/>
        <v>15613881.408635724</v>
      </c>
      <c r="C236">
        <f>IF(A236&lt;=Inputs!B7,IF(B236&gt;0,-PMT(Inputs!B6/12,Inputs!B7-A236+1,B236),0),0)</f>
        <v>276512.32104175619</v>
      </c>
      <c r="D236">
        <f>B236*Inputs!B6/12</f>
        <v>74816.515083046179</v>
      </c>
      <c r="E236">
        <f t="shared" si="18"/>
        <v>201695.80595871003</v>
      </c>
      <c r="F236">
        <f>MAX((B236-E236)*Inputs!B18,0)</f>
        <v>106719.87025130313</v>
      </c>
      <c r="G236">
        <f>MAX((B236-E236-F236)*Inputs!B19,0)</f>
        <v>19264.637971229527</v>
      </c>
      <c r="H236">
        <f>G236*Inputs!B17</f>
        <v>4816.1594928073819</v>
      </c>
      <c r="I236">
        <f t="shared" si="19"/>
        <v>327680.31418124266</v>
      </c>
      <c r="J236">
        <f t="shared" si="20"/>
        <v>15286201.094454482</v>
      </c>
      <c r="K236">
        <f>B236*Inputs!B8/12</f>
        <v>6505.7839202648856</v>
      </c>
      <c r="L236">
        <f t="shared" si="21"/>
        <v>68310.731162781289</v>
      </c>
      <c r="M236">
        <f t="shared" si="22"/>
        <v>322864.15468843526</v>
      </c>
    </row>
    <row r="237" spans="1:13" x14ac:dyDescent="0.2">
      <c r="A237">
        <v>236</v>
      </c>
      <c r="B237">
        <f t="shared" si="23"/>
        <v>15286201.094454482</v>
      </c>
      <c r="C237">
        <f>IF(A237&lt;=Inputs!B7,IF(B237&gt;0,-PMT(Inputs!B6/12,Inputs!B7-A237+1,B237),0),0)</f>
        <v>274252.0141857405</v>
      </c>
      <c r="D237">
        <f>B237*Inputs!B6/12</f>
        <v>73246.380244261061</v>
      </c>
      <c r="E237">
        <f t="shared" si="18"/>
        <v>201005.63394147943</v>
      </c>
      <c r="F237">
        <f>MAX((B237-E237)*Inputs!B18,0)</f>
        <v>104455.66539127749</v>
      </c>
      <c r="G237">
        <f>MAX((B237-E237-F237)*Inputs!B19,0)</f>
        <v>18855.912896710804</v>
      </c>
      <c r="H237">
        <f>G237*Inputs!B17</f>
        <v>4713.9782241777011</v>
      </c>
      <c r="I237">
        <f t="shared" si="19"/>
        <v>324317.2122294677</v>
      </c>
      <c r="J237">
        <f t="shared" si="20"/>
        <v>14961883.882225014</v>
      </c>
      <c r="K237">
        <f>B237*Inputs!B8/12</f>
        <v>6369.2504560227017</v>
      </c>
      <c r="L237">
        <f t="shared" si="21"/>
        <v>66877.129788238366</v>
      </c>
      <c r="M237">
        <f t="shared" si="22"/>
        <v>319603.23400528997</v>
      </c>
    </row>
    <row r="238" spans="1:13" x14ac:dyDescent="0.2">
      <c r="A238">
        <v>237</v>
      </c>
      <c r="B238">
        <f t="shared" si="23"/>
        <v>14961883.882225014</v>
      </c>
      <c r="C238">
        <f>IF(A238&lt;=Inputs!B7,IF(B238&gt;0,-PMT(Inputs!B6/12,Inputs!B7-A238+1,B238),0),0)</f>
        <v>272010.18385570432</v>
      </c>
      <c r="D238">
        <f>B238*Inputs!B6/12</f>
        <v>71692.36026899486</v>
      </c>
      <c r="E238">
        <f t="shared" si="18"/>
        <v>200317.82358670945</v>
      </c>
      <c r="F238">
        <f>MAX((B238-E238)*Inputs!B18,0)</f>
        <v>102214.73158292939</v>
      </c>
      <c r="G238">
        <f>MAX((B238-E238-F238)*Inputs!B19,0)</f>
        <v>18451.388618020657</v>
      </c>
      <c r="H238">
        <f>G238*Inputs!B17</f>
        <v>4612.8471545051643</v>
      </c>
      <c r="I238">
        <f t="shared" si="19"/>
        <v>320983.94378765946</v>
      </c>
      <c r="J238">
        <f t="shared" si="20"/>
        <v>14640899.938437356</v>
      </c>
      <c r="K238">
        <f>B238*Inputs!B8/12</f>
        <v>6234.1182842604221</v>
      </c>
      <c r="L238">
        <f t="shared" si="21"/>
        <v>65458.241984734435</v>
      </c>
      <c r="M238">
        <f t="shared" si="22"/>
        <v>316371.09663315432</v>
      </c>
    </row>
    <row r="239" spans="1:13" x14ac:dyDescent="0.2">
      <c r="A239">
        <v>238</v>
      </c>
      <c r="B239">
        <f t="shared" si="23"/>
        <v>14640899.938437356</v>
      </c>
      <c r="C239">
        <f>IF(A239&lt;=Inputs!B7,IF(B239&gt;0,-PMT(Inputs!B6/12,Inputs!B7-A239+1,B239),0),0)</f>
        <v>269786.67901816661</v>
      </c>
      <c r="D239">
        <f>B239*Inputs!B6/12</f>
        <v>70154.312205012335</v>
      </c>
      <c r="E239">
        <f t="shared" si="18"/>
        <v>199632.36681315428</v>
      </c>
      <c r="F239">
        <f>MAX((B239-E239)*Inputs!B18,0)</f>
        <v>99996.862303578353</v>
      </c>
      <c r="G239">
        <f>MAX((B239-E239-F239)*Inputs!B19,0)</f>
        <v>18051.027854522745</v>
      </c>
      <c r="H239">
        <f>G239*Inputs!B17</f>
        <v>4512.7569636306862</v>
      </c>
      <c r="I239">
        <f t="shared" si="19"/>
        <v>317680.25697125535</v>
      </c>
      <c r="J239">
        <f t="shared" si="20"/>
        <v>14323219.681466101</v>
      </c>
      <c r="K239">
        <f>B239*Inputs!B8/12</f>
        <v>6100.3749743488988</v>
      </c>
      <c r="L239">
        <f t="shared" si="21"/>
        <v>64053.937230663432</v>
      </c>
      <c r="M239">
        <f t="shared" si="22"/>
        <v>313167.50000762468</v>
      </c>
    </row>
    <row r="240" spans="1:13" x14ac:dyDescent="0.2">
      <c r="A240">
        <v>239</v>
      </c>
      <c r="B240">
        <f t="shared" si="23"/>
        <v>14323219.681466101</v>
      </c>
      <c r="C240">
        <f>IF(A240&lt;=Inputs!B7,IF(B240&gt;0,-PMT(Inputs!B6/12,Inputs!B7-A240+1,B240),0),0)</f>
        <v>267581.34987424617</v>
      </c>
      <c r="D240">
        <f>B240*Inputs!B6/12</f>
        <v>68632.094307025065</v>
      </c>
      <c r="E240">
        <f t="shared" si="18"/>
        <v>198949.25556722109</v>
      </c>
      <c r="F240">
        <f>MAX((B240-E240)*Inputs!B18,0)</f>
        <v>97801.852774497442</v>
      </c>
      <c r="G240">
        <f>MAX((B240-E240-F240)*Inputs!B19,0)</f>
        <v>17654.793640392163</v>
      </c>
      <c r="H240">
        <f>G240*Inputs!B17</f>
        <v>4413.6984100980408</v>
      </c>
      <c r="I240">
        <f t="shared" si="19"/>
        <v>314405.90198211069</v>
      </c>
      <c r="J240">
        <f t="shared" si="20"/>
        <v>14008813.779483991</v>
      </c>
      <c r="K240">
        <f>B240*Inputs!B8/12</f>
        <v>5968.0082006108751</v>
      </c>
      <c r="L240">
        <f t="shared" si="21"/>
        <v>62664.086106414194</v>
      </c>
      <c r="M240">
        <f t="shared" si="22"/>
        <v>309992.20357201266</v>
      </c>
    </row>
    <row r="241" spans="1:13" x14ac:dyDescent="0.2">
      <c r="A241">
        <v>240</v>
      </c>
      <c r="B241">
        <f t="shared" si="23"/>
        <v>14008813.779483991</v>
      </c>
      <c r="C241">
        <f>IF(A241&lt;=Inputs!B7,IF(B241&gt;0,-PMT(Inputs!B6/12,Inputs!B7-A241+1,B241),0),0)</f>
        <v>265394.04784956953</v>
      </c>
      <c r="D241">
        <f>B241*Inputs!B6/12</f>
        <v>67125.566026694127</v>
      </c>
      <c r="E241">
        <f t="shared" si="18"/>
        <v>198268.48182287539</v>
      </c>
      <c r="F241">
        <f>MAX((B241-E241)*Inputs!B18,0)</f>
        <v>95629.499946466851</v>
      </c>
      <c r="G241">
        <f>MAX((B241-E241-F241)*Inputs!B19,0)</f>
        <v>17262.649322007604</v>
      </c>
      <c r="H241">
        <f>G241*Inputs!B17</f>
        <v>4315.6623305019011</v>
      </c>
      <c r="I241">
        <f t="shared" si="19"/>
        <v>311160.63109134982</v>
      </c>
      <c r="J241">
        <f t="shared" si="20"/>
        <v>13697653.14839264</v>
      </c>
      <c r="K241">
        <f>B241*Inputs!B8/12</f>
        <v>5837.0057414516632</v>
      </c>
      <c r="L241">
        <f t="shared" si="21"/>
        <v>61288.560285242464</v>
      </c>
      <c r="M241">
        <f t="shared" si="22"/>
        <v>306844.96876084793</v>
      </c>
    </row>
    <row r="242" spans="1:13" x14ac:dyDescent="0.2">
      <c r="A242">
        <v>241</v>
      </c>
      <c r="B242">
        <f t="shared" si="23"/>
        <v>13697653.14839264</v>
      </c>
      <c r="C242">
        <f>IF(A242&lt;=Inputs!B7,IF(B242&gt;0,-PMT(Inputs!B6/12,Inputs!B7-A242+1,B242),0),0)</f>
        <v>263224.62558426097</v>
      </c>
      <c r="D242">
        <f>B242*Inputs!B6/12</f>
        <v>65634.588002714736</v>
      </c>
      <c r="E242">
        <f t="shared" si="18"/>
        <v>197590.03758154623</v>
      </c>
      <c r="F242">
        <f>MAX((B242-E242)*Inputs!B18,0)</f>
        <v>93479.602485446158</v>
      </c>
      <c r="G242">
        <f>MAX((B242-E242-F242)*Inputs!B19,0)</f>
        <v>16874.558555364983</v>
      </c>
      <c r="H242">
        <f>G242*Inputs!B17</f>
        <v>4218.6396388412459</v>
      </c>
      <c r="I242">
        <f t="shared" si="19"/>
        <v>307944.19862235733</v>
      </c>
      <c r="J242">
        <f t="shared" si="20"/>
        <v>13389708.949770283</v>
      </c>
      <c r="K242">
        <f>B242*Inputs!B8/12</f>
        <v>5707.3554784969338</v>
      </c>
      <c r="L242">
        <f t="shared" si="21"/>
        <v>59927.232524217805</v>
      </c>
      <c r="M242">
        <f t="shared" si="22"/>
        <v>303725.55898351606</v>
      </c>
    </row>
    <row r="243" spans="1:13" x14ac:dyDescent="0.2">
      <c r="A243">
        <v>242</v>
      </c>
      <c r="B243">
        <f t="shared" si="23"/>
        <v>13389708.949770283</v>
      </c>
      <c r="C243">
        <f>IF(A243&lt;=Inputs!B7,IF(B243&gt;0,-PMT(Inputs!B6/12,Inputs!B7-A243+1,B243),0),0)</f>
        <v>261072.93692301531</v>
      </c>
      <c r="D243">
        <f>B243*Inputs!B6/12</f>
        <v>64159.02205098261</v>
      </c>
      <c r="E243">
        <f t="shared" si="18"/>
        <v>196913.91487203271</v>
      </c>
      <c r="F243">
        <f>MAX((B243-E243)*Inputs!B18,0)</f>
        <v>91351.960758364265</v>
      </c>
      <c r="G243">
        <f>MAX((B243-E243-F243)*Inputs!B19,0)</f>
        <v>16490.485303512305</v>
      </c>
      <c r="H243">
        <f>G243*Inputs!B17</f>
        <v>4122.6213258780763</v>
      </c>
      <c r="I243">
        <f t="shared" si="19"/>
        <v>304756.36093390931</v>
      </c>
      <c r="J243">
        <f t="shared" si="20"/>
        <v>13084952.588836374</v>
      </c>
      <c r="K243">
        <f>B243*Inputs!B8/12</f>
        <v>5579.0453957376185</v>
      </c>
      <c r="L243">
        <f t="shared" si="21"/>
        <v>58579.976655244995</v>
      </c>
      <c r="M243">
        <f t="shared" si="22"/>
        <v>300633.73960803123</v>
      </c>
    </row>
    <row r="244" spans="1:13" x14ac:dyDescent="0.2">
      <c r="A244">
        <v>243</v>
      </c>
      <c r="B244">
        <f t="shared" si="23"/>
        <v>13084952.588836374</v>
      </c>
      <c r="C244">
        <f>IF(A244&lt;=Inputs!B7,IF(B244&gt;0,-PMT(Inputs!B6/12,Inputs!B7-A244+1,B244),0),0)</f>
        <v>258938.83690525108</v>
      </c>
      <c r="D244">
        <f>B244*Inputs!B6/12</f>
        <v>62698.731154840963</v>
      </c>
      <c r="E244">
        <f t="shared" si="18"/>
        <v>196240.10575041012</v>
      </c>
      <c r="F244">
        <f>MAX((B244-E244)*Inputs!B18,0)</f>
        <v>89246.376819026322</v>
      </c>
      <c r="G244">
        <f>MAX((B244-E244-F244)*Inputs!B19,0)</f>
        <v>16110.393834005616</v>
      </c>
      <c r="H244">
        <f>G244*Inputs!B17</f>
        <v>4027.5984585014039</v>
      </c>
      <c r="I244">
        <f t="shared" si="19"/>
        <v>301596.87640344206</v>
      </c>
      <c r="J244">
        <f t="shared" si="20"/>
        <v>12783355.712432932</v>
      </c>
      <c r="K244">
        <f>B244*Inputs!B8/12</f>
        <v>5452.0635786818229</v>
      </c>
      <c r="L244">
        <f t="shared" si="21"/>
        <v>57246.66757615914</v>
      </c>
      <c r="M244">
        <f t="shared" si="22"/>
        <v>297569.27794494067</v>
      </c>
    </row>
    <row r="245" spans="1:13" x14ac:dyDescent="0.2">
      <c r="A245">
        <v>244</v>
      </c>
      <c r="B245">
        <f t="shared" si="23"/>
        <v>12783355.712432932</v>
      </c>
      <c r="C245">
        <f>IF(A245&lt;=Inputs!B7,IF(B245&gt;0,-PMT(Inputs!B6/12,Inputs!B7-A245+1,B245),0),0)</f>
        <v>256822.18175534447</v>
      </c>
      <c r="D245">
        <f>B245*Inputs!B6/12</f>
        <v>61253.579455407802</v>
      </c>
      <c r="E245">
        <f t="shared" si="18"/>
        <v>195568.60229993667</v>
      </c>
      <c r="F245">
        <f>MAX((B245-E245)*Inputs!B18,0)</f>
        <v>87162.654394136262</v>
      </c>
      <c r="G245">
        <f>MAX((B245-E245-F245)*Inputs!B19,0)</f>
        <v>15734.248716385879</v>
      </c>
      <c r="H245">
        <f>G245*Inputs!B17</f>
        <v>3933.5621790964697</v>
      </c>
      <c r="I245">
        <f t="shared" si="19"/>
        <v>298465.50541045878</v>
      </c>
      <c r="J245">
        <f t="shared" si="20"/>
        <v>12484890.207022473</v>
      </c>
      <c r="K245">
        <f>B245*Inputs!B8/12</f>
        <v>5326.3982135137221</v>
      </c>
      <c r="L245">
        <f t="shared" si="21"/>
        <v>55927.181241894083</v>
      </c>
      <c r="M245">
        <f t="shared" si="22"/>
        <v>294531.94323136233</v>
      </c>
    </row>
    <row r="246" spans="1:13" x14ac:dyDescent="0.2">
      <c r="A246">
        <v>245</v>
      </c>
      <c r="B246">
        <f t="shared" si="23"/>
        <v>12484890.207022473</v>
      </c>
      <c r="C246">
        <f>IF(A246&lt;=Inputs!B7,IF(B246&gt;0,-PMT(Inputs!B6/12,Inputs!B7-A246+1,B246),0),0)</f>
        <v>254722.82887294318</v>
      </c>
      <c r="D246">
        <f>B246*Inputs!B6/12</f>
        <v>59823.432241982686</v>
      </c>
      <c r="E246">
        <f t="shared" si="18"/>
        <v>194899.39663096049</v>
      </c>
      <c r="F246">
        <f>MAX((B246-E246)*Inputs!B18,0)</f>
        <v>85100.5988694345</v>
      </c>
      <c r="G246">
        <f>MAX((B246-E246-F246)*Inputs!B19,0)</f>
        <v>15362.014819676582</v>
      </c>
      <c r="H246">
        <f>G246*Inputs!B17</f>
        <v>3840.5037049191455</v>
      </c>
      <c r="I246">
        <f t="shared" si="19"/>
        <v>295362.01032007154</v>
      </c>
      <c r="J246">
        <f t="shared" si="20"/>
        <v>12189528.196702402</v>
      </c>
      <c r="K246">
        <f>B246*Inputs!B8/12</f>
        <v>5202.0375862593637</v>
      </c>
      <c r="L246">
        <f t="shared" si="21"/>
        <v>54621.394655723321</v>
      </c>
      <c r="M246">
        <f t="shared" si="22"/>
        <v>291521.50661515241</v>
      </c>
    </row>
    <row r="247" spans="1:13" x14ac:dyDescent="0.2">
      <c r="A247">
        <v>246</v>
      </c>
      <c r="B247">
        <f t="shared" si="23"/>
        <v>12189528.196702402</v>
      </c>
      <c r="C247">
        <f>IF(A247&lt;=Inputs!B7,IF(B247&gt;0,-PMT(Inputs!B6/12,Inputs!B7-A247+1,B247),0),0)</f>
        <v>252640.63682335895</v>
      </c>
      <c r="D247">
        <f>B247*Inputs!B6/12</f>
        <v>58408.15594253235</v>
      </c>
      <c r="E247">
        <f t="shared" si="18"/>
        <v>194232.4808808266</v>
      </c>
      <c r="F247">
        <f>MAX((B247-E247)*Inputs!B18,0)</f>
        <v>83060.017275949358</v>
      </c>
      <c r="G247">
        <f>MAX((B247-E247-F247)*Inputs!B19,0)</f>
        <v>14993.657309901912</v>
      </c>
      <c r="H247">
        <f>G247*Inputs!B17</f>
        <v>3748.4143274754779</v>
      </c>
      <c r="I247">
        <f t="shared" si="19"/>
        <v>292286.15546667785</v>
      </c>
      <c r="J247">
        <f t="shared" si="20"/>
        <v>11897242.041235724</v>
      </c>
      <c r="K247">
        <f>B247*Inputs!B8/12</f>
        <v>5078.9700819593345</v>
      </c>
      <c r="L247">
        <f t="shared" si="21"/>
        <v>53329.185860573016</v>
      </c>
      <c r="M247">
        <f t="shared" si="22"/>
        <v>288537.74113920238</v>
      </c>
    </row>
    <row r="248" spans="1:13" x14ac:dyDescent="0.2">
      <c r="A248">
        <v>247</v>
      </c>
      <c r="B248">
        <f t="shared" si="23"/>
        <v>11897242.041235724</v>
      </c>
      <c r="C248">
        <f>IF(A248&lt;=Inputs!B7,IF(B248&gt;0,-PMT(Inputs!B6/12,Inputs!B7-A248+1,B248),0),0)</f>
        <v>250575.46532803969</v>
      </c>
      <c r="D248">
        <f>B248*Inputs!B6/12</f>
        <v>57007.618114254517</v>
      </c>
      <c r="E248">
        <f t="shared" si="18"/>
        <v>193567.84721378516</v>
      </c>
      <c r="F248">
        <f>MAX((B248-E248)*Inputs!B18,0)</f>
        <v>81040.718276361731</v>
      </c>
      <c r="G248">
        <f>MAX((B248-E248-F248)*Inputs!B19,0)</f>
        <v>14629.141647625358</v>
      </c>
      <c r="H248">
        <f>G248*Inputs!B17</f>
        <v>3657.2854119063395</v>
      </c>
      <c r="I248">
        <f t="shared" si="19"/>
        <v>289237.70713777223</v>
      </c>
      <c r="J248">
        <f t="shared" si="20"/>
        <v>11608004.334097952</v>
      </c>
      <c r="K248">
        <f>B248*Inputs!B8/12</f>
        <v>4957.1841838482187</v>
      </c>
      <c r="L248">
        <f t="shared" si="21"/>
        <v>52050.433930406296</v>
      </c>
      <c r="M248">
        <f t="shared" si="22"/>
        <v>285580.42172586592</v>
      </c>
    </row>
    <row r="249" spans="1:13" x14ac:dyDescent="0.2">
      <c r="A249">
        <v>248</v>
      </c>
      <c r="B249">
        <f t="shared" si="23"/>
        <v>11608004.334097952</v>
      </c>
      <c r="C249">
        <f>IF(A249&lt;=Inputs!B7,IF(B249&gt;0,-PMT(Inputs!B6/12,Inputs!B7-A249+1,B249),0),0)</f>
        <v>248527.17525511835</v>
      </c>
      <c r="D249">
        <f>B249*Inputs!B6/12</f>
        <v>55621.687434219355</v>
      </c>
      <c r="E249">
        <f t="shared" si="18"/>
        <v>192905.487820899</v>
      </c>
      <c r="F249">
        <f>MAX((B249-E249)*Inputs!B18,0)</f>
        <v>79042.512151481569</v>
      </c>
      <c r="G249">
        <f>MAX((B249-E249-F249)*Inputs!B19,0)</f>
        <v>14268.433585508501</v>
      </c>
      <c r="H249">
        <f>G249*Inputs!B17</f>
        <v>3567.1083963771252</v>
      </c>
      <c r="I249">
        <f t="shared" si="19"/>
        <v>286216.43355788908</v>
      </c>
      <c r="J249">
        <f t="shared" si="20"/>
        <v>11321787.900540063</v>
      </c>
      <c r="K249">
        <f>B249*Inputs!B8/12</f>
        <v>4836.6684725408131</v>
      </c>
      <c r="L249">
        <f t="shared" si="21"/>
        <v>50785.018961678543</v>
      </c>
      <c r="M249">
        <f t="shared" si="22"/>
        <v>282649.32516151195</v>
      </c>
    </row>
    <row r="250" spans="1:13" x14ac:dyDescent="0.2">
      <c r="A250">
        <v>249</v>
      </c>
      <c r="B250">
        <f t="shared" si="23"/>
        <v>11321787.900540063</v>
      </c>
      <c r="C250">
        <f>IF(A250&lt;=Inputs!B7,IF(B250&gt;0,-PMT(Inputs!B6/12,Inputs!B7-A250+1,B250),0),0)</f>
        <v>246495.62861003942</v>
      </c>
      <c r="D250">
        <f>B250*Inputs!B6/12</f>
        <v>54250.233690087807</v>
      </c>
      <c r="E250">
        <f t="shared" si="18"/>
        <v>192245.39491995162</v>
      </c>
      <c r="F250">
        <f>MAX((B250-E250)*Inputs!B18,0)</f>
        <v>77065.210786835887</v>
      </c>
      <c r="G250">
        <f>MAX((B250-E250-F250)*Inputs!B19,0)</f>
        <v>13911.49916588994</v>
      </c>
      <c r="H250">
        <f>G250*Inputs!B17</f>
        <v>3477.874791472485</v>
      </c>
      <c r="I250">
        <f t="shared" si="19"/>
        <v>283222.10487267742</v>
      </c>
      <c r="J250">
        <f t="shared" si="20"/>
        <v>11038565.795667386</v>
      </c>
      <c r="K250">
        <f>B250*Inputs!B8/12</f>
        <v>4717.4116252250269</v>
      </c>
      <c r="L250">
        <f t="shared" si="21"/>
        <v>49532.822064862783</v>
      </c>
      <c r="M250">
        <f t="shared" si="22"/>
        <v>279744.23008120491</v>
      </c>
    </row>
    <row r="251" spans="1:13" x14ac:dyDescent="0.2">
      <c r="A251">
        <v>250</v>
      </c>
      <c r="B251">
        <f t="shared" si="23"/>
        <v>11038565.795667386</v>
      </c>
      <c r="C251">
        <f>IF(A251&lt;=Inputs!B7,IF(B251&gt;0,-PMT(Inputs!B6/12,Inputs!B7-A251+1,B251),0),0)</f>
        <v>244480.68852626273</v>
      </c>
      <c r="D251">
        <f>B251*Inputs!B6/12</f>
        <v>52893.127770906227</v>
      </c>
      <c r="E251">
        <f t="shared" si="18"/>
        <v>191587.56075535651</v>
      </c>
      <c r="F251">
        <f>MAX((B251-E251)*Inputs!B18,0)</f>
        <v>75108.627659366743</v>
      </c>
      <c r="G251">
        <f>MAX((B251-E251-F251)*Inputs!B19,0)</f>
        <v>13558.304718384052</v>
      </c>
      <c r="H251">
        <f>G251*Inputs!B17</f>
        <v>3389.5761795960129</v>
      </c>
      <c r="I251">
        <f t="shared" si="19"/>
        <v>280254.49313310732</v>
      </c>
      <c r="J251">
        <f t="shared" si="20"/>
        <v>10758311.302534278</v>
      </c>
      <c r="K251">
        <f>B251*Inputs!B8/12</f>
        <v>4599.4024148614108</v>
      </c>
      <c r="L251">
        <f t="shared" si="21"/>
        <v>48293.725356044815</v>
      </c>
      <c r="M251">
        <f t="shared" si="22"/>
        <v>276864.9169535113</v>
      </c>
    </row>
    <row r="252" spans="1:13" x14ac:dyDescent="0.2">
      <c r="A252">
        <v>251</v>
      </c>
      <c r="B252">
        <f t="shared" si="23"/>
        <v>10758311.302534278</v>
      </c>
      <c r="C252">
        <f>IF(A252&lt;=Inputs!B7,IF(B252&gt;0,-PMT(Inputs!B6/12,Inputs!B7-A252+1,B252),0),0)</f>
        <v>242482.21925604207</v>
      </c>
      <c r="D252">
        <f>B252*Inputs!B6/12</f>
        <v>51550.241657976752</v>
      </c>
      <c r="E252">
        <f t="shared" si="18"/>
        <v>190931.97759806531</v>
      </c>
      <c r="F252">
        <f>MAX((B252-E252)*Inputs!B18,0)</f>
        <v>73172.577824238761</v>
      </c>
      <c r="G252">
        <f>MAX((B252-E252-F252)*Inputs!B19,0)</f>
        <v>13208.816857499552</v>
      </c>
      <c r="H252">
        <f>G252*Inputs!B17</f>
        <v>3302.2042143748881</v>
      </c>
      <c r="I252">
        <f t="shared" si="19"/>
        <v>277313.37227980362</v>
      </c>
      <c r="J252">
        <f t="shared" si="20"/>
        <v>10480997.930254474</v>
      </c>
      <c r="K252">
        <f>B252*Inputs!B8/12</f>
        <v>4482.6297093892827</v>
      </c>
      <c r="L252">
        <f t="shared" si="21"/>
        <v>47067.611948587466</v>
      </c>
      <c r="M252">
        <f t="shared" si="22"/>
        <v>274011.16806542873</v>
      </c>
    </row>
    <row r="253" spans="1:13" x14ac:dyDescent="0.2">
      <c r="A253">
        <v>252</v>
      </c>
      <c r="B253">
        <f t="shared" si="23"/>
        <v>10480997.930254474</v>
      </c>
      <c r="C253">
        <f>IF(A253&lt;=Inputs!B7,IF(B253&gt;0,-PMT(Inputs!B6/12,Inputs!B7-A253+1,B253),0),0)</f>
        <v>240500.08616128008</v>
      </c>
      <c r="D253">
        <f>B253*Inputs!B6/12</f>
        <v>50221.448415802697</v>
      </c>
      <c r="E253">
        <f t="shared" si="18"/>
        <v>190278.63774547738</v>
      </c>
      <c r="F253">
        <f>MAX((B253-E253)*Inputs!B18,0)</f>
        <v>71256.877901754982</v>
      </c>
      <c r="G253">
        <f>MAX((B253-E253-F253)*Inputs!B19,0)</f>
        <v>12863.002480277595</v>
      </c>
      <c r="H253">
        <f>G253*Inputs!B17</f>
        <v>3215.7506200693988</v>
      </c>
      <c r="I253">
        <f t="shared" si="19"/>
        <v>274398.51812750997</v>
      </c>
      <c r="J253">
        <f t="shared" si="20"/>
        <v>10206599.412126964</v>
      </c>
      <c r="K253">
        <f>B253*Inputs!B8/12</f>
        <v>4367.0824709393646</v>
      </c>
      <c r="L253">
        <f t="shared" si="21"/>
        <v>45854.365944863333</v>
      </c>
      <c r="M253">
        <f t="shared" si="22"/>
        <v>271182.76750744059</v>
      </c>
    </row>
    <row r="254" spans="1:13" x14ac:dyDescent="0.2">
      <c r="A254">
        <v>253</v>
      </c>
      <c r="B254">
        <f t="shared" si="23"/>
        <v>10206599.412126964</v>
      </c>
      <c r="C254">
        <f>IF(A254&lt;=Inputs!B7,IF(B254&gt;0,-PMT(Inputs!B6/12,Inputs!B7-A254+1,B254),0),0)</f>
        <v>238534.15570445743</v>
      </c>
      <c r="D254">
        <f>B254*Inputs!B6/12</f>
        <v>48906.622183108375</v>
      </c>
      <c r="E254">
        <f t="shared" si="18"/>
        <v>189627.53352134905</v>
      </c>
      <c r="F254">
        <f>MAX((B254-E254)*Inputs!B18,0)</f>
        <v>69361.346064380516</v>
      </c>
      <c r="G254">
        <f>MAX((B254-E254-F254)*Inputs!B19,0)</f>
        <v>12520.82876394933</v>
      </c>
      <c r="H254">
        <f>G254*Inputs!B17</f>
        <v>3130.2071909873325</v>
      </c>
      <c r="I254">
        <f t="shared" si="19"/>
        <v>271509.7083496789</v>
      </c>
      <c r="J254">
        <f t="shared" si="20"/>
        <v>9935089.7037772853</v>
      </c>
      <c r="K254">
        <f>B254*Inputs!B8/12</f>
        <v>4252.7497550529015</v>
      </c>
      <c r="L254">
        <f t="shared" si="21"/>
        <v>44653.872428055474</v>
      </c>
      <c r="M254">
        <f t="shared" si="22"/>
        <v>268379.50115869159</v>
      </c>
    </row>
    <row r="255" spans="1:13" x14ac:dyDescent="0.2">
      <c r="A255">
        <v>254</v>
      </c>
      <c r="B255">
        <f t="shared" si="23"/>
        <v>9935089.7037772853</v>
      </c>
      <c r="C255">
        <f>IF(A255&lt;=Inputs!B7,IF(B255&gt;0,-PMT(Inputs!B6/12,Inputs!B7-A255+1,B255),0),0)</f>
        <v>236584.29543963665</v>
      </c>
      <c r="D255">
        <f>B255*Inputs!B6/12</f>
        <v>47605.638163932832</v>
      </c>
      <c r="E255">
        <f t="shared" si="18"/>
        <v>188978.65727570382</v>
      </c>
      <c r="F255">
        <f>MAX((B255-E255)*Inputs!B18,0)</f>
        <v>67485.802023872617</v>
      </c>
      <c r="G255">
        <f>MAX((B255-E255-F255)*Inputs!B19,0)</f>
        <v>12182.263163612681</v>
      </c>
      <c r="H255">
        <f>G255*Inputs!B17</f>
        <v>3045.5657909031702</v>
      </c>
      <c r="I255">
        <f t="shared" si="19"/>
        <v>268646.7224631891</v>
      </c>
      <c r="J255">
        <f t="shared" si="20"/>
        <v>9666442.9813140966</v>
      </c>
      <c r="K255">
        <f>B255*Inputs!B8/12</f>
        <v>4139.6207099072026</v>
      </c>
      <c r="L255">
        <f t="shared" si="21"/>
        <v>43466.017454025627</v>
      </c>
      <c r="M255">
        <f t="shared" si="22"/>
        <v>265601.15667228593</v>
      </c>
    </row>
    <row r="256" spans="1:13" x14ac:dyDescent="0.2">
      <c r="A256">
        <v>255</v>
      </c>
      <c r="B256">
        <f t="shared" si="23"/>
        <v>9666442.9813140966</v>
      </c>
      <c r="C256">
        <f>IF(A256&lt;=Inputs!B7,IF(B256&gt;0,-PMT(Inputs!B6/12,Inputs!B7-A256+1,B256),0),0)</f>
        <v>234650.37400353872</v>
      </c>
      <c r="D256">
        <f>B256*Inputs!B6/12</f>
        <v>46318.372618796711</v>
      </c>
      <c r="E256">
        <f t="shared" si="18"/>
        <v>188332.00138474201</v>
      </c>
      <c r="F256">
        <f>MAX((B256-E256)*Inputs!B18,0)</f>
        <v>65630.067018516798</v>
      </c>
      <c r="G256">
        <f>MAX((B256-E256-F256)*Inputs!B19,0)</f>
        <v>11847.273409928261</v>
      </c>
      <c r="H256">
        <f>G256*Inputs!B17</f>
        <v>2961.8183524820652</v>
      </c>
      <c r="I256">
        <f t="shared" si="19"/>
        <v>265809.34181318706</v>
      </c>
      <c r="J256">
        <f t="shared" si="20"/>
        <v>9400633.6395009104</v>
      </c>
      <c r="K256">
        <f>B256*Inputs!B8/12</f>
        <v>4027.6845755475406</v>
      </c>
      <c r="L256">
        <f t="shared" si="21"/>
        <v>42290.688043249174</v>
      </c>
      <c r="M256">
        <f t="shared" si="22"/>
        <v>262847.52346070501</v>
      </c>
    </row>
    <row r="257" spans="1:13" x14ac:dyDescent="0.2">
      <c r="A257">
        <v>256</v>
      </c>
      <c r="B257">
        <f t="shared" si="23"/>
        <v>9400633.6395009104</v>
      </c>
      <c r="C257">
        <f>IF(A257&lt;=Inputs!B7,IF(B257&gt;0,-PMT(Inputs!B6/12,Inputs!B7-A257+1,B257),0),0)</f>
        <v>232732.26110669342</v>
      </c>
      <c r="D257">
        <f>B257*Inputs!B6/12</f>
        <v>45044.702855941869</v>
      </c>
      <c r="E257">
        <f t="shared" si="18"/>
        <v>187687.55825075155</v>
      </c>
      <c r="F257">
        <f>MAX((B257-E257)*Inputs!B18,0)</f>
        <v>63793.963800467813</v>
      </c>
      <c r="G257">
        <f>MAX((B257-E257-F257)*Inputs!B19,0)</f>
        <v>11515.827506834208</v>
      </c>
      <c r="H257">
        <f>G257*Inputs!B17</f>
        <v>2878.956876708552</v>
      </c>
      <c r="I257">
        <f t="shared" si="19"/>
        <v>262997.3495580536</v>
      </c>
      <c r="J257">
        <f t="shared" si="20"/>
        <v>9137636.2899428569</v>
      </c>
      <c r="K257">
        <f>B257*Inputs!B8/12</f>
        <v>3916.9306831253793</v>
      </c>
      <c r="L257">
        <f t="shared" si="21"/>
        <v>41127.772172816491</v>
      </c>
      <c r="M257">
        <f t="shared" si="22"/>
        <v>260118.39268134505</v>
      </c>
    </row>
    <row r="258" spans="1:13" x14ac:dyDescent="0.2">
      <c r="A258">
        <v>257</v>
      </c>
      <c r="B258">
        <f t="shared" si="23"/>
        <v>9137636.2899428569</v>
      </c>
      <c r="C258">
        <f>IF(A258&lt;=Inputs!B7,IF(B258&gt;0,-PMT(Inputs!B6/12,Inputs!B7-A258+1,B258),0),0)</f>
        <v>230829.82752466126</v>
      </c>
      <c r="D258">
        <f>B258*Inputs!B6/12</f>
        <v>43784.50722264286</v>
      </c>
      <c r="E258">
        <f t="shared" ref="E258:E321" si="24">MAX(C258-D258,0)</f>
        <v>187045.3203020184</v>
      </c>
      <c r="F258">
        <f>MAX((B258-E258)*Inputs!B18,0)</f>
        <v>61977.316623194674</v>
      </c>
      <c r="G258">
        <f>MAX((B258-E258-F258)*Inputs!B19,0)</f>
        <v>11187.893729279829</v>
      </c>
      <c r="H258">
        <f>G258*Inputs!B17</f>
        <v>2796.9734323199573</v>
      </c>
      <c r="I258">
        <f t="shared" ref="I258:I321" si="25">MIN(B258,E258+F258+G258)</f>
        <v>260210.5306544929</v>
      </c>
      <c r="J258">
        <f t="shared" ref="J258:J321" si="26">MAX(B258-I258,0)</f>
        <v>8877425.7592883632</v>
      </c>
      <c r="K258">
        <f>B258*Inputs!B8/12</f>
        <v>3807.348454142857</v>
      </c>
      <c r="L258">
        <f t="shared" ref="L258:L321" si="27">MAX(D258-K258,0)</f>
        <v>39977.158768500005</v>
      </c>
      <c r="M258">
        <f t="shared" ref="M258:M321" si="28">MAX(I258-H258,0)</f>
        <v>257413.55722217294</v>
      </c>
    </row>
    <row r="259" spans="1:13" x14ac:dyDescent="0.2">
      <c r="A259">
        <v>258</v>
      </c>
      <c r="B259">
        <f t="shared" ref="B259:B322" si="29">J258</f>
        <v>8877425.7592883632</v>
      </c>
      <c r="C259">
        <f>IF(A259&lt;=Inputs!B7,IF(B259&gt;0,-PMT(Inputs!B6/12,Inputs!B7-A259+1,B259),0),0)</f>
        <v>228942.94508932802</v>
      </c>
      <c r="D259">
        <f>B259*Inputs!B6/12</f>
        <v>42537.665096590077</v>
      </c>
      <c r="E259">
        <f t="shared" si="24"/>
        <v>186405.27999273792</v>
      </c>
      <c r="F259">
        <f>MAX((B259-E259)*Inputs!B18,0)</f>
        <v>60179.951229029117</v>
      </c>
      <c r="G259">
        <f>MAX((B259-E259-F259)*Inputs!B19,0)</f>
        <v>10863.440620977883</v>
      </c>
      <c r="H259">
        <f>G259*Inputs!B17</f>
        <v>2715.8601552444707</v>
      </c>
      <c r="I259">
        <f t="shared" si="25"/>
        <v>257448.67184274492</v>
      </c>
      <c r="J259">
        <f t="shared" si="26"/>
        <v>8619977.0874456186</v>
      </c>
      <c r="K259">
        <f>B259*Inputs!B8/12</f>
        <v>3698.9273997034848</v>
      </c>
      <c r="L259">
        <f t="shared" si="27"/>
        <v>38838.737696886594</v>
      </c>
      <c r="M259">
        <f t="shared" si="28"/>
        <v>254732.81168750045</v>
      </c>
    </row>
    <row r="260" spans="1:13" x14ac:dyDescent="0.2">
      <c r="A260">
        <v>259</v>
      </c>
      <c r="B260">
        <f t="shared" si="29"/>
        <v>8619977.0874456186</v>
      </c>
      <c r="C260">
        <f>IF(A260&lt;=Inputs!B7,IF(B260&gt;0,-PMT(Inputs!B6/12,Inputs!B7-A260+1,B260),0),0)</f>
        <v>227071.48668026974</v>
      </c>
      <c r="D260">
        <f>B260*Inputs!B6/12</f>
        <v>41304.056877343588</v>
      </c>
      <c r="E260">
        <f t="shared" si="24"/>
        <v>185767.42980292614</v>
      </c>
      <c r="F260">
        <f>MAX((B260-E260)*Inputs!B18,0)</f>
        <v>58401.694836816248</v>
      </c>
      <c r="G260">
        <f>MAX((B260-E260-F260)*Inputs!B19,0)</f>
        <v>10542.436992175331</v>
      </c>
      <c r="H260">
        <f>G260*Inputs!B17</f>
        <v>2635.6092480438328</v>
      </c>
      <c r="I260">
        <f t="shared" si="25"/>
        <v>254711.56163191772</v>
      </c>
      <c r="J260">
        <f t="shared" si="26"/>
        <v>8365265.5258137006</v>
      </c>
      <c r="K260">
        <f>B260*Inputs!B8/12</f>
        <v>3591.6571197690077</v>
      </c>
      <c r="L260">
        <f t="shared" si="27"/>
        <v>37712.399757574582</v>
      </c>
      <c r="M260">
        <f t="shared" si="28"/>
        <v>252075.9523838739</v>
      </c>
    </row>
    <row r="261" spans="1:13" x14ac:dyDescent="0.2">
      <c r="A261">
        <v>260</v>
      </c>
      <c r="B261">
        <f t="shared" si="29"/>
        <v>8365265.5258137006</v>
      </c>
      <c r="C261">
        <f>IF(A261&lt;=Inputs!B7,IF(B261&gt;0,-PMT(Inputs!B6/12,Inputs!B7-A261+1,B261),0),0)</f>
        <v>225215.32621618829</v>
      </c>
      <c r="D261">
        <f>B261*Inputs!B6/12</f>
        <v>40083.563977857317</v>
      </c>
      <c r="E261">
        <f t="shared" si="24"/>
        <v>185131.76223833096</v>
      </c>
      <c r="F261">
        <f>MAX((B261-E261)*Inputs!B18,0)</f>
        <v>56642.376129666838</v>
      </c>
      <c r="G261">
        <f>MAX((B261-E261-F261)*Inputs!B19,0)</f>
        <v>10224.851917442435</v>
      </c>
      <c r="H261">
        <f>G261*Inputs!B17</f>
        <v>2556.2129793606086</v>
      </c>
      <c r="I261">
        <f t="shared" si="25"/>
        <v>251998.99028544023</v>
      </c>
      <c r="J261">
        <f t="shared" si="26"/>
        <v>8113266.5355282603</v>
      </c>
      <c r="K261">
        <f>B261*Inputs!B8/12</f>
        <v>3485.5273024223752</v>
      </c>
      <c r="L261">
        <f t="shared" si="27"/>
        <v>36598.036675434938</v>
      </c>
      <c r="M261">
        <f t="shared" si="28"/>
        <v>249442.77730607963</v>
      </c>
    </row>
    <row r="262" spans="1:13" x14ac:dyDescent="0.2">
      <c r="A262">
        <v>261</v>
      </c>
      <c r="B262">
        <f t="shared" si="29"/>
        <v>8113266.5355282603</v>
      </c>
      <c r="C262">
        <f>IF(A262&lt;=Inputs!B7,IF(B262&gt;0,-PMT(Inputs!B6/12,Inputs!B7-A262+1,B262),0),0)</f>
        <v>223374.33864641789</v>
      </c>
      <c r="D262">
        <f>B262*Inputs!B6/12</f>
        <v>38876.068816072911</v>
      </c>
      <c r="E262">
        <f t="shared" si="24"/>
        <v>184498.26983034497</v>
      </c>
      <c r="F262">
        <f>MAX((B262-E262)*Inputs!B18,0)</f>
        <v>54901.825242810359</v>
      </c>
      <c r="G262">
        <f>MAX((B262-E262-F262)*Inputs!B19,0)</f>
        <v>9910.6547334800325</v>
      </c>
      <c r="H262">
        <f>G262*Inputs!B17</f>
        <v>2477.6636833700081</v>
      </c>
      <c r="I262">
        <f t="shared" si="25"/>
        <v>249310.74980663537</v>
      </c>
      <c r="J262">
        <f t="shared" si="26"/>
        <v>7863955.7857216252</v>
      </c>
      <c r="K262">
        <f>B262*Inputs!B8/12</f>
        <v>3380.527723136775</v>
      </c>
      <c r="L262">
        <f t="shared" si="27"/>
        <v>35495.541092936139</v>
      </c>
      <c r="M262">
        <f t="shared" si="28"/>
        <v>246833.08612326536</v>
      </c>
    </row>
    <row r="263" spans="1:13" x14ac:dyDescent="0.2">
      <c r="A263">
        <v>262</v>
      </c>
      <c r="B263">
        <f t="shared" si="29"/>
        <v>7863955.7857216252</v>
      </c>
      <c r="C263">
        <f>IF(A263&lt;=Inputs!B7,IF(B263&gt;0,-PMT(Inputs!B6/12,Inputs!B7-A263+1,B263),0),0)</f>
        <v>221548.3999424995</v>
      </c>
      <c r="D263">
        <f>B263*Inputs!B6/12</f>
        <v>37681.454806582791</v>
      </c>
      <c r="E263">
        <f t="shared" si="24"/>
        <v>183866.9451359167</v>
      </c>
      <c r="F263">
        <f>MAX((B263-E263)*Inputs!B18,0)</f>
        <v>53179.873751547908</v>
      </c>
      <c r="G263">
        <f>MAX((B263-E263-F263)*Inputs!B19,0)</f>
        <v>9599.8150369448413</v>
      </c>
      <c r="H263">
        <f>G263*Inputs!B17</f>
        <v>2399.9537592362103</v>
      </c>
      <c r="I263">
        <f t="shared" si="25"/>
        <v>246646.63392440946</v>
      </c>
      <c r="J263">
        <f t="shared" si="26"/>
        <v>7617309.1517972155</v>
      </c>
      <c r="K263">
        <f>B263*Inputs!B8/12</f>
        <v>3276.648244050677</v>
      </c>
      <c r="L263">
        <f t="shared" si="27"/>
        <v>34404.806562532118</v>
      </c>
      <c r="M263">
        <f t="shared" si="28"/>
        <v>244246.68016517325</v>
      </c>
    </row>
    <row r="264" spans="1:13" x14ac:dyDescent="0.2">
      <c r="A264">
        <v>263</v>
      </c>
      <c r="B264">
        <f t="shared" si="29"/>
        <v>7617309.1517972155</v>
      </c>
      <c r="C264">
        <f>IF(A264&lt;=Inputs!B7,IF(B264&gt;0,-PMT(Inputs!B6/12,Inputs!B7-A264+1,B264),0),0)</f>
        <v>219737.3870898255</v>
      </c>
      <c r="D264">
        <f>B264*Inputs!B6/12</f>
        <v>36499.606352361661</v>
      </c>
      <c r="E264">
        <f t="shared" si="24"/>
        <v>183237.78073746385</v>
      </c>
      <c r="F264">
        <f>MAX((B264-E264)*Inputs!B18,0)</f>
        <v>51476.354659304183</v>
      </c>
      <c r="G264">
        <f>MAX((B264-E264-F264)*Inputs!B19,0)</f>
        <v>9292.3026822926677</v>
      </c>
      <c r="H264">
        <f>G264*Inputs!B17</f>
        <v>2323.0756705731669</v>
      </c>
      <c r="I264">
        <f t="shared" si="25"/>
        <v>244006.43807906072</v>
      </c>
      <c r="J264">
        <f t="shared" si="26"/>
        <v>7373302.7137181545</v>
      </c>
      <c r="K264">
        <f>B264*Inputs!B8/12</f>
        <v>3173.8788132488403</v>
      </c>
      <c r="L264">
        <f t="shared" si="27"/>
        <v>33325.727539112821</v>
      </c>
      <c r="M264">
        <f t="shared" si="28"/>
        <v>241683.36240848756</v>
      </c>
    </row>
    <row r="265" spans="1:13" x14ac:dyDescent="0.2">
      <c r="A265">
        <v>264</v>
      </c>
      <c r="B265">
        <f t="shared" si="29"/>
        <v>7373302.7137181545</v>
      </c>
      <c r="C265">
        <f>IF(A265&lt;=Inputs!B7,IF(B265&gt;0,-PMT(Inputs!B6/12,Inputs!B7-A265+1,B265),0),0)</f>
        <v>217941.17807935216</v>
      </c>
      <c r="D265">
        <f>B265*Inputs!B6/12</f>
        <v>35330.408836566159</v>
      </c>
      <c r="E265">
        <f t="shared" si="24"/>
        <v>182610.76924278599</v>
      </c>
      <c r="F265">
        <f>MAX((B265-E265)*Inputs!B18,0)</f>
        <v>49791.102385777813</v>
      </c>
      <c r="G265">
        <f>MAX((B265-E265-F265)*Inputs!B19,0)</f>
        <v>8988.0877796393288</v>
      </c>
      <c r="H265">
        <f>G265*Inputs!B17</f>
        <v>2247.0219449098322</v>
      </c>
      <c r="I265">
        <f t="shared" si="25"/>
        <v>241389.95940820311</v>
      </c>
      <c r="J265">
        <f t="shared" si="26"/>
        <v>7131912.7543099513</v>
      </c>
      <c r="K265">
        <f>B265*Inputs!B8/12</f>
        <v>3072.209464049231</v>
      </c>
      <c r="L265">
        <f t="shared" si="27"/>
        <v>32258.199372516927</v>
      </c>
      <c r="M265">
        <f t="shared" si="28"/>
        <v>239142.93746329329</v>
      </c>
    </row>
    <row r="266" spans="1:13" x14ac:dyDescent="0.2">
      <c r="A266">
        <v>265</v>
      </c>
      <c r="B266">
        <f t="shared" si="29"/>
        <v>7131912.7543099513</v>
      </c>
      <c r="C266">
        <f>IF(A266&lt;=Inputs!B7,IF(B266&gt;0,-PMT(Inputs!B6/12,Inputs!B7-A266+1,B266),0),0)</f>
        <v>216159.65189937947</v>
      </c>
      <c r="D266">
        <f>B266*Inputs!B6/12</f>
        <v>34173.748614401855</v>
      </c>
      <c r="E266">
        <f t="shared" si="24"/>
        <v>181985.90328497763</v>
      </c>
      <c r="F266">
        <f>MAX((B266-E266)*Inputs!B18,0)</f>
        <v>48123.952755189013</v>
      </c>
      <c r="G266">
        <f>MAX((B266-E266-F266)*Inputs!B19,0)</f>
        <v>8687.1406926391937</v>
      </c>
      <c r="H266">
        <f>G266*Inputs!B17</f>
        <v>2171.7851731597984</v>
      </c>
      <c r="I266">
        <f t="shared" si="25"/>
        <v>238796.99673280583</v>
      </c>
      <c r="J266">
        <f t="shared" si="26"/>
        <v>6893115.7575771455</v>
      </c>
      <c r="K266">
        <f>B266*Inputs!B8/12</f>
        <v>2971.6303142958132</v>
      </c>
      <c r="L266">
        <f t="shared" si="27"/>
        <v>31202.118300106042</v>
      </c>
      <c r="M266">
        <f t="shared" si="28"/>
        <v>236625.21155964604</v>
      </c>
    </row>
    <row r="267" spans="1:13" x14ac:dyDescent="0.2">
      <c r="A267">
        <v>266</v>
      </c>
      <c r="B267">
        <f t="shared" si="29"/>
        <v>6893115.7575771455</v>
      </c>
      <c r="C267">
        <f>IF(A267&lt;=Inputs!B7,IF(B267&gt;0,-PMT(Inputs!B6/12,Inputs!B7-A267+1,B267),0),0)</f>
        <v>214392.68852739892</v>
      </c>
      <c r="D267">
        <f>B267*Inputs!B6/12</f>
        <v>33029.513005057153</v>
      </c>
      <c r="E267">
        <f t="shared" si="24"/>
        <v>181363.17552234177</v>
      </c>
      <c r="F267">
        <f>MAX((B267-E267)*Inputs!B18,0)</f>
        <v>46474.742984624056</v>
      </c>
      <c r="G267">
        <f>MAX((B267-E267-F267)*Inputs!B19,0)</f>
        <v>8389.4320363811476</v>
      </c>
      <c r="H267">
        <f>G267*Inputs!B17</f>
        <v>2097.3580090952869</v>
      </c>
      <c r="I267">
        <f t="shared" si="25"/>
        <v>236227.35054334698</v>
      </c>
      <c r="J267">
        <f t="shared" si="26"/>
        <v>6656888.4070337983</v>
      </c>
      <c r="K267">
        <f>B267*Inputs!B8/12</f>
        <v>2872.1315656571442</v>
      </c>
      <c r="L267">
        <f t="shared" si="27"/>
        <v>30157.381439400007</v>
      </c>
      <c r="M267">
        <f t="shared" si="28"/>
        <v>234129.99253425171</v>
      </c>
    </row>
    <row r="268" spans="1:13" x14ac:dyDescent="0.2">
      <c r="A268">
        <v>267</v>
      </c>
      <c r="B268">
        <f t="shared" si="29"/>
        <v>6656888.4070337983</v>
      </c>
      <c r="C268">
        <f>IF(A268&lt;=Inputs!B7,IF(B268&gt;0,-PMT(Inputs!B6/12,Inputs!B7-A268+1,B268),0),0)</f>
        <v>212640.16892200691</v>
      </c>
      <c r="D268">
        <f>B268*Inputs!B6/12</f>
        <v>31897.590283703616</v>
      </c>
      <c r="E268">
        <f t="shared" si="24"/>
        <v>180742.5786383033</v>
      </c>
      <c r="F268">
        <f>MAX((B268-E268)*Inputs!B18,0)</f>
        <v>44843.311672475516</v>
      </c>
      <c r="G268">
        <f>MAX((B268-E268-F268)*Inputs!B19,0)</f>
        <v>8094.9326753018941</v>
      </c>
      <c r="H268">
        <f>G268*Inputs!B17</f>
        <v>2023.7331688254735</v>
      </c>
      <c r="I268">
        <f t="shared" si="25"/>
        <v>233680.82298608069</v>
      </c>
      <c r="J268">
        <f t="shared" si="26"/>
        <v>6423207.584047718</v>
      </c>
      <c r="K268">
        <f>B268*Inputs!B8/12</f>
        <v>2773.7035029307494</v>
      </c>
      <c r="L268">
        <f t="shared" si="27"/>
        <v>29123.886780772867</v>
      </c>
      <c r="M268">
        <f t="shared" si="28"/>
        <v>231657.08981725521</v>
      </c>
    </row>
    <row r="269" spans="1:13" x14ac:dyDescent="0.2">
      <c r="A269">
        <v>268</v>
      </c>
      <c r="B269">
        <f t="shared" si="29"/>
        <v>6423207.584047718</v>
      </c>
      <c r="C269">
        <f>IF(A269&lt;=Inputs!B7,IF(B269&gt;0,-PMT(Inputs!B6/12,Inputs!B7-A269+1,B269),0),0)</f>
        <v>210901.97501488571</v>
      </c>
      <c r="D269">
        <f>B269*Inputs!B6/12</f>
        <v>30777.869673561985</v>
      </c>
      <c r="E269">
        <f t="shared" si="24"/>
        <v>180124.10534132374</v>
      </c>
      <c r="F269">
        <f>MAX((B269-E269)*Inputs!B18,0)</f>
        <v>43229.498786977667</v>
      </c>
      <c r="G269">
        <f>MAX((B269-E269-F269)*Inputs!B19,0)</f>
        <v>7803.6137211163978</v>
      </c>
      <c r="H269">
        <f>G269*Inputs!B17</f>
        <v>1950.9034302790994</v>
      </c>
      <c r="I269">
        <f t="shared" si="25"/>
        <v>231157.21784941779</v>
      </c>
      <c r="J269">
        <f t="shared" si="26"/>
        <v>6192050.3661983004</v>
      </c>
      <c r="K269">
        <f>B269*Inputs!B8/12</f>
        <v>2676.3364933532162</v>
      </c>
      <c r="L269">
        <f t="shared" si="27"/>
        <v>28101.533180208768</v>
      </c>
      <c r="M269">
        <f t="shared" si="28"/>
        <v>229206.31441913868</v>
      </c>
    </row>
    <row r="270" spans="1:13" x14ac:dyDescent="0.2">
      <c r="A270">
        <v>269</v>
      </c>
      <c r="B270">
        <f t="shared" si="29"/>
        <v>6192050.3661983004</v>
      </c>
      <c r="C270">
        <f>IF(A270&lt;=Inputs!B7,IF(B270&gt;0,-PMT(Inputs!B6/12,Inputs!B7-A270+1,B270),0),0)</f>
        <v>209177.98970284816</v>
      </c>
      <c r="D270">
        <f>B270*Inputs!B6/12</f>
        <v>29670.241338033524</v>
      </c>
      <c r="E270">
        <f t="shared" si="24"/>
        <v>179507.74836481464</v>
      </c>
      <c r="F270">
        <f>MAX((B270-E270)*Inputs!B18,0)</f>
        <v>41633.145654836102</v>
      </c>
      <c r="G270">
        <f>MAX((B270-E270-F270)*Inputs!B19,0)</f>
        <v>7515.4465307653581</v>
      </c>
      <c r="H270">
        <f>G270*Inputs!B17</f>
        <v>1878.8616326913395</v>
      </c>
      <c r="I270">
        <f t="shared" si="25"/>
        <v>228656.34055041612</v>
      </c>
      <c r="J270">
        <f t="shared" si="26"/>
        <v>5963394.0256478842</v>
      </c>
      <c r="K270">
        <f>B270*Inputs!B8/12</f>
        <v>2580.0209859159586</v>
      </c>
      <c r="L270">
        <f t="shared" si="27"/>
        <v>27090.220352117565</v>
      </c>
      <c r="M270">
        <f t="shared" si="28"/>
        <v>226777.47891772477</v>
      </c>
    </row>
    <row r="271" spans="1:13" x14ac:dyDescent="0.2">
      <c r="A271">
        <v>270</v>
      </c>
      <c r="B271">
        <f t="shared" si="29"/>
        <v>5963394.0256478842</v>
      </c>
      <c r="C271">
        <f>IF(A271&lt;=Inputs!B7,IF(B271&gt;0,-PMT(Inputs!B6/12,Inputs!B7-A271+1,B271),0),0)</f>
        <v>207468.09683994923</v>
      </c>
      <c r="D271">
        <f>B271*Inputs!B6/12</f>
        <v>28574.596372896111</v>
      </c>
      <c r="E271">
        <f t="shared" si="24"/>
        <v>178893.50046705312</v>
      </c>
      <c r="F271">
        <f>MAX((B271-E271)*Inputs!B18,0)</f>
        <v>40054.094949951017</v>
      </c>
      <c r="G271">
        <f>MAX((B271-E271-F271)*Inputs!B19,0)</f>
        <v>7230.4027043795722</v>
      </c>
      <c r="H271">
        <f>G271*Inputs!B17</f>
        <v>1807.6006760948931</v>
      </c>
      <c r="I271">
        <f t="shared" si="25"/>
        <v>226177.99812138372</v>
      </c>
      <c r="J271">
        <f t="shared" si="26"/>
        <v>5737216.0275265006</v>
      </c>
      <c r="K271">
        <f>B271*Inputs!B8/12</f>
        <v>2484.7475106866186</v>
      </c>
      <c r="L271">
        <f t="shared" si="27"/>
        <v>26089.848862209492</v>
      </c>
      <c r="M271">
        <f t="shared" si="28"/>
        <v>224370.39744528884</v>
      </c>
    </row>
    <row r="272" spans="1:13" x14ac:dyDescent="0.2">
      <c r="A272">
        <v>271</v>
      </c>
      <c r="B272">
        <f t="shared" si="29"/>
        <v>5737216.0275265006</v>
      </c>
      <c r="C272">
        <f>IF(A272&lt;=Inputs!B7,IF(B272&gt;0,-PMT(Inputs!B6/12,Inputs!B7-A272+1,B272),0),0)</f>
        <v>205772.18122966058</v>
      </c>
      <c r="D272">
        <f>B272*Inputs!B6/12</f>
        <v>27490.826798564482</v>
      </c>
      <c r="E272">
        <f t="shared" si="24"/>
        <v>178281.35443109609</v>
      </c>
      <c r="F272">
        <f>MAX((B272-E272)*Inputs!B18,0)</f>
        <v>38492.190682233129</v>
      </c>
      <c r="G272">
        <f>MAX((B272-E272-F272)*Inputs!B19,0)</f>
        <v>6948.454083261041</v>
      </c>
      <c r="H272">
        <f>G272*Inputs!B17</f>
        <v>1737.1135208152602</v>
      </c>
      <c r="I272">
        <f t="shared" si="25"/>
        <v>223721.99919659027</v>
      </c>
      <c r="J272">
        <f t="shared" si="26"/>
        <v>5513494.0283299107</v>
      </c>
      <c r="K272">
        <f>B272*Inputs!B8/12</f>
        <v>2390.506678136042</v>
      </c>
      <c r="L272">
        <f t="shared" si="27"/>
        <v>25100.320120428441</v>
      </c>
      <c r="M272">
        <f t="shared" si="28"/>
        <v>221984.885675775</v>
      </c>
    </row>
    <row r="273" spans="1:13" x14ac:dyDescent="0.2">
      <c r="A273">
        <v>272</v>
      </c>
      <c r="B273">
        <f t="shared" si="29"/>
        <v>5513494.0283299107</v>
      </c>
      <c r="C273">
        <f>IF(A273&lt;=Inputs!B7,IF(B273&gt;0,-PMT(Inputs!B6/12,Inputs!B7-A273+1,B273),0),0)</f>
        <v>204090.12861711008</v>
      </c>
      <c r="D273">
        <f>B273*Inputs!B6/12</f>
        <v>26418.825552414157</v>
      </c>
      <c r="E273">
        <f t="shared" si="24"/>
        <v>177671.30306469591</v>
      </c>
      <c r="F273">
        <f>MAX((B273-E273)*Inputs!B18,0)</f>
        <v>36947.278186511721</v>
      </c>
      <c r="G273">
        <f>MAX((B273-E273-F273)*Inputs!B19,0)</f>
        <v>6669.5727478806857</v>
      </c>
      <c r="H273">
        <f>G273*Inputs!B17</f>
        <v>1667.3931869701714</v>
      </c>
      <c r="I273">
        <f t="shared" si="25"/>
        <v>221288.1539990883</v>
      </c>
      <c r="J273">
        <f t="shared" si="26"/>
        <v>5292205.8743308224</v>
      </c>
      <c r="K273">
        <f>B273*Inputs!B8/12</f>
        <v>2297.2891784707963</v>
      </c>
      <c r="L273">
        <f t="shared" si="27"/>
        <v>24121.53637394336</v>
      </c>
      <c r="M273">
        <f t="shared" si="28"/>
        <v>219620.76081211813</v>
      </c>
    </row>
    <row r="274" spans="1:13" x14ac:dyDescent="0.2">
      <c r="A274">
        <v>273</v>
      </c>
      <c r="B274">
        <f t="shared" si="29"/>
        <v>5292205.8743308224</v>
      </c>
      <c r="C274">
        <f>IF(A274&lt;=Inputs!B7,IF(B274&gt;0,-PMT(Inputs!B6/12,Inputs!B7-A274+1,B274),0),0)</f>
        <v>202421.8256813841</v>
      </c>
      <c r="D274">
        <f>B274*Inputs!B6/12</f>
        <v>25358.486481168526</v>
      </c>
      <c r="E274">
        <f t="shared" si="24"/>
        <v>177063.33920021559</v>
      </c>
      <c r="F274">
        <f>MAX((B274-E274)*Inputs!B18,0)</f>
        <v>35419.204111533829</v>
      </c>
      <c r="G274">
        <f>MAX((B274-E274-F274)*Inputs!B19,0)</f>
        <v>6393.731015892532</v>
      </c>
      <c r="H274">
        <f>G274*Inputs!B17</f>
        <v>1598.432753973133</v>
      </c>
      <c r="I274">
        <f t="shared" si="25"/>
        <v>218876.27432764194</v>
      </c>
      <c r="J274">
        <f t="shared" si="26"/>
        <v>5073329.6000031801</v>
      </c>
      <c r="K274">
        <f>B274*Inputs!B8/12</f>
        <v>2205.0857809711761</v>
      </c>
      <c r="L274">
        <f t="shared" si="27"/>
        <v>23153.400700197351</v>
      </c>
      <c r="M274">
        <f t="shared" si="28"/>
        <v>217277.84157366879</v>
      </c>
    </row>
    <row r="275" spans="1:13" x14ac:dyDescent="0.2">
      <c r="A275">
        <v>274</v>
      </c>
      <c r="B275">
        <f t="shared" si="29"/>
        <v>5073329.6000031801</v>
      </c>
      <c r="C275">
        <f>IF(A275&lt;=Inputs!B7,IF(B275&gt;0,-PMT(Inputs!B6/12,Inputs!B7-A275+1,B275),0),0)</f>
        <v>200767.16002789314</v>
      </c>
      <c r="D275">
        <f>B275*Inputs!B6/12</f>
        <v>24309.704333348574</v>
      </c>
      <c r="E275">
        <f t="shared" si="24"/>
        <v>176457.45569454457</v>
      </c>
      <c r="F275">
        <f>MAX((B275-E275)*Inputs!B18,0)</f>
        <v>33907.816409054045</v>
      </c>
      <c r="G275">
        <f>MAX((B275-E275-F275)*Inputs!B19,0)</f>
        <v>6120.9014401642407</v>
      </c>
      <c r="H275">
        <f>G275*Inputs!B17</f>
        <v>1530.2253600410602</v>
      </c>
      <c r="I275">
        <f t="shared" si="25"/>
        <v>216486.17354376285</v>
      </c>
      <c r="J275">
        <f t="shared" si="26"/>
        <v>4856843.4264594177</v>
      </c>
      <c r="K275">
        <f>B275*Inputs!B8/12</f>
        <v>2113.8873333346587</v>
      </c>
      <c r="L275">
        <f t="shared" si="27"/>
        <v>22195.817000013914</v>
      </c>
      <c r="M275">
        <f t="shared" si="28"/>
        <v>214955.9481837218</v>
      </c>
    </row>
    <row r="276" spans="1:13" x14ac:dyDescent="0.2">
      <c r="A276">
        <v>275</v>
      </c>
      <c r="B276">
        <f t="shared" si="29"/>
        <v>4856843.4264594177</v>
      </c>
      <c r="C276">
        <f>IF(A276&lt;=Inputs!B7,IF(B276&gt;0,-PMT(Inputs!B6/12,Inputs!B7-A276+1,B276),0),0)</f>
        <v>199126.02018080003</v>
      </c>
      <c r="D276">
        <f>B276*Inputs!B6/12</f>
        <v>23272.374751784711</v>
      </c>
      <c r="E276">
        <f t="shared" si="24"/>
        <v>175853.64542901531</v>
      </c>
      <c r="F276">
        <f>MAX((B276-E276)*Inputs!B18,0)</f>
        <v>32412.964323014021</v>
      </c>
      <c r="G276">
        <f>MAX((B276-E276-F276)*Inputs!B19,0)</f>
        <v>5851.0568068238372</v>
      </c>
      <c r="H276">
        <f>G276*Inputs!B17</f>
        <v>1462.7642017059593</v>
      </c>
      <c r="I276">
        <f t="shared" si="25"/>
        <v>214117.66655885318</v>
      </c>
      <c r="J276">
        <f t="shared" si="26"/>
        <v>4642725.7599005643</v>
      </c>
      <c r="K276">
        <f>B276*Inputs!B8/12</f>
        <v>2023.6847610247576</v>
      </c>
      <c r="L276">
        <f t="shared" si="27"/>
        <v>21248.689990759955</v>
      </c>
      <c r="M276">
        <f t="shared" si="28"/>
        <v>212654.90235714722</v>
      </c>
    </row>
    <row r="277" spans="1:13" x14ac:dyDescent="0.2">
      <c r="A277">
        <v>276</v>
      </c>
      <c r="B277">
        <f t="shared" si="29"/>
        <v>4642725.7599005643</v>
      </c>
      <c r="C277">
        <f>IF(A277&lt;=Inputs!B7,IF(B277&gt;0,-PMT(Inputs!B6/12,Inputs!B7-A277+1,B277),0),0)</f>
        <v>197498.29557550905</v>
      </c>
      <c r="D277">
        <f>B277*Inputs!B6/12</f>
        <v>22246.394266190207</v>
      </c>
      <c r="E277">
        <f t="shared" si="24"/>
        <v>175251.90130931884</v>
      </c>
      <c r="F277">
        <f>MAX((B277-E277)*Inputs!B18,0)</f>
        <v>30934.498378810997</v>
      </c>
      <c r="G277">
        <f>MAX((B277-E277-F277)*Inputs!B19,0)</f>
        <v>5584.1701333225119</v>
      </c>
      <c r="H277">
        <f>G277*Inputs!B17</f>
        <v>1396.042533330628</v>
      </c>
      <c r="I277">
        <f t="shared" si="25"/>
        <v>211770.56982145234</v>
      </c>
      <c r="J277">
        <f t="shared" si="26"/>
        <v>4430955.1900791116</v>
      </c>
      <c r="K277">
        <f>B277*Inputs!B8/12</f>
        <v>1934.4690666252352</v>
      </c>
      <c r="L277">
        <f t="shared" si="27"/>
        <v>20311.925199564972</v>
      </c>
      <c r="M277">
        <f t="shared" si="28"/>
        <v>210374.52728812172</v>
      </c>
    </row>
    <row r="278" spans="1:13" x14ac:dyDescent="0.2">
      <c r="A278">
        <v>277</v>
      </c>
      <c r="B278">
        <f t="shared" si="29"/>
        <v>4430955.1900791116</v>
      </c>
      <c r="C278">
        <f>IF(A278&lt;=Inputs!B7,IF(B278&gt;0,-PMT(Inputs!B6/12,Inputs!B7-A278+1,B278),0),0)</f>
        <v>195883.87655121781</v>
      </c>
      <c r="D278">
        <f>B278*Inputs!B6/12</f>
        <v>21231.660285795744</v>
      </c>
      <c r="E278">
        <f t="shared" si="24"/>
        <v>174652.21626542206</v>
      </c>
      <c r="F278">
        <f>MAX((B278-E278)*Inputs!B18,0)</f>
        <v>29472.270372654668</v>
      </c>
      <c r="G278">
        <f>MAX((B278-E278-F278)*Inputs!B19,0)</f>
        <v>5320.2146665133641</v>
      </c>
      <c r="H278">
        <f>G278*Inputs!B17</f>
        <v>1330.053666628341</v>
      </c>
      <c r="I278">
        <f t="shared" si="25"/>
        <v>209444.7013045901</v>
      </c>
      <c r="J278">
        <f t="shared" si="26"/>
        <v>4221510.4887745213</v>
      </c>
      <c r="K278">
        <f>B278*Inputs!B8/12</f>
        <v>1846.2313291996297</v>
      </c>
      <c r="L278">
        <f t="shared" si="27"/>
        <v>19385.428956596115</v>
      </c>
      <c r="M278">
        <f t="shared" si="28"/>
        <v>208114.64763796175</v>
      </c>
    </row>
    <row r="279" spans="1:13" x14ac:dyDescent="0.2">
      <c r="A279">
        <v>278</v>
      </c>
      <c r="B279">
        <f t="shared" si="29"/>
        <v>4221510.4887745213</v>
      </c>
      <c r="C279">
        <f>IF(A279&lt;=Inputs!B7,IF(B279&gt;0,-PMT(Inputs!B6/12,Inputs!B7-A279+1,B279),0),0)</f>
        <v>194282.65434352902</v>
      </c>
      <c r="D279">
        <f>B279*Inputs!B6/12</f>
        <v>20228.071092044582</v>
      </c>
      <c r="E279">
        <f t="shared" si="24"/>
        <v>174054.58325148444</v>
      </c>
      <c r="F279">
        <f>MAX((B279-E279)*Inputs!B18,0)</f>
        <v>28026.133361011609</v>
      </c>
      <c r="G279">
        <f>MAX((B279-E279-F279)*Inputs!B19,0)</f>
        <v>5059.1638807459485</v>
      </c>
      <c r="H279">
        <f>G279*Inputs!B17</f>
        <v>1264.7909701864871</v>
      </c>
      <c r="I279">
        <f t="shared" si="25"/>
        <v>207139.88049324197</v>
      </c>
      <c r="J279">
        <f t="shared" si="26"/>
        <v>4014370.6082812794</v>
      </c>
      <c r="K279">
        <f>B279*Inputs!B8/12</f>
        <v>1758.9627036560505</v>
      </c>
      <c r="L279">
        <f t="shared" si="27"/>
        <v>18469.108388388529</v>
      </c>
      <c r="M279">
        <f t="shared" si="28"/>
        <v>205875.08952305547</v>
      </c>
    </row>
    <row r="280" spans="1:13" x14ac:dyDescent="0.2">
      <c r="A280">
        <v>279</v>
      </c>
      <c r="B280">
        <f t="shared" si="29"/>
        <v>4014370.6082812794</v>
      </c>
      <c r="C280">
        <f>IF(A280&lt;=Inputs!B7,IF(B280&gt;0,-PMT(Inputs!B6/12,Inputs!B7-A280+1,B280),0),0)</f>
        <v>192694.5210771228</v>
      </c>
      <c r="D280">
        <f>B280*Inputs!B6/12</f>
        <v>19235.525831347797</v>
      </c>
      <c r="E280">
        <f t="shared" si="24"/>
        <v>173458.995245775</v>
      </c>
      <c r="F280">
        <f>MAX((B280-E280)*Inputs!B18,0)</f>
        <v>26595.941650136545</v>
      </c>
      <c r="G280">
        <f>MAX((B280-E280-F280)*Inputs!B19,0)</f>
        <v>4800.9914759765097</v>
      </c>
      <c r="H280">
        <f>G280*Inputs!B17</f>
        <v>1200.2478689941274</v>
      </c>
      <c r="I280">
        <f t="shared" si="25"/>
        <v>204855.92837188806</v>
      </c>
      <c r="J280">
        <f t="shared" si="26"/>
        <v>3809514.6799093913</v>
      </c>
      <c r="K280">
        <f>B280*Inputs!B8/12</f>
        <v>1672.6544201171998</v>
      </c>
      <c r="L280">
        <f t="shared" si="27"/>
        <v>17562.871411230597</v>
      </c>
      <c r="M280">
        <f t="shared" si="28"/>
        <v>203655.68050289393</v>
      </c>
    </row>
    <row r="281" spans="1:13" x14ac:dyDescent="0.2">
      <c r="A281">
        <v>280</v>
      </c>
      <c r="B281">
        <f t="shared" si="29"/>
        <v>3809514.6799093913</v>
      </c>
      <c r="C281">
        <f>IF(A281&lt;=Inputs!B7,IF(B281&gt;0,-PMT(Inputs!B6/12,Inputs!B7-A281+1,B281),0),0)</f>
        <v>191119.36975848951</v>
      </c>
      <c r="D281">
        <f>B281*Inputs!B6/12</f>
        <v>18253.92450789917</v>
      </c>
      <c r="E281">
        <f t="shared" si="24"/>
        <v>172865.44525059033</v>
      </c>
      <c r="F281">
        <f>MAX((B281-E281)*Inputs!B18,0)</f>
        <v>25181.550785689778</v>
      </c>
      <c r="G281">
        <f>MAX((B281-E281-F281)*Inputs!B19,0)</f>
        <v>4545.6713758937549</v>
      </c>
      <c r="H281">
        <f>G281*Inputs!B17</f>
        <v>1136.4178439734387</v>
      </c>
      <c r="I281">
        <f t="shared" si="25"/>
        <v>202592.66741217388</v>
      </c>
      <c r="J281">
        <f t="shared" si="26"/>
        <v>3606922.0124972174</v>
      </c>
      <c r="K281">
        <f>B281*Inputs!B8/12</f>
        <v>1587.2977832955796</v>
      </c>
      <c r="L281">
        <f t="shared" si="27"/>
        <v>16666.62672460359</v>
      </c>
      <c r="M281">
        <f t="shared" si="28"/>
        <v>201456.24956820044</v>
      </c>
    </row>
    <row r="282" spans="1:13" x14ac:dyDescent="0.2">
      <c r="A282">
        <v>281</v>
      </c>
      <c r="B282">
        <f t="shared" si="29"/>
        <v>3606922.0124972174</v>
      </c>
      <c r="C282">
        <f>IF(A282&lt;=Inputs!B7,IF(B282&gt;0,-PMT(Inputs!B6/12,Inputs!B7-A282+1,B282),0),0)</f>
        <v>189557.09426872115</v>
      </c>
      <c r="D282">
        <f>B282*Inputs!B6/12</f>
        <v>17283.167976549168</v>
      </c>
      <c r="E282">
        <f t="shared" si="24"/>
        <v>172273.92629217199</v>
      </c>
      <c r="F282">
        <f>MAX((B282-E282)*Inputs!B18,0)</f>
        <v>23782.817542440062</v>
      </c>
      <c r="G282">
        <f>MAX((B282-E282-F282)*Inputs!B19,0)</f>
        <v>4293.1777260600629</v>
      </c>
      <c r="H282">
        <f>G282*Inputs!B17</f>
        <v>1073.2944315150157</v>
      </c>
      <c r="I282">
        <f t="shared" si="25"/>
        <v>200349.92156067211</v>
      </c>
      <c r="J282">
        <f t="shared" si="26"/>
        <v>3406572.0909365453</v>
      </c>
      <c r="K282">
        <f>B282*Inputs!B8/12</f>
        <v>1502.8841718738406</v>
      </c>
      <c r="L282">
        <f t="shared" si="27"/>
        <v>15780.283804675328</v>
      </c>
      <c r="M282">
        <f t="shared" si="28"/>
        <v>199276.6271291571</v>
      </c>
    </row>
    <row r="283" spans="1:13" x14ac:dyDescent="0.2">
      <c r="A283">
        <v>282</v>
      </c>
      <c r="B283">
        <f t="shared" si="29"/>
        <v>3406572.0909365453</v>
      </c>
      <c r="C283">
        <f>IF(A283&lt;=Inputs!B7,IF(B283&gt;0,-PMT(Inputs!B6/12,Inputs!B7-A283+1,B283),0),0)</f>
        <v>188007.58935636206</v>
      </c>
      <c r="D283">
        <f>B283*Inputs!B6/12</f>
        <v>16323.157935737612</v>
      </c>
      <c r="E283">
        <f t="shared" si="24"/>
        <v>171684.43142062446</v>
      </c>
      <c r="F283">
        <f>MAX((B283-E283)*Inputs!B18,0)</f>
        <v>22399.599914052211</v>
      </c>
      <c r="G283">
        <f>MAX((B283-E283-F283)*Inputs!B19,0)</f>
        <v>4043.484892067986</v>
      </c>
      <c r="H283">
        <f>G283*Inputs!B17</f>
        <v>1010.8712230169965</v>
      </c>
      <c r="I283">
        <f t="shared" si="25"/>
        <v>198127.51622674466</v>
      </c>
      <c r="J283">
        <f t="shared" si="26"/>
        <v>3208444.5747098005</v>
      </c>
      <c r="K283">
        <f>B283*Inputs!B8/12</f>
        <v>1419.4050378902273</v>
      </c>
      <c r="L283">
        <f t="shared" si="27"/>
        <v>14903.752897847386</v>
      </c>
      <c r="M283">
        <f t="shared" si="28"/>
        <v>197116.64500372767</v>
      </c>
    </row>
    <row r="284" spans="1:13" x14ac:dyDescent="0.2">
      <c r="A284">
        <v>283</v>
      </c>
      <c r="B284">
        <f t="shared" si="29"/>
        <v>3208444.5747098005</v>
      </c>
      <c r="C284">
        <f>IF(A284&lt;=Inputs!B7,IF(B284&gt;0,-PMT(Inputs!B6/12,Inputs!B7-A284+1,B284),0),0)</f>
        <v>186470.75063031854</v>
      </c>
      <c r="D284">
        <f>B284*Inputs!B6/12</f>
        <v>15373.796920484461</v>
      </c>
      <c r="E284">
        <f t="shared" si="24"/>
        <v>171096.95370983408</v>
      </c>
      <c r="F284">
        <f>MAX((B284-E284)*Inputs!B18,0)</f>
        <v>21031.757102958734</v>
      </c>
      <c r="G284">
        <f>MAX((B284-E284-F284)*Inputs!B19,0)</f>
        <v>3796.5674577119134</v>
      </c>
      <c r="H284">
        <f>G284*Inputs!B17</f>
        <v>949.14186442797836</v>
      </c>
      <c r="I284">
        <f t="shared" si="25"/>
        <v>195925.27827050473</v>
      </c>
      <c r="J284">
        <f t="shared" si="26"/>
        <v>3012519.2964392956</v>
      </c>
      <c r="K284">
        <f>B284*Inputs!B8/12</f>
        <v>1336.8519061290835</v>
      </c>
      <c r="L284">
        <f t="shared" si="27"/>
        <v>14036.945014355377</v>
      </c>
      <c r="M284">
        <f t="shared" si="28"/>
        <v>194976.13640607675</v>
      </c>
    </row>
    <row r="285" spans="1:13" x14ac:dyDescent="0.2">
      <c r="A285">
        <v>284</v>
      </c>
      <c r="B285">
        <f t="shared" si="29"/>
        <v>3012519.2964392956</v>
      </c>
      <c r="C285">
        <f>IF(A285&lt;=Inputs!B7,IF(B285&gt;0,-PMT(Inputs!B6/12,Inputs!B7-A285+1,B285),0),0)</f>
        <v>184946.47455282521</v>
      </c>
      <c r="D285">
        <f>B285*Inputs!B6/12</f>
        <v>14434.988295438292</v>
      </c>
      <c r="E285">
        <f t="shared" si="24"/>
        <v>170511.48625738692</v>
      </c>
      <c r="F285">
        <f>MAX((B285-E285)*Inputs!B18,0)</f>
        <v>19679.149510314881</v>
      </c>
      <c r="G285">
        <f>MAX((B285-E285-F285)*Inputs!B19,0)</f>
        <v>3552.4002231748013</v>
      </c>
      <c r="H285">
        <f>G285*Inputs!B17</f>
        <v>888.10005579370034</v>
      </c>
      <c r="I285">
        <f t="shared" si="25"/>
        <v>193743.03599087661</v>
      </c>
      <c r="J285">
        <f t="shared" si="26"/>
        <v>2818776.260448419</v>
      </c>
      <c r="K285">
        <f>B285*Inputs!B8/12</f>
        <v>1255.2163735163733</v>
      </c>
      <c r="L285">
        <f t="shared" si="27"/>
        <v>13179.771921921918</v>
      </c>
      <c r="M285">
        <f t="shared" si="28"/>
        <v>192854.9359350829</v>
      </c>
    </row>
    <row r="286" spans="1:13" x14ac:dyDescent="0.2">
      <c r="A286">
        <v>285</v>
      </c>
      <c r="B286">
        <f t="shared" si="29"/>
        <v>2818776.260448419</v>
      </c>
      <c r="C286">
        <f>IF(A286&lt;=Inputs!B7,IF(B286&gt;0,-PMT(Inputs!B6/12,Inputs!B7-A286+1,B286),0),0)</f>
        <v>183434.65843247034</v>
      </c>
      <c r="D286">
        <f>B286*Inputs!B6/12</f>
        <v>13506.636247982009</v>
      </c>
      <c r="E286">
        <f t="shared" si="24"/>
        <v>169928.02218448833</v>
      </c>
      <c r="F286">
        <f>MAX((B286-E286)*Inputs!B18,0)</f>
        <v>18341.638726036283</v>
      </c>
      <c r="G286">
        <f>MAX((B286-E286-F286)*Inputs!B19,0)</f>
        <v>3310.9582032298053</v>
      </c>
      <c r="H286">
        <f>G286*Inputs!B17</f>
        <v>827.73955080745134</v>
      </c>
      <c r="I286">
        <f t="shared" si="25"/>
        <v>191580.61911375439</v>
      </c>
      <c r="J286">
        <f t="shared" si="26"/>
        <v>2627195.6413346645</v>
      </c>
      <c r="K286">
        <f>B286*Inputs!B8/12</f>
        <v>1174.4901085201745</v>
      </c>
      <c r="L286">
        <f t="shared" si="27"/>
        <v>12332.146139461835</v>
      </c>
      <c r="M286">
        <f t="shared" si="28"/>
        <v>190752.87956294694</v>
      </c>
    </row>
    <row r="287" spans="1:13" x14ac:dyDescent="0.2">
      <c r="A287">
        <v>286</v>
      </c>
      <c r="B287">
        <f t="shared" si="29"/>
        <v>2627195.6413346645</v>
      </c>
      <c r="C287">
        <f>IF(A287&lt;=Inputs!B7,IF(B287&gt;0,-PMT(Inputs!B6/12,Inputs!B7-A287+1,B287),0),0)</f>
        <v>181935.20041727688</v>
      </c>
      <c r="D287">
        <f>B287*Inputs!B6/12</f>
        <v>12588.645781395267</v>
      </c>
      <c r="E287">
        <f t="shared" si="24"/>
        <v>169346.55463588162</v>
      </c>
      <c r="F287">
        <f>MAX((B287-E287)*Inputs!B18,0)</f>
        <v>17019.087518918648</v>
      </c>
      <c r="G287">
        <f>MAX((B287-E287-F287)*Inputs!B19,0)</f>
        <v>3072.216625456731</v>
      </c>
      <c r="H287">
        <f>G287*Inputs!B17</f>
        <v>768.05415636418275</v>
      </c>
      <c r="I287">
        <f t="shared" si="25"/>
        <v>189437.858780257</v>
      </c>
      <c r="J287">
        <f t="shared" si="26"/>
        <v>2437757.7825544076</v>
      </c>
      <c r="K287">
        <f>B287*Inputs!B8/12</f>
        <v>1094.6648505561102</v>
      </c>
      <c r="L287">
        <f t="shared" si="27"/>
        <v>11493.980930839158</v>
      </c>
      <c r="M287">
        <f t="shared" si="28"/>
        <v>188669.80462389282</v>
      </c>
    </row>
    <row r="288" spans="1:13" x14ac:dyDescent="0.2">
      <c r="A288">
        <v>287</v>
      </c>
      <c r="B288">
        <f t="shared" si="29"/>
        <v>2437757.7825544076</v>
      </c>
      <c r="C288">
        <f>IF(A288&lt;=Inputs!B7,IF(B288&gt;0,-PMT(Inputs!B6/12,Inputs!B7-A288+1,B288),0),0)</f>
        <v>180447.99948784107</v>
      </c>
      <c r="D288">
        <f>B288*Inputs!B6/12</f>
        <v>11680.922708073203</v>
      </c>
      <c r="E288">
        <f t="shared" si="24"/>
        <v>168767.07677976787</v>
      </c>
      <c r="F288">
        <f>MAX((B288-E288)*Inputs!B18,0)</f>
        <v>15711.359826838754</v>
      </c>
      <c r="G288">
        <f>MAX((B288-E288-F288)*Inputs!B19,0)</f>
        <v>2836.1509284731555</v>
      </c>
      <c r="H288">
        <f>G288*Inputs!B17</f>
        <v>709.03773211828889</v>
      </c>
      <c r="I288">
        <f t="shared" si="25"/>
        <v>187314.58753507977</v>
      </c>
      <c r="J288">
        <f t="shared" si="26"/>
        <v>2250443.195019328</v>
      </c>
      <c r="K288">
        <f>B288*Inputs!B8/12</f>
        <v>1015.7324093976699</v>
      </c>
      <c r="L288">
        <f t="shared" si="27"/>
        <v>10665.190298675534</v>
      </c>
      <c r="M288">
        <f t="shared" si="28"/>
        <v>186605.5498029615</v>
      </c>
    </row>
    <row r="289" spans="1:13" x14ac:dyDescent="0.2">
      <c r="A289">
        <v>288</v>
      </c>
      <c r="B289">
        <f t="shared" si="29"/>
        <v>2250443.195019328</v>
      </c>
      <c r="C289">
        <f>IF(A289&lt;=Inputs!B7,IF(B289&gt;0,-PMT(Inputs!B6/12,Inputs!B7-A289+1,B289),0),0)</f>
        <v>178972.95545052641</v>
      </c>
      <c r="D289">
        <f>B289*Inputs!B6/12</f>
        <v>10783.373642800947</v>
      </c>
      <c r="E289">
        <f t="shared" si="24"/>
        <v>168189.58180772545</v>
      </c>
      <c r="F289">
        <f>MAX((B289-E289)*Inputs!B18,0)</f>
        <v>14418.320747036119</v>
      </c>
      <c r="G289">
        <f>MAX((B289-E289-F289)*Inputs!B19,0)</f>
        <v>2602.7367601801111</v>
      </c>
      <c r="H289">
        <f>G289*Inputs!B17</f>
        <v>650.68419004502778</v>
      </c>
      <c r="I289">
        <f t="shared" si="25"/>
        <v>185210.63931494168</v>
      </c>
      <c r="J289">
        <f t="shared" si="26"/>
        <v>2065232.5557043864</v>
      </c>
      <c r="K289">
        <f>B289*Inputs!B8/12</f>
        <v>937.68466459138665</v>
      </c>
      <c r="L289">
        <f t="shared" si="27"/>
        <v>9845.6889782095604</v>
      </c>
      <c r="M289">
        <f t="shared" si="28"/>
        <v>184559.95512489666</v>
      </c>
    </row>
    <row r="290" spans="1:13" x14ac:dyDescent="0.2">
      <c r="A290">
        <v>289</v>
      </c>
      <c r="B290">
        <f t="shared" si="29"/>
        <v>2065232.5557043864</v>
      </c>
      <c r="C290">
        <f>IF(A290&lt;=Inputs!B7,IF(B290&gt;0,-PMT(Inputs!B6/12,Inputs!B7-A290+1,B290),0),0)</f>
        <v>177509.96893071375</v>
      </c>
      <c r="D290">
        <f>B290*Inputs!B6/12</f>
        <v>9895.9059960835184</v>
      </c>
      <c r="E290">
        <f t="shared" si="24"/>
        <v>167614.06293463023</v>
      </c>
      <c r="F290">
        <f>MAX((B290-E290)*Inputs!B18,0)</f>
        <v>13139.836526474626</v>
      </c>
      <c r="G290">
        <f>MAX((B290-E290-F290)*Inputs!B19,0)</f>
        <v>2371.9499760222097</v>
      </c>
      <c r="H290">
        <f>G290*Inputs!B17</f>
        <v>592.98749400555243</v>
      </c>
      <c r="I290">
        <f t="shared" si="25"/>
        <v>183125.84943712706</v>
      </c>
      <c r="J290">
        <f t="shared" si="26"/>
        <v>1882106.7062672593</v>
      </c>
      <c r="K290">
        <f>B290*Inputs!B8/12</f>
        <v>860.51356487682767</v>
      </c>
      <c r="L290">
        <f t="shared" si="27"/>
        <v>9035.3924312066902</v>
      </c>
      <c r="M290">
        <f t="shared" si="28"/>
        <v>182532.8619431215</v>
      </c>
    </row>
    <row r="291" spans="1:13" x14ac:dyDescent="0.2">
      <c r="A291">
        <v>290</v>
      </c>
      <c r="B291">
        <f t="shared" si="29"/>
        <v>1882106.7062672593</v>
      </c>
      <c r="C291">
        <f>IF(A291&lt;=Inputs!B7,IF(B291&gt;0,-PMT(Inputs!B6/12,Inputs!B7-A291+1,B291),0),0)</f>
        <v>176058.94136610613</v>
      </c>
      <c r="D291">
        <f>B291*Inputs!B6/12</f>
        <v>9018.4279675306188</v>
      </c>
      <c r="E291">
        <f t="shared" si="24"/>
        <v>167040.51339857551</v>
      </c>
      <c r="F291">
        <f>MAX((B291-E291)*Inputs!B18,0)</f>
        <v>11875.774552283534</v>
      </c>
      <c r="G291">
        <f>MAX((B291-E291-F291)*Inputs!B19,0)</f>
        <v>2143.7666372620906</v>
      </c>
      <c r="H291">
        <f>G291*Inputs!B17</f>
        <v>535.94165931552266</v>
      </c>
      <c r="I291">
        <f t="shared" si="25"/>
        <v>181060.05458812116</v>
      </c>
      <c r="J291">
        <f t="shared" si="26"/>
        <v>1701046.6516791382</v>
      </c>
      <c r="K291">
        <f>B291*Inputs!B8/12</f>
        <v>784.21112761135817</v>
      </c>
      <c r="L291">
        <f t="shared" si="27"/>
        <v>8234.2168399192615</v>
      </c>
      <c r="M291">
        <f t="shared" si="28"/>
        <v>180524.11292880564</v>
      </c>
    </row>
    <row r="292" spans="1:13" x14ac:dyDescent="0.2">
      <c r="A292">
        <v>291</v>
      </c>
      <c r="B292">
        <f t="shared" si="29"/>
        <v>1701046.6516791382</v>
      </c>
      <c r="C292">
        <f>IF(A292&lt;=Inputs!B7,IF(B292&gt;0,-PMT(Inputs!B6/12,Inputs!B7-A292+1,B292),0),0)</f>
        <v>174619.77500008879</v>
      </c>
      <c r="D292">
        <f>B292*Inputs!B6/12</f>
        <v>8150.848539295871</v>
      </c>
      <c r="E292">
        <f t="shared" si="24"/>
        <v>166468.92646079292</v>
      </c>
      <c r="F292">
        <f>MAX((B292-E292)*Inputs!B18,0)</f>
        <v>10626.003342277148</v>
      </c>
      <c r="G292">
        <f>MAX((B292-E292-F292)*Inputs!B19,0)</f>
        <v>1918.1630092690693</v>
      </c>
      <c r="H292">
        <f>G292*Inputs!B17</f>
        <v>479.54075231726733</v>
      </c>
      <c r="I292">
        <f t="shared" si="25"/>
        <v>179013.09281233913</v>
      </c>
      <c r="J292">
        <f t="shared" si="26"/>
        <v>1522033.5588667991</v>
      </c>
      <c r="K292">
        <f>B292*Inputs!B8/12</f>
        <v>708.76943819964083</v>
      </c>
      <c r="L292">
        <f t="shared" si="27"/>
        <v>7442.0791010962303</v>
      </c>
      <c r="M292">
        <f t="shared" si="28"/>
        <v>178533.55206002187</v>
      </c>
    </row>
    <row r="293" spans="1:13" x14ac:dyDescent="0.2">
      <c r="A293">
        <v>292</v>
      </c>
      <c r="B293">
        <f t="shared" si="29"/>
        <v>1522033.5588667991</v>
      </c>
      <c r="C293">
        <f>IF(A293&lt;=Inputs!B7,IF(B293&gt;0,-PMT(Inputs!B6/12,Inputs!B7-A293+1,B293),0),0)</f>
        <v>173192.37287514331</v>
      </c>
      <c r="D293">
        <f>B293*Inputs!B6/12</f>
        <v>7293.0774695700793</v>
      </c>
      <c r="E293">
        <f t="shared" si="24"/>
        <v>165899.29540557324</v>
      </c>
      <c r="F293">
        <f>MAX((B293-E293)*Inputs!B18,0)</f>
        <v>9390.3925355525407</v>
      </c>
      <c r="G293">
        <f>MAX((B293-E293-F293)*Inputs!B19,0)</f>
        <v>1695.115559821877</v>
      </c>
      <c r="H293">
        <f>G293*Inputs!B17</f>
        <v>423.77888995546925</v>
      </c>
      <c r="I293">
        <f t="shared" si="25"/>
        <v>176984.80350094766</v>
      </c>
      <c r="J293">
        <f t="shared" si="26"/>
        <v>1345048.7553658513</v>
      </c>
      <c r="K293">
        <f>B293*Inputs!B8/12</f>
        <v>634.180649527833</v>
      </c>
      <c r="L293">
        <f t="shared" si="27"/>
        <v>6658.896820042246</v>
      </c>
      <c r="M293">
        <f t="shared" si="28"/>
        <v>176561.0246109922</v>
      </c>
    </row>
    <row r="294" spans="1:13" x14ac:dyDescent="0.2">
      <c r="A294">
        <v>293</v>
      </c>
      <c r="B294">
        <f t="shared" si="29"/>
        <v>1345048.7553658513</v>
      </c>
      <c r="C294">
        <f>IF(A294&lt;=Inputs!B7,IF(B294&gt;0,-PMT(Inputs!B6/12,Inputs!B7-A294+1,B294),0),0)</f>
        <v>171776.63882631515</v>
      </c>
      <c r="D294">
        <f>B294*Inputs!B6/12</f>
        <v>6445.0252861280378</v>
      </c>
      <c r="E294">
        <f t="shared" si="24"/>
        <v>165331.6135401871</v>
      </c>
      <c r="F294">
        <f>MAX((B294-E294)*Inputs!B18,0)</f>
        <v>8168.8128831646718</v>
      </c>
      <c r="G294">
        <f>MAX((B294-E294-F294)*Inputs!B19,0)</f>
        <v>1474.6009574253721</v>
      </c>
      <c r="H294">
        <f>G294*Inputs!B17</f>
        <v>368.65023935634304</v>
      </c>
      <c r="I294">
        <f t="shared" si="25"/>
        <v>174975.02738077714</v>
      </c>
      <c r="J294">
        <f t="shared" si="26"/>
        <v>1170073.7279850743</v>
      </c>
      <c r="K294">
        <f>B294*Inputs!B8/12</f>
        <v>560.43698140243805</v>
      </c>
      <c r="L294">
        <f t="shared" si="27"/>
        <v>5884.5883047255993</v>
      </c>
      <c r="M294">
        <f t="shared" si="28"/>
        <v>174606.37714142079</v>
      </c>
    </row>
    <row r="295" spans="1:13" x14ac:dyDescent="0.2">
      <c r="A295">
        <v>294</v>
      </c>
      <c r="B295">
        <f t="shared" si="29"/>
        <v>1170073.7279850743</v>
      </c>
      <c r="C295">
        <f>IF(A295&lt;=Inputs!B7,IF(B295&gt;0,-PMT(Inputs!B6/12,Inputs!B7-A295+1,B295),0),0)</f>
        <v>170372.47747473547</v>
      </c>
      <c r="D295">
        <f>B295*Inputs!B6/12</f>
        <v>5606.6032799284812</v>
      </c>
      <c r="E295">
        <f t="shared" si="24"/>
        <v>164765.87419480699</v>
      </c>
      <c r="F295">
        <f>MAX((B295-E295)*Inputs!B18,0)</f>
        <v>6961.1362388782991</v>
      </c>
      <c r="G295">
        <f>MAX((B295-E295-F295)*Inputs!B19,0)</f>
        <v>1256.5960696411105</v>
      </c>
      <c r="H295">
        <f>G295*Inputs!B17</f>
        <v>314.14901741027762</v>
      </c>
      <c r="I295">
        <f t="shared" si="25"/>
        <v>172983.60650332642</v>
      </c>
      <c r="J295">
        <f t="shared" si="26"/>
        <v>997090.12148174783</v>
      </c>
      <c r="K295">
        <f>B295*Inputs!B8/12</f>
        <v>487.53071999378091</v>
      </c>
      <c r="L295">
        <f t="shared" si="27"/>
        <v>5119.0725599347006</v>
      </c>
      <c r="M295">
        <f t="shared" si="28"/>
        <v>172669.45748591615</v>
      </c>
    </row>
    <row r="296" spans="1:13" x14ac:dyDescent="0.2">
      <c r="A296">
        <v>295</v>
      </c>
      <c r="B296">
        <f t="shared" si="29"/>
        <v>997090.12148174783</v>
      </c>
      <c r="C296">
        <f>IF(A296&lt;=Inputs!B7,IF(B296&gt;0,-PMT(Inputs!B6/12,Inputs!B7-A296+1,B296),0),0)</f>
        <v>168979.79422119475</v>
      </c>
      <c r="D296">
        <f>B296*Inputs!B6/12</f>
        <v>4777.7234987667089</v>
      </c>
      <c r="E296">
        <f t="shared" si="24"/>
        <v>164202.07072242803</v>
      </c>
      <c r="F296">
        <f>MAX((B296-E296)*Inputs!B18,0)</f>
        <v>5767.2355499959986</v>
      </c>
      <c r="G296">
        <f>MAX((B296-E296-F296)*Inputs!B19,0)</f>
        <v>1041.0779614316582</v>
      </c>
      <c r="H296">
        <f>G296*Inputs!B17</f>
        <v>260.26949035791455</v>
      </c>
      <c r="I296">
        <f t="shared" si="25"/>
        <v>171010.3842338557</v>
      </c>
      <c r="J296">
        <f t="shared" si="26"/>
        <v>826079.73724789219</v>
      </c>
      <c r="K296">
        <f>B296*Inputs!B8/12</f>
        <v>415.4542172840616</v>
      </c>
      <c r="L296">
        <f t="shared" si="27"/>
        <v>4362.2692814826469</v>
      </c>
      <c r="M296">
        <f t="shared" si="28"/>
        <v>170750.11474349778</v>
      </c>
    </row>
    <row r="297" spans="1:13" x14ac:dyDescent="0.2">
      <c r="A297">
        <v>296</v>
      </c>
      <c r="B297">
        <f t="shared" si="29"/>
        <v>826079.73724789219</v>
      </c>
      <c r="C297">
        <f>IF(A297&lt;=Inputs!B7,IF(B297&gt;0,-PMT(Inputs!B6/12,Inputs!B7-A297+1,B297),0),0)</f>
        <v>167598.49523977033</v>
      </c>
      <c r="D297">
        <f>B297*Inputs!B6/12</f>
        <v>3958.2987409794837</v>
      </c>
      <c r="E297">
        <f t="shared" si="24"/>
        <v>163640.19649879084</v>
      </c>
      <c r="F297">
        <f>MAX((B297-E297)*Inputs!B18,0)</f>
        <v>4586.9848482617226</v>
      </c>
      <c r="G297">
        <f>MAX((B297-E297-F297)*Inputs!B19,0)</f>
        <v>828.02389351853878</v>
      </c>
      <c r="H297">
        <f>G297*Inputs!B17</f>
        <v>207.0059733796347</v>
      </c>
      <c r="I297">
        <f t="shared" si="25"/>
        <v>169055.20524057111</v>
      </c>
      <c r="J297">
        <f t="shared" si="26"/>
        <v>657024.53200732102</v>
      </c>
      <c r="K297">
        <f>B297*Inputs!B8/12</f>
        <v>344.19989051995509</v>
      </c>
      <c r="L297">
        <f t="shared" si="27"/>
        <v>3614.0988504595284</v>
      </c>
      <c r="M297">
        <f t="shared" si="28"/>
        <v>168848.19926719149</v>
      </c>
    </row>
    <row r="298" spans="1:13" x14ac:dyDescent="0.2">
      <c r="A298">
        <v>297</v>
      </c>
      <c r="B298">
        <f t="shared" si="29"/>
        <v>657024.53200732102</v>
      </c>
      <c r="C298">
        <f>IF(A298&lt;=Inputs!B7,IF(B298&gt;0,-PMT(Inputs!B6/12,Inputs!B7-A298+1,B298),0),0)</f>
        <v>166228.48747150469</v>
      </c>
      <c r="D298">
        <f>B298*Inputs!B6/12</f>
        <v>3148.2425492017464</v>
      </c>
      <c r="E298">
        <f t="shared" si="24"/>
        <v>163080.24492230295</v>
      </c>
      <c r="F298">
        <f>MAX((B298-E298)*Inputs!B18,0)</f>
        <v>3420.2592408392402</v>
      </c>
      <c r="G298">
        <f>MAX((B298-E298-F298)*Inputs!B19,0)</f>
        <v>617.41132075369762</v>
      </c>
      <c r="H298">
        <f>G298*Inputs!B17</f>
        <v>154.35283018842441</v>
      </c>
      <c r="I298">
        <f t="shared" si="25"/>
        <v>167117.91548389589</v>
      </c>
      <c r="J298">
        <f t="shared" si="26"/>
        <v>489906.61652342509</v>
      </c>
      <c r="K298">
        <f>B298*Inputs!B8/12</f>
        <v>273.76022166971711</v>
      </c>
      <c r="L298">
        <f t="shared" si="27"/>
        <v>2874.4823275320296</v>
      </c>
      <c r="M298">
        <f t="shared" si="28"/>
        <v>166963.56265370746</v>
      </c>
    </row>
    <row r="299" spans="1:13" x14ac:dyDescent="0.2">
      <c r="A299">
        <v>298</v>
      </c>
      <c r="B299">
        <f t="shared" si="29"/>
        <v>489906.61652342509</v>
      </c>
      <c r="C299">
        <f>IF(A299&lt;=Inputs!B7,IF(B299&gt;0,-PMT(Inputs!B6/12,Inputs!B7-A299+1,B299),0),0)</f>
        <v>164869.67861813642</v>
      </c>
      <c r="D299">
        <f>B299*Inputs!B6/12</f>
        <v>2347.4692041747453</v>
      </c>
      <c r="E299">
        <f t="shared" si="24"/>
        <v>162522.20941396168</v>
      </c>
      <c r="F299">
        <f>MAX((B299-E299)*Inputs!B18,0)</f>
        <v>2266.9349013648734</v>
      </c>
      <c r="G299">
        <f>MAX((B299-E299-F299)*Inputs!B19,0)</f>
        <v>409.21789050437815</v>
      </c>
      <c r="H299">
        <f>G299*Inputs!B17</f>
        <v>102.30447262609454</v>
      </c>
      <c r="I299">
        <f t="shared" si="25"/>
        <v>165198.36220583093</v>
      </c>
      <c r="J299">
        <f t="shared" si="26"/>
        <v>324708.25431759417</v>
      </c>
      <c r="K299">
        <f>B299*Inputs!B8/12</f>
        <v>204.12775688476049</v>
      </c>
      <c r="L299">
        <f t="shared" si="27"/>
        <v>2143.3414472899849</v>
      </c>
      <c r="M299">
        <f t="shared" si="28"/>
        <v>165096.05773320483</v>
      </c>
    </row>
    <row r="300" spans="1:13" x14ac:dyDescent="0.2">
      <c r="A300">
        <v>299</v>
      </c>
      <c r="B300">
        <f t="shared" si="29"/>
        <v>324708.25431759417</v>
      </c>
      <c r="C300">
        <f>IF(A300&lt;=Inputs!B7,IF(B300&gt;0,-PMT(Inputs!B6/12,Inputs!B7-A300+1,B300),0),0)</f>
        <v>163521.97713588172</v>
      </c>
      <c r="D300">
        <f>B300*Inputs!B6/12</f>
        <v>1555.8937186051389</v>
      </c>
      <c r="E300">
        <f t="shared" si="24"/>
        <v>161966.08341727659</v>
      </c>
      <c r="F300">
        <f>MAX((B300-E300)*Inputs!B18,0)</f>
        <v>1126.8890610738943</v>
      </c>
      <c r="G300">
        <f>MAX((B300-E300-F300)*Inputs!B19,0)</f>
        <v>203.42144105129523</v>
      </c>
      <c r="H300">
        <f>G300*Inputs!B17</f>
        <v>50.855360262823808</v>
      </c>
      <c r="I300">
        <f t="shared" si="25"/>
        <v>163296.39391940177</v>
      </c>
      <c r="J300">
        <f t="shared" si="26"/>
        <v>161411.8603981924</v>
      </c>
      <c r="K300">
        <f>B300*Inputs!B8/12</f>
        <v>135.29510596566425</v>
      </c>
      <c r="L300">
        <f t="shared" si="27"/>
        <v>1420.5986126394746</v>
      </c>
      <c r="M300">
        <f t="shared" si="28"/>
        <v>163245.53855913895</v>
      </c>
    </row>
    <row r="301" spans="1:13" x14ac:dyDescent="0.2">
      <c r="A301">
        <v>300</v>
      </c>
      <c r="B301">
        <f t="shared" si="29"/>
        <v>161411.8603981924</v>
      </c>
      <c r="C301">
        <f>IF(A301&lt;=Inputs!B7,IF(B301&gt;0,-PMT(Inputs!B6/12,Inputs!B7-A301+1,B301),0),0)</f>
        <v>162185.29222926707</v>
      </c>
      <c r="D301">
        <f>B301*Inputs!B6/12</f>
        <v>773.431831074672</v>
      </c>
      <c r="E301">
        <f t="shared" si="24"/>
        <v>161411.8603981924</v>
      </c>
      <c r="F301">
        <f>MAX((B301-E301)*Inputs!B18,0)</f>
        <v>0</v>
      </c>
      <c r="G301">
        <f>MAX((B301-E301-F301)*Inputs!B19,0)</f>
        <v>0</v>
      </c>
      <c r="H301">
        <f>G301*Inputs!B17</f>
        <v>0</v>
      </c>
      <c r="I301">
        <f t="shared" si="25"/>
        <v>161411.8603981924</v>
      </c>
      <c r="J301">
        <f t="shared" si="26"/>
        <v>0</v>
      </c>
      <c r="K301">
        <f>B301*Inputs!B8/12</f>
        <v>67.254941832580172</v>
      </c>
      <c r="L301">
        <f t="shared" si="27"/>
        <v>706.17688924209187</v>
      </c>
      <c r="M301">
        <f t="shared" si="28"/>
        <v>161411.8603981924</v>
      </c>
    </row>
    <row r="302" spans="1:13" x14ac:dyDescent="0.2">
      <c r="A302">
        <v>301</v>
      </c>
      <c r="B302">
        <f t="shared" si="29"/>
        <v>0</v>
      </c>
      <c r="C302">
        <f>IF(A302&lt;=Inputs!B7,IF(B302&gt;0,-PMT(Inputs!B6/12,Inputs!B7-A302+1,B302),0),0)</f>
        <v>0</v>
      </c>
      <c r="D302">
        <f>B302*Inputs!B6/12</f>
        <v>0</v>
      </c>
      <c r="E302">
        <f t="shared" si="24"/>
        <v>0</v>
      </c>
      <c r="F302">
        <f>MAX((B302-E302)*Inputs!B18,0)</f>
        <v>0</v>
      </c>
      <c r="G302">
        <f>MAX((B302-E302-F302)*Inputs!B19,0)</f>
        <v>0</v>
      </c>
      <c r="H302">
        <f>G302*Inputs!B17</f>
        <v>0</v>
      </c>
      <c r="I302">
        <f t="shared" si="25"/>
        <v>0</v>
      </c>
      <c r="J302">
        <f t="shared" si="26"/>
        <v>0</v>
      </c>
      <c r="K302">
        <f>B302*Inputs!B8/12</f>
        <v>0</v>
      </c>
      <c r="L302">
        <f t="shared" si="27"/>
        <v>0</v>
      </c>
      <c r="M302">
        <f t="shared" si="28"/>
        <v>0</v>
      </c>
    </row>
    <row r="303" spans="1:13" x14ac:dyDescent="0.2">
      <c r="A303">
        <v>302</v>
      </c>
      <c r="B303">
        <f t="shared" si="29"/>
        <v>0</v>
      </c>
      <c r="C303">
        <f>IF(A303&lt;=Inputs!B7,IF(B303&gt;0,-PMT(Inputs!B6/12,Inputs!B7-A303+1,B303),0),0)</f>
        <v>0</v>
      </c>
      <c r="D303">
        <f>B303*Inputs!B6/12</f>
        <v>0</v>
      </c>
      <c r="E303">
        <f t="shared" si="24"/>
        <v>0</v>
      </c>
      <c r="F303">
        <f>MAX((B303-E303)*Inputs!B18,0)</f>
        <v>0</v>
      </c>
      <c r="G303">
        <f>MAX((B303-E303-F303)*Inputs!B19,0)</f>
        <v>0</v>
      </c>
      <c r="H303">
        <f>G303*Inputs!B17</f>
        <v>0</v>
      </c>
      <c r="I303">
        <f t="shared" si="25"/>
        <v>0</v>
      </c>
      <c r="J303">
        <f t="shared" si="26"/>
        <v>0</v>
      </c>
      <c r="K303">
        <f>B303*Inputs!B8/12</f>
        <v>0</v>
      </c>
      <c r="L303">
        <f t="shared" si="27"/>
        <v>0</v>
      </c>
      <c r="M303">
        <f t="shared" si="28"/>
        <v>0</v>
      </c>
    </row>
    <row r="304" spans="1:13" x14ac:dyDescent="0.2">
      <c r="A304">
        <v>303</v>
      </c>
      <c r="B304">
        <f t="shared" si="29"/>
        <v>0</v>
      </c>
      <c r="C304">
        <f>IF(A304&lt;=Inputs!B7,IF(B304&gt;0,-PMT(Inputs!B6/12,Inputs!B7-A304+1,B304),0),0)</f>
        <v>0</v>
      </c>
      <c r="D304">
        <f>B304*Inputs!B6/12</f>
        <v>0</v>
      </c>
      <c r="E304">
        <f t="shared" si="24"/>
        <v>0</v>
      </c>
      <c r="F304">
        <f>MAX((B304-E304)*Inputs!B18,0)</f>
        <v>0</v>
      </c>
      <c r="G304">
        <f>MAX((B304-E304-F304)*Inputs!B19,0)</f>
        <v>0</v>
      </c>
      <c r="H304">
        <f>G304*Inputs!B17</f>
        <v>0</v>
      </c>
      <c r="I304">
        <f t="shared" si="25"/>
        <v>0</v>
      </c>
      <c r="J304">
        <f t="shared" si="26"/>
        <v>0</v>
      </c>
      <c r="K304">
        <f>B304*Inputs!B8/12</f>
        <v>0</v>
      </c>
      <c r="L304">
        <f t="shared" si="27"/>
        <v>0</v>
      </c>
      <c r="M304">
        <f t="shared" si="28"/>
        <v>0</v>
      </c>
    </row>
    <row r="305" spans="1:13" x14ac:dyDescent="0.2">
      <c r="A305">
        <v>304</v>
      </c>
      <c r="B305">
        <f t="shared" si="29"/>
        <v>0</v>
      </c>
      <c r="C305">
        <f>IF(A305&lt;=Inputs!B7,IF(B305&gt;0,-PMT(Inputs!B6/12,Inputs!B7-A305+1,B305),0),0)</f>
        <v>0</v>
      </c>
      <c r="D305">
        <f>B305*Inputs!B6/12</f>
        <v>0</v>
      </c>
      <c r="E305">
        <f t="shared" si="24"/>
        <v>0</v>
      </c>
      <c r="F305">
        <f>MAX((B305-E305)*Inputs!B18,0)</f>
        <v>0</v>
      </c>
      <c r="G305">
        <f>MAX((B305-E305-F305)*Inputs!B19,0)</f>
        <v>0</v>
      </c>
      <c r="H305">
        <f>G305*Inputs!B17</f>
        <v>0</v>
      </c>
      <c r="I305">
        <f t="shared" si="25"/>
        <v>0</v>
      </c>
      <c r="J305">
        <f t="shared" si="26"/>
        <v>0</v>
      </c>
      <c r="K305">
        <f>B305*Inputs!B8/12</f>
        <v>0</v>
      </c>
      <c r="L305">
        <f t="shared" si="27"/>
        <v>0</v>
      </c>
      <c r="M305">
        <f t="shared" si="28"/>
        <v>0</v>
      </c>
    </row>
    <row r="306" spans="1:13" x14ac:dyDescent="0.2">
      <c r="A306">
        <v>305</v>
      </c>
      <c r="B306">
        <f t="shared" si="29"/>
        <v>0</v>
      </c>
      <c r="C306">
        <f>IF(A306&lt;=Inputs!B7,IF(B306&gt;0,-PMT(Inputs!B6/12,Inputs!B7-A306+1,B306),0),0)</f>
        <v>0</v>
      </c>
      <c r="D306">
        <f>B306*Inputs!B6/12</f>
        <v>0</v>
      </c>
      <c r="E306">
        <f t="shared" si="24"/>
        <v>0</v>
      </c>
      <c r="F306">
        <f>MAX((B306-E306)*Inputs!B18,0)</f>
        <v>0</v>
      </c>
      <c r="G306">
        <f>MAX((B306-E306-F306)*Inputs!B19,0)</f>
        <v>0</v>
      </c>
      <c r="H306">
        <f>G306*Inputs!B17</f>
        <v>0</v>
      </c>
      <c r="I306">
        <f t="shared" si="25"/>
        <v>0</v>
      </c>
      <c r="J306">
        <f t="shared" si="26"/>
        <v>0</v>
      </c>
      <c r="K306">
        <f>B306*Inputs!B8/12</f>
        <v>0</v>
      </c>
      <c r="L306">
        <f t="shared" si="27"/>
        <v>0</v>
      </c>
      <c r="M306">
        <f t="shared" si="28"/>
        <v>0</v>
      </c>
    </row>
    <row r="307" spans="1:13" x14ac:dyDescent="0.2">
      <c r="A307">
        <v>306</v>
      </c>
      <c r="B307">
        <f t="shared" si="29"/>
        <v>0</v>
      </c>
      <c r="C307">
        <f>IF(A307&lt;=Inputs!B7,IF(B307&gt;0,-PMT(Inputs!B6/12,Inputs!B7-A307+1,B307),0),0)</f>
        <v>0</v>
      </c>
      <c r="D307">
        <f>B307*Inputs!B6/12</f>
        <v>0</v>
      </c>
      <c r="E307">
        <f t="shared" si="24"/>
        <v>0</v>
      </c>
      <c r="F307">
        <f>MAX((B307-E307)*Inputs!B18,0)</f>
        <v>0</v>
      </c>
      <c r="G307">
        <f>MAX((B307-E307-F307)*Inputs!B19,0)</f>
        <v>0</v>
      </c>
      <c r="H307">
        <f>G307*Inputs!B17</f>
        <v>0</v>
      </c>
      <c r="I307">
        <f t="shared" si="25"/>
        <v>0</v>
      </c>
      <c r="J307">
        <f t="shared" si="26"/>
        <v>0</v>
      </c>
      <c r="K307">
        <f>B307*Inputs!B8/12</f>
        <v>0</v>
      </c>
      <c r="L307">
        <f t="shared" si="27"/>
        <v>0</v>
      </c>
      <c r="M307">
        <f t="shared" si="28"/>
        <v>0</v>
      </c>
    </row>
    <row r="308" spans="1:13" x14ac:dyDescent="0.2">
      <c r="A308">
        <v>307</v>
      </c>
      <c r="B308">
        <f t="shared" si="29"/>
        <v>0</v>
      </c>
      <c r="C308">
        <f>IF(A308&lt;=Inputs!B7,IF(B308&gt;0,-PMT(Inputs!B6/12,Inputs!B7-A308+1,B308),0),0)</f>
        <v>0</v>
      </c>
      <c r="D308">
        <f>B308*Inputs!B6/12</f>
        <v>0</v>
      </c>
      <c r="E308">
        <f t="shared" si="24"/>
        <v>0</v>
      </c>
      <c r="F308">
        <f>MAX((B308-E308)*Inputs!B18,0)</f>
        <v>0</v>
      </c>
      <c r="G308">
        <f>MAX((B308-E308-F308)*Inputs!B19,0)</f>
        <v>0</v>
      </c>
      <c r="H308">
        <f>G308*Inputs!B17</f>
        <v>0</v>
      </c>
      <c r="I308">
        <f t="shared" si="25"/>
        <v>0</v>
      </c>
      <c r="J308">
        <f t="shared" si="26"/>
        <v>0</v>
      </c>
      <c r="K308">
        <f>B308*Inputs!B8/12</f>
        <v>0</v>
      </c>
      <c r="L308">
        <f t="shared" si="27"/>
        <v>0</v>
      </c>
      <c r="M308">
        <f t="shared" si="28"/>
        <v>0</v>
      </c>
    </row>
    <row r="309" spans="1:13" x14ac:dyDescent="0.2">
      <c r="A309">
        <v>308</v>
      </c>
      <c r="B309">
        <f t="shared" si="29"/>
        <v>0</v>
      </c>
      <c r="C309">
        <f>IF(A309&lt;=Inputs!B7,IF(B309&gt;0,-PMT(Inputs!B6/12,Inputs!B7-A309+1,B309),0),0)</f>
        <v>0</v>
      </c>
      <c r="D309">
        <f>B309*Inputs!B6/12</f>
        <v>0</v>
      </c>
      <c r="E309">
        <f t="shared" si="24"/>
        <v>0</v>
      </c>
      <c r="F309">
        <f>MAX((B309-E309)*Inputs!B18,0)</f>
        <v>0</v>
      </c>
      <c r="G309">
        <f>MAX((B309-E309-F309)*Inputs!B19,0)</f>
        <v>0</v>
      </c>
      <c r="H309">
        <f>G309*Inputs!B17</f>
        <v>0</v>
      </c>
      <c r="I309">
        <f t="shared" si="25"/>
        <v>0</v>
      </c>
      <c r="J309">
        <f t="shared" si="26"/>
        <v>0</v>
      </c>
      <c r="K309">
        <f>B309*Inputs!B8/12</f>
        <v>0</v>
      </c>
      <c r="L309">
        <f t="shared" si="27"/>
        <v>0</v>
      </c>
      <c r="M309">
        <f t="shared" si="28"/>
        <v>0</v>
      </c>
    </row>
    <row r="310" spans="1:13" x14ac:dyDescent="0.2">
      <c r="A310">
        <v>309</v>
      </c>
      <c r="B310">
        <f t="shared" si="29"/>
        <v>0</v>
      </c>
      <c r="C310">
        <f>IF(A310&lt;=Inputs!B7,IF(B310&gt;0,-PMT(Inputs!B6/12,Inputs!B7-A310+1,B310),0),0)</f>
        <v>0</v>
      </c>
      <c r="D310">
        <f>B310*Inputs!B6/12</f>
        <v>0</v>
      </c>
      <c r="E310">
        <f t="shared" si="24"/>
        <v>0</v>
      </c>
      <c r="F310">
        <f>MAX((B310-E310)*Inputs!B18,0)</f>
        <v>0</v>
      </c>
      <c r="G310">
        <f>MAX((B310-E310-F310)*Inputs!B19,0)</f>
        <v>0</v>
      </c>
      <c r="H310">
        <f>G310*Inputs!B17</f>
        <v>0</v>
      </c>
      <c r="I310">
        <f t="shared" si="25"/>
        <v>0</v>
      </c>
      <c r="J310">
        <f t="shared" si="26"/>
        <v>0</v>
      </c>
      <c r="K310">
        <f>B310*Inputs!B8/12</f>
        <v>0</v>
      </c>
      <c r="L310">
        <f t="shared" si="27"/>
        <v>0</v>
      </c>
      <c r="M310">
        <f t="shared" si="28"/>
        <v>0</v>
      </c>
    </row>
    <row r="311" spans="1:13" x14ac:dyDescent="0.2">
      <c r="A311">
        <v>310</v>
      </c>
      <c r="B311">
        <f t="shared" si="29"/>
        <v>0</v>
      </c>
      <c r="C311">
        <f>IF(A311&lt;=Inputs!B7,IF(B311&gt;0,-PMT(Inputs!B6/12,Inputs!B7-A311+1,B311),0),0)</f>
        <v>0</v>
      </c>
      <c r="D311">
        <f>B311*Inputs!B6/12</f>
        <v>0</v>
      </c>
      <c r="E311">
        <f t="shared" si="24"/>
        <v>0</v>
      </c>
      <c r="F311">
        <f>MAX((B311-E311)*Inputs!B18,0)</f>
        <v>0</v>
      </c>
      <c r="G311">
        <f>MAX((B311-E311-F311)*Inputs!B19,0)</f>
        <v>0</v>
      </c>
      <c r="H311">
        <f>G311*Inputs!B17</f>
        <v>0</v>
      </c>
      <c r="I311">
        <f t="shared" si="25"/>
        <v>0</v>
      </c>
      <c r="J311">
        <f t="shared" si="26"/>
        <v>0</v>
      </c>
      <c r="K311">
        <f>B311*Inputs!B8/12</f>
        <v>0</v>
      </c>
      <c r="L311">
        <f t="shared" si="27"/>
        <v>0</v>
      </c>
      <c r="M311">
        <f t="shared" si="28"/>
        <v>0</v>
      </c>
    </row>
    <row r="312" spans="1:13" x14ac:dyDescent="0.2">
      <c r="A312">
        <v>311</v>
      </c>
      <c r="B312">
        <f t="shared" si="29"/>
        <v>0</v>
      </c>
      <c r="C312">
        <f>IF(A312&lt;=Inputs!B7,IF(B312&gt;0,-PMT(Inputs!B6/12,Inputs!B7-A312+1,B312),0),0)</f>
        <v>0</v>
      </c>
      <c r="D312">
        <f>B312*Inputs!B6/12</f>
        <v>0</v>
      </c>
      <c r="E312">
        <f t="shared" si="24"/>
        <v>0</v>
      </c>
      <c r="F312">
        <f>MAX((B312-E312)*Inputs!B18,0)</f>
        <v>0</v>
      </c>
      <c r="G312">
        <f>MAX((B312-E312-F312)*Inputs!B19,0)</f>
        <v>0</v>
      </c>
      <c r="H312">
        <f>G312*Inputs!B17</f>
        <v>0</v>
      </c>
      <c r="I312">
        <f t="shared" si="25"/>
        <v>0</v>
      </c>
      <c r="J312">
        <f t="shared" si="26"/>
        <v>0</v>
      </c>
      <c r="K312">
        <f>B312*Inputs!B8/12</f>
        <v>0</v>
      </c>
      <c r="L312">
        <f t="shared" si="27"/>
        <v>0</v>
      </c>
      <c r="M312">
        <f t="shared" si="28"/>
        <v>0</v>
      </c>
    </row>
    <row r="313" spans="1:13" x14ac:dyDescent="0.2">
      <c r="A313">
        <v>312</v>
      </c>
      <c r="B313">
        <f t="shared" si="29"/>
        <v>0</v>
      </c>
      <c r="C313">
        <f>IF(A313&lt;=Inputs!B7,IF(B313&gt;0,-PMT(Inputs!B6/12,Inputs!B7-A313+1,B313),0),0)</f>
        <v>0</v>
      </c>
      <c r="D313">
        <f>B313*Inputs!B6/12</f>
        <v>0</v>
      </c>
      <c r="E313">
        <f t="shared" si="24"/>
        <v>0</v>
      </c>
      <c r="F313">
        <f>MAX((B313-E313)*Inputs!B18,0)</f>
        <v>0</v>
      </c>
      <c r="G313">
        <f>MAX((B313-E313-F313)*Inputs!B19,0)</f>
        <v>0</v>
      </c>
      <c r="H313">
        <f>G313*Inputs!B17</f>
        <v>0</v>
      </c>
      <c r="I313">
        <f t="shared" si="25"/>
        <v>0</v>
      </c>
      <c r="J313">
        <f t="shared" si="26"/>
        <v>0</v>
      </c>
      <c r="K313">
        <f>B313*Inputs!B8/12</f>
        <v>0</v>
      </c>
      <c r="L313">
        <f t="shared" si="27"/>
        <v>0</v>
      </c>
      <c r="M313">
        <f t="shared" si="28"/>
        <v>0</v>
      </c>
    </row>
    <row r="314" spans="1:13" x14ac:dyDescent="0.2">
      <c r="A314">
        <v>313</v>
      </c>
      <c r="B314">
        <f t="shared" si="29"/>
        <v>0</v>
      </c>
      <c r="C314">
        <f>IF(A314&lt;=Inputs!B7,IF(B314&gt;0,-PMT(Inputs!B6/12,Inputs!B7-A314+1,B314),0),0)</f>
        <v>0</v>
      </c>
      <c r="D314">
        <f>B314*Inputs!B6/12</f>
        <v>0</v>
      </c>
      <c r="E314">
        <f t="shared" si="24"/>
        <v>0</v>
      </c>
      <c r="F314">
        <f>MAX((B314-E314)*Inputs!B18,0)</f>
        <v>0</v>
      </c>
      <c r="G314">
        <f>MAX((B314-E314-F314)*Inputs!B19,0)</f>
        <v>0</v>
      </c>
      <c r="H314">
        <f>G314*Inputs!B17</f>
        <v>0</v>
      </c>
      <c r="I314">
        <f t="shared" si="25"/>
        <v>0</v>
      </c>
      <c r="J314">
        <f t="shared" si="26"/>
        <v>0</v>
      </c>
      <c r="K314">
        <f>B314*Inputs!B8/12</f>
        <v>0</v>
      </c>
      <c r="L314">
        <f t="shared" si="27"/>
        <v>0</v>
      </c>
      <c r="M314">
        <f t="shared" si="28"/>
        <v>0</v>
      </c>
    </row>
    <row r="315" spans="1:13" x14ac:dyDescent="0.2">
      <c r="A315">
        <v>314</v>
      </c>
      <c r="B315">
        <f t="shared" si="29"/>
        <v>0</v>
      </c>
      <c r="C315">
        <f>IF(A315&lt;=Inputs!B7,IF(B315&gt;0,-PMT(Inputs!B6/12,Inputs!B7-A315+1,B315),0),0)</f>
        <v>0</v>
      </c>
      <c r="D315">
        <f>B315*Inputs!B6/12</f>
        <v>0</v>
      </c>
      <c r="E315">
        <f t="shared" si="24"/>
        <v>0</v>
      </c>
      <c r="F315">
        <f>MAX((B315-E315)*Inputs!B18,0)</f>
        <v>0</v>
      </c>
      <c r="G315">
        <f>MAX((B315-E315-F315)*Inputs!B19,0)</f>
        <v>0</v>
      </c>
      <c r="H315">
        <f>G315*Inputs!B17</f>
        <v>0</v>
      </c>
      <c r="I315">
        <f t="shared" si="25"/>
        <v>0</v>
      </c>
      <c r="J315">
        <f t="shared" si="26"/>
        <v>0</v>
      </c>
      <c r="K315">
        <f>B315*Inputs!B8/12</f>
        <v>0</v>
      </c>
      <c r="L315">
        <f t="shared" si="27"/>
        <v>0</v>
      </c>
      <c r="M315">
        <f t="shared" si="28"/>
        <v>0</v>
      </c>
    </row>
    <row r="316" spans="1:13" x14ac:dyDescent="0.2">
      <c r="A316">
        <v>315</v>
      </c>
      <c r="B316">
        <f t="shared" si="29"/>
        <v>0</v>
      </c>
      <c r="C316">
        <f>IF(A316&lt;=Inputs!B7,IF(B316&gt;0,-PMT(Inputs!B6/12,Inputs!B7-A316+1,B316),0),0)</f>
        <v>0</v>
      </c>
      <c r="D316">
        <f>B316*Inputs!B6/12</f>
        <v>0</v>
      </c>
      <c r="E316">
        <f t="shared" si="24"/>
        <v>0</v>
      </c>
      <c r="F316">
        <f>MAX((B316-E316)*Inputs!B18,0)</f>
        <v>0</v>
      </c>
      <c r="G316">
        <f>MAX((B316-E316-F316)*Inputs!B19,0)</f>
        <v>0</v>
      </c>
      <c r="H316">
        <f>G316*Inputs!B17</f>
        <v>0</v>
      </c>
      <c r="I316">
        <f t="shared" si="25"/>
        <v>0</v>
      </c>
      <c r="J316">
        <f t="shared" si="26"/>
        <v>0</v>
      </c>
      <c r="K316">
        <f>B316*Inputs!B8/12</f>
        <v>0</v>
      </c>
      <c r="L316">
        <f t="shared" si="27"/>
        <v>0</v>
      </c>
      <c r="M316">
        <f t="shared" si="28"/>
        <v>0</v>
      </c>
    </row>
    <row r="317" spans="1:13" x14ac:dyDescent="0.2">
      <c r="A317">
        <v>316</v>
      </c>
      <c r="B317">
        <f t="shared" si="29"/>
        <v>0</v>
      </c>
      <c r="C317">
        <f>IF(A317&lt;=Inputs!B7,IF(B317&gt;0,-PMT(Inputs!B6/12,Inputs!B7-A317+1,B317),0),0)</f>
        <v>0</v>
      </c>
      <c r="D317">
        <f>B317*Inputs!B6/12</f>
        <v>0</v>
      </c>
      <c r="E317">
        <f t="shared" si="24"/>
        <v>0</v>
      </c>
      <c r="F317">
        <f>MAX((B317-E317)*Inputs!B18,0)</f>
        <v>0</v>
      </c>
      <c r="G317">
        <f>MAX((B317-E317-F317)*Inputs!B19,0)</f>
        <v>0</v>
      </c>
      <c r="H317">
        <f>G317*Inputs!B17</f>
        <v>0</v>
      </c>
      <c r="I317">
        <f t="shared" si="25"/>
        <v>0</v>
      </c>
      <c r="J317">
        <f t="shared" si="26"/>
        <v>0</v>
      </c>
      <c r="K317">
        <f>B317*Inputs!B8/12</f>
        <v>0</v>
      </c>
      <c r="L317">
        <f t="shared" si="27"/>
        <v>0</v>
      </c>
      <c r="M317">
        <f t="shared" si="28"/>
        <v>0</v>
      </c>
    </row>
    <row r="318" spans="1:13" x14ac:dyDescent="0.2">
      <c r="A318">
        <v>317</v>
      </c>
      <c r="B318">
        <f t="shared" si="29"/>
        <v>0</v>
      </c>
      <c r="C318">
        <f>IF(A318&lt;=Inputs!B7,IF(B318&gt;0,-PMT(Inputs!B6/12,Inputs!B7-A318+1,B318),0),0)</f>
        <v>0</v>
      </c>
      <c r="D318">
        <f>B318*Inputs!B6/12</f>
        <v>0</v>
      </c>
      <c r="E318">
        <f t="shared" si="24"/>
        <v>0</v>
      </c>
      <c r="F318">
        <f>MAX((B318-E318)*Inputs!B18,0)</f>
        <v>0</v>
      </c>
      <c r="G318">
        <f>MAX((B318-E318-F318)*Inputs!B19,0)</f>
        <v>0</v>
      </c>
      <c r="H318">
        <f>G318*Inputs!B17</f>
        <v>0</v>
      </c>
      <c r="I318">
        <f t="shared" si="25"/>
        <v>0</v>
      </c>
      <c r="J318">
        <f t="shared" si="26"/>
        <v>0</v>
      </c>
      <c r="K318">
        <f>B318*Inputs!B8/12</f>
        <v>0</v>
      </c>
      <c r="L318">
        <f t="shared" si="27"/>
        <v>0</v>
      </c>
      <c r="M318">
        <f t="shared" si="28"/>
        <v>0</v>
      </c>
    </row>
    <row r="319" spans="1:13" x14ac:dyDescent="0.2">
      <c r="A319">
        <v>318</v>
      </c>
      <c r="B319">
        <f t="shared" si="29"/>
        <v>0</v>
      </c>
      <c r="C319">
        <f>IF(A319&lt;=Inputs!B7,IF(B319&gt;0,-PMT(Inputs!B6/12,Inputs!B7-A319+1,B319),0),0)</f>
        <v>0</v>
      </c>
      <c r="D319">
        <f>B319*Inputs!B6/12</f>
        <v>0</v>
      </c>
      <c r="E319">
        <f t="shared" si="24"/>
        <v>0</v>
      </c>
      <c r="F319">
        <f>MAX((B319-E319)*Inputs!B18,0)</f>
        <v>0</v>
      </c>
      <c r="G319">
        <f>MAX((B319-E319-F319)*Inputs!B19,0)</f>
        <v>0</v>
      </c>
      <c r="H319">
        <f>G319*Inputs!B17</f>
        <v>0</v>
      </c>
      <c r="I319">
        <f t="shared" si="25"/>
        <v>0</v>
      </c>
      <c r="J319">
        <f t="shared" si="26"/>
        <v>0</v>
      </c>
      <c r="K319">
        <f>B319*Inputs!B8/12</f>
        <v>0</v>
      </c>
      <c r="L319">
        <f t="shared" si="27"/>
        <v>0</v>
      </c>
      <c r="M319">
        <f t="shared" si="28"/>
        <v>0</v>
      </c>
    </row>
    <row r="320" spans="1:13" x14ac:dyDescent="0.2">
      <c r="A320">
        <v>319</v>
      </c>
      <c r="B320">
        <f t="shared" si="29"/>
        <v>0</v>
      </c>
      <c r="C320">
        <f>IF(A320&lt;=Inputs!B7,IF(B320&gt;0,-PMT(Inputs!B6/12,Inputs!B7-A320+1,B320),0),0)</f>
        <v>0</v>
      </c>
      <c r="D320">
        <f>B320*Inputs!B6/12</f>
        <v>0</v>
      </c>
      <c r="E320">
        <f t="shared" si="24"/>
        <v>0</v>
      </c>
      <c r="F320">
        <f>MAX((B320-E320)*Inputs!B18,0)</f>
        <v>0</v>
      </c>
      <c r="G320">
        <f>MAX((B320-E320-F320)*Inputs!B19,0)</f>
        <v>0</v>
      </c>
      <c r="H320">
        <f>G320*Inputs!B17</f>
        <v>0</v>
      </c>
      <c r="I320">
        <f t="shared" si="25"/>
        <v>0</v>
      </c>
      <c r="J320">
        <f t="shared" si="26"/>
        <v>0</v>
      </c>
      <c r="K320">
        <f>B320*Inputs!B8/12</f>
        <v>0</v>
      </c>
      <c r="L320">
        <f t="shared" si="27"/>
        <v>0</v>
      </c>
      <c r="M320">
        <f t="shared" si="28"/>
        <v>0</v>
      </c>
    </row>
    <row r="321" spans="1:13" x14ac:dyDescent="0.2">
      <c r="A321">
        <v>320</v>
      </c>
      <c r="B321">
        <f t="shared" si="29"/>
        <v>0</v>
      </c>
      <c r="C321">
        <f>IF(A321&lt;=Inputs!B7,IF(B321&gt;0,-PMT(Inputs!B6/12,Inputs!B7-A321+1,B321),0),0)</f>
        <v>0</v>
      </c>
      <c r="D321">
        <f>B321*Inputs!B6/12</f>
        <v>0</v>
      </c>
      <c r="E321">
        <f t="shared" si="24"/>
        <v>0</v>
      </c>
      <c r="F321">
        <f>MAX((B321-E321)*Inputs!B18,0)</f>
        <v>0</v>
      </c>
      <c r="G321">
        <f>MAX((B321-E321-F321)*Inputs!B19,0)</f>
        <v>0</v>
      </c>
      <c r="H321">
        <f>G321*Inputs!B17</f>
        <v>0</v>
      </c>
      <c r="I321">
        <f t="shared" si="25"/>
        <v>0</v>
      </c>
      <c r="J321">
        <f t="shared" si="26"/>
        <v>0</v>
      </c>
      <c r="K321">
        <f>B321*Inputs!B8/12</f>
        <v>0</v>
      </c>
      <c r="L321">
        <f t="shared" si="27"/>
        <v>0</v>
      </c>
      <c r="M321">
        <f t="shared" si="28"/>
        <v>0</v>
      </c>
    </row>
    <row r="322" spans="1:13" x14ac:dyDescent="0.2">
      <c r="A322">
        <v>321</v>
      </c>
      <c r="B322">
        <f t="shared" si="29"/>
        <v>0</v>
      </c>
      <c r="C322">
        <f>IF(A322&lt;=Inputs!B7,IF(B322&gt;0,-PMT(Inputs!B6/12,Inputs!B7-A322+1,B322),0),0)</f>
        <v>0</v>
      </c>
      <c r="D322">
        <f>B322*Inputs!B6/12</f>
        <v>0</v>
      </c>
      <c r="E322">
        <f t="shared" ref="E322:E385" si="30">MAX(C322-D322,0)</f>
        <v>0</v>
      </c>
      <c r="F322">
        <f>MAX((B322-E322)*Inputs!B18,0)</f>
        <v>0</v>
      </c>
      <c r="G322">
        <f>MAX((B322-E322-F322)*Inputs!B19,0)</f>
        <v>0</v>
      </c>
      <c r="H322">
        <f>G322*Inputs!B17</f>
        <v>0</v>
      </c>
      <c r="I322">
        <f t="shared" ref="I322:I361" si="31">MIN(B322,E322+F322+G322)</f>
        <v>0</v>
      </c>
      <c r="J322">
        <f t="shared" ref="J322:J385" si="32">MAX(B322-I322,0)</f>
        <v>0</v>
      </c>
      <c r="K322">
        <f>B322*Inputs!B8/12</f>
        <v>0</v>
      </c>
      <c r="L322">
        <f t="shared" ref="L322:L385" si="33">MAX(D322-K322,0)</f>
        <v>0</v>
      </c>
      <c r="M322">
        <f t="shared" ref="M322:M361" si="34">MAX(I322-H322,0)</f>
        <v>0</v>
      </c>
    </row>
    <row r="323" spans="1:13" x14ac:dyDescent="0.2">
      <c r="A323">
        <v>322</v>
      </c>
      <c r="B323">
        <f t="shared" ref="B323:B361" si="35">J322</f>
        <v>0</v>
      </c>
      <c r="C323">
        <f>IF(A323&lt;=Inputs!B7,IF(B323&gt;0,-PMT(Inputs!B6/12,Inputs!B7-A323+1,B323),0),0)</f>
        <v>0</v>
      </c>
      <c r="D323">
        <f>B323*Inputs!B6/12</f>
        <v>0</v>
      </c>
      <c r="E323">
        <f t="shared" si="30"/>
        <v>0</v>
      </c>
      <c r="F323">
        <f>MAX((B323-E323)*Inputs!B18,0)</f>
        <v>0</v>
      </c>
      <c r="G323">
        <f>MAX((B323-E323-F323)*Inputs!B19,0)</f>
        <v>0</v>
      </c>
      <c r="H323">
        <f>G323*Inputs!B17</f>
        <v>0</v>
      </c>
      <c r="I323">
        <f t="shared" si="31"/>
        <v>0</v>
      </c>
      <c r="J323">
        <f t="shared" si="32"/>
        <v>0</v>
      </c>
      <c r="K323">
        <f>B323*Inputs!B8/12</f>
        <v>0</v>
      </c>
      <c r="L323">
        <f t="shared" si="33"/>
        <v>0</v>
      </c>
      <c r="M323">
        <f t="shared" si="34"/>
        <v>0</v>
      </c>
    </row>
    <row r="324" spans="1:13" x14ac:dyDescent="0.2">
      <c r="A324">
        <v>323</v>
      </c>
      <c r="B324">
        <f t="shared" si="35"/>
        <v>0</v>
      </c>
      <c r="C324">
        <f>IF(A324&lt;=Inputs!B7,IF(B324&gt;0,-PMT(Inputs!B6/12,Inputs!B7-A324+1,B324),0),0)</f>
        <v>0</v>
      </c>
      <c r="D324">
        <f>B324*Inputs!B6/12</f>
        <v>0</v>
      </c>
      <c r="E324">
        <f t="shared" si="30"/>
        <v>0</v>
      </c>
      <c r="F324">
        <f>MAX((B324-E324)*Inputs!B18,0)</f>
        <v>0</v>
      </c>
      <c r="G324">
        <f>MAX((B324-E324-F324)*Inputs!B19,0)</f>
        <v>0</v>
      </c>
      <c r="H324">
        <f>G324*Inputs!B17</f>
        <v>0</v>
      </c>
      <c r="I324">
        <f t="shared" si="31"/>
        <v>0</v>
      </c>
      <c r="J324">
        <f t="shared" si="32"/>
        <v>0</v>
      </c>
      <c r="K324">
        <f>B324*Inputs!B8/12</f>
        <v>0</v>
      </c>
      <c r="L324">
        <f t="shared" si="33"/>
        <v>0</v>
      </c>
      <c r="M324">
        <f t="shared" si="34"/>
        <v>0</v>
      </c>
    </row>
    <row r="325" spans="1:13" x14ac:dyDescent="0.2">
      <c r="A325">
        <v>324</v>
      </c>
      <c r="B325">
        <f t="shared" si="35"/>
        <v>0</v>
      </c>
      <c r="C325">
        <f>IF(A325&lt;=Inputs!B7,IF(B325&gt;0,-PMT(Inputs!B6/12,Inputs!B7-A325+1,B325),0),0)</f>
        <v>0</v>
      </c>
      <c r="D325">
        <f>B325*Inputs!B6/12</f>
        <v>0</v>
      </c>
      <c r="E325">
        <f t="shared" si="30"/>
        <v>0</v>
      </c>
      <c r="F325">
        <f>MAX((B325-E325)*Inputs!B18,0)</f>
        <v>0</v>
      </c>
      <c r="G325">
        <f>MAX((B325-E325-F325)*Inputs!B19,0)</f>
        <v>0</v>
      </c>
      <c r="H325">
        <f>G325*Inputs!B17</f>
        <v>0</v>
      </c>
      <c r="I325">
        <f t="shared" si="31"/>
        <v>0</v>
      </c>
      <c r="J325">
        <f t="shared" si="32"/>
        <v>0</v>
      </c>
      <c r="K325">
        <f>B325*Inputs!B8/12</f>
        <v>0</v>
      </c>
      <c r="L325">
        <f t="shared" si="33"/>
        <v>0</v>
      </c>
      <c r="M325">
        <f t="shared" si="34"/>
        <v>0</v>
      </c>
    </row>
    <row r="326" spans="1:13" x14ac:dyDescent="0.2">
      <c r="A326">
        <v>325</v>
      </c>
      <c r="B326">
        <f t="shared" si="35"/>
        <v>0</v>
      </c>
      <c r="C326">
        <f>IF(A326&lt;=Inputs!B7,IF(B326&gt;0,-PMT(Inputs!B6/12,Inputs!B7-A326+1,B326),0),0)</f>
        <v>0</v>
      </c>
      <c r="D326">
        <f>B326*Inputs!B6/12</f>
        <v>0</v>
      </c>
      <c r="E326">
        <f t="shared" si="30"/>
        <v>0</v>
      </c>
      <c r="F326">
        <f>MAX((B326-E326)*Inputs!B18,0)</f>
        <v>0</v>
      </c>
      <c r="G326">
        <f>MAX((B326-E326-F326)*Inputs!B19,0)</f>
        <v>0</v>
      </c>
      <c r="H326">
        <f>G326*Inputs!B17</f>
        <v>0</v>
      </c>
      <c r="I326">
        <f t="shared" si="31"/>
        <v>0</v>
      </c>
      <c r="J326">
        <f t="shared" si="32"/>
        <v>0</v>
      </c>
      <c r="K326">
        <f>B326*Inputs!B8/12</f>
        <v>0</v>
      </c>
      <c r="L326">
        <f t="shared" si="33"/>
        <v>0</v>
      </c>
      <c r="M326">
        <f t="shared" si="34"/>
        <v>0</v>
      </c>
    </row>
    <row r="327" spans="1:13" x14ac:dyDescent="0.2">
      <c r="A327">
        <v>326</v>
      </c>
      <c r="B327">
        <f t="shared" si="35"/>
        <v>0</v>
      </c>
      <c r="C327">
        <f>IF(A327&lt;=Inputs!B7,IF(B327&gt;0,-PMT(Inputs!B6/12,Inputs!B7-A327+1,B327),0),0)</f>
        <v>0</v>
      </c>
      <c r="D327">
        <f>B327*Inputs!B6/12</f>
        <v>0</v>
      </c>
      <c r="E327">
        <f t="shared" si="30"/>
        <v>0</v>
      </c>
      <c r="F327">
        <f>MAX((B327-E327)*Inputs!B18,0)</f>
        <v>0</v>
      </c>
      <c r="G327">
        <f>MAX((B327-E327-F327)*Inputs!B19,0)</f>
        <v>0</v>
      </c>
      <c r="H327">
        <f>G327*Inputs!B17</f>
        <v>0</v>
      </c>
      <c r="I327">
        <f t="shared" si="31"/>
        <v>0</v>
      </c>
      <c r="J327">
        <f t="shared" si="32"/>
        <v>0</v>
      </c>
      <c r="K327">
        <f>B327*Inputs!B8/12</f>
        <v>0</v>
      </c>
      <c r="L327">
        <f t="shared" si="33"/>
        <v>0</v>
      </c>
      <c r="M327">
        <f t="shared" si="34"/>
        <v>0</v>
      </c>
    </row>
    <row r="328" spans="1:13" x14ac:dyDescent="0.2">
      <c r="A328">
        <v>327</v>
      </c>
      <c r="B328">
        <f t="shared" si="35"/>
        <v>0</v>
      </c>
      <c r="C328">
        <f>IF(A328&lt;=Inputs!B7,IF(B328&gt;0,-PMT(Inputs!B6/12,Inputs!B7-A328+1,B328),0),0)</f>
        <v>0</v>
      </c>
      <c r="D328">
        <f>B328*Inputs!B6/12</f>
        <v>0</v>
      </c>
      <c r="E328">
        <f t="shared" si="30"/>
        <v>0</v>
      </c>
      <c r="F328">
        <f>MAX((B328-E328)*Inputs!B18,0)</f>
        <v>0</v>
      </c>
      <c r="G328">
        <f>MAX((B328-E328-F328)*Inputs!B19,0)</f>
        <v>0</v>
      </c>
      <c r="H328">
        <f>G328*Inputs!B17</f>
        <v>0</v>
      </c>
      <c r="I328">
        <f t="shared" si="31"/>
        <v>0</v>
      </c>
      <c r="J328">
        <f t="shared" si="32"/>
        <v>0</v>
      </c>
      <c r="K328">
        <f>B328*Inputs!B8/12</f>
        <v>0</v>
      </c>
      <c r="L328">
        <f t="shared" si="33"/>
        <v>0</v>
      </c>
      <c r="M328">
        <f t="shared" si="34"/>
        <v>0</v>
      </c>
    </row>
    <row r="329" spans="1:13" x14ac:dyDescent="0.2">
      <c r="A329">
        <v>328</v>
      </c>
      <c r="B329">
        <f t="shared" si="35"/>
        <v>0</v>
      </c>
      <c r="C329">
        <f>IF(A329&lt;=Inputs!B7,IF(B329&gt;0,-PMT(Inputs!B6/12,Inputs!B7-A329+1,B329),0),0)</f>
        <v>0</v>
      </c>
      <c r="D329">
        <f>B329*Inputs!B6/12</f>
        <v>0</v>
      </c>
      <c r="E329">
        <f t="shared" si="30"/>
        <v>0</v>
      </c>
      <c r="F329">
        <f>MAX((B329-E329)*Inputs!B18,0)</f>
        <v>0</v>
      </c>
      <c r="G329">
        <f>MAX((B329-E329-F329)*Inputs!B19,0)</f>
        <v>0</v>
      </c>
      <c r="H329">
        <f>G329*Inputs!B17</f>
        <v>0</v>
      </c>
      <c r="I329">
        <f t="shared" si="31"/>
        <v>0</v>
      </c>
      <c r="J329">
        <f t="shared" si="32"/>
        <v>0</v>
      </c>
      <c r="K329">
        <f>B329*Inputs!B8/12</f>
        <v>0</v>
      </c>
      <c r="L329">
        <f t="shared" si="33"/>
        <v>0</v>
      </c>
      <c r="M329">
        <f t="shared" si="34"/>
        <v>0</v>
      </c>
    </row>
    <row r="330" spans="1:13" x14ac:dyDescent="0.2">
      <c r="A330">
        <v>329</v>
      </c>
      <c r="B330">
        <f t="shared" si="35"/>
        <v>0</v>
      </c>
      <c r="C330">
        <f>IF(A330&lt;=Inputs!B7,IF(B330&gt;0,-PMT(Inputs!B6/12,Inputs!B7-A330+1,B330),0),0)</f>
        <v>0</v>
      </c>
      <c r="D330">
        <f>B330*Inputs!B6/12</f>
        <v>0</v>
      </c>
      <c r="E330">
        <f t="shared" si="30"/>
        <v>0</v>
      </c>
      <c r="F330">
        <f>MAX((B330-E330)*Inputs!B18,0)</f>
        <v>0</v>
      </c>
      <c r="G330">
        <f>MAX((B330-E330-F330)*Inputs!B19,0)</f>
        <v>0</v>
      </c>
      <c r="H330">
        <f>G330*Inputs!B17</f>
        <v>0</v>
      </c>
      <c r="I330">
        <f t="shared" si="31"/>
        <v>0</v>
      </c>
      <c r="J330">
        <f t="shared" si="32"/>
        <v>0</v>
      </c>
      <c r="K330">
        <f>B330*Inputs!B8/12</f>
        <v>0</v>
      </c>
      <c r="L330">
        <f t="shared" si="33"/>
        <v>0</v>
      </c>
      <c r="M330">
        <f t="shared" si="34"/>
        <v>0</v>
      </c>
    </row>
    <row r="331" spans="1:13" x14ac:dyDescent="0.2">
      <c r="A331">
        <v>330</v>
      </c>
      <c r="B331">
        <f t="shared" si="35"/>
        <v>0</v>
      </c>
      <c r="C331">
        <f>IF(A331&lt;=Inputs!B7,IF(B331&gt;0,-PMT(Inputs!B6/12,Inputs!B7-A331+1,B331),0),0)</f>
        <v>0</v>
      </c>
      <c r="D331">
        <f>B331*Inputs!B6/12</f>
        <v>0</v>
      </c>
      <c r="E331">
        <f t="shared" si="30"/>
        <v>0</v>
      </c>
      <c r="F331">
        <f>MAX((B331-E331)*Inputs!B18,0)</f>
        <v>0</v>
      </c>
      <c r="G331">
        <f>MAX((B331-E331-F331)*Inputs!B19,0)</f>
        <v>0</v>
      </c>
      <c r="H331">
        <f>G331*Inputs!B17</f>
        <v>0</v>
      </c>
      <c r="I331">
        <f t="shared" si="31"/>
        <v>0</v>
      </c>
      <c r="J331">
        <f t="shared" si="32"/>
        <v>0</v>
      </c>
      <c r="K331">
        <f>B331*Inputs!B8/12</f>
        <v>0</v>
      </c>
      <c r="L331">
        <f t="shared" si="33"/>
        <v>0</v>
      </c>
      <c r="M331">
        <f t="shared" si="34"/>
        <v>0</v>
      </c>
    </row>
    <row r="332" spans="1:13" x14ac:dyDescent="0.2">
      <c r="A332">
        <v>331</v>
      </c>
      <c r="B332">
        <f t="shared" si="35"/>
        <v>0</v>
      </c>
      <c r="C332">
        <f>IF(A332&lt;=Inputs!B7,IF(B332&gt;0,-PMT(Inputs!B6/12,Inputs!B7-A332+1,B332),0),0)</f>
        <v>0</v>
      </c>
      <c r="D332">
        <f>B332*Inputs!B6/12</f>
        <v>0</v>
      </c>
      <c r="E332">
        <f t="shared" si="30"/>
        <v>0</v>
      </c>
      <c r="F332">
        <f>MAX((B332-E332)*Inputs!B18,0)</f>
        <v>0</v>
      </c>
      <c r="G332">
        <f>MAX((B332-E332-F332)*Inputs!B19,0)</f>
        <v>0</v>
      </c>
      <c r="H332">
        <f>G332*Inputs!B17</f>
        <v>0</v>
      </c>
      <c r="I332">
        <f t="shared" si="31"/>
        <v>0</v>
      </c>
      <c r="J332">
        <f t="shared" si="32"/>
        <v>0</v>
      </c>
      <c r="K332">
        <f>B332*Inputs!B8/12</f>
        <v>0</v>
      </c>
      <c r="L332">
        <f t="shared" si="33"/>
        <v>0</v>
      </c>
      <c r="M332">
        <f t="shared" si="34"/>
        <v>0</v>
      </c>
    </row>
    <row r="333" spans="1:13" x14ac:dyDescent="0.2">
      <c r="A333">
        <v>332</v>
      </c>
      <c r="B333">
        <f t="shared" si="35"/>
        <v>0</v>
      </c>
      <c r="C333">
        <f>IF(A333&lt;=Inputs!B7,IF(B333&gt;0,-PMT(Inputs!B6/12,Inputs!B7-A333+1,B333),0),0)</f>
        <v>0</v>
      </c>
      <c r="D333">
        <f>B333*Inputs!B6/12</f>
        <v>0</v>
      </c>
      <c r="E333">
        <f t="shared" si="30"/>
        <v>0</v>
      </c>
      <c r="F333">
        <f>MAX((B333-E333)*Inputs!B18,0)</f>
        <v>0</v>
      </c>
      <c r="G333">
        <f>MAX((B333-E333-F333)*Inputs!B19,0)</f>
        <v>0</v>
      </c>
      <c r="H333">
        <f>G333*Inputs!B17</f>
        <v>0</v>
      </c>
      <c r="I333">
        <f t="shared" si="31"/>
        <v>0</v>
      </c>
      <c r="J333">
        <f t="shared" si="32"/>
        <v>0</v>
      </c>
      <c r="K333">
        <f>B333*Inputs!B8/12</f>
        <v>0</v>
      </c>
      <c r="L333">
        <f t="shared" si="33"/>
        <v>0</v>
      </c>
      <c r="M333">
        <f t="shared" si="34"/>
        <v>0</v>
      </c>
    </row>
    <row r="334" spans="1:13" x14ac:dyDescent="0.2">
      <c r="A334">
        <v>333</v>
      </c>
      <c r="B334">
        <f t="shared" si="35"/>
        <v>0</v>
      </c>
      <c r="C334">
        <f>IF(A334&lt;=Inputs!B7,IF(B334&gt;0,-PMT(Inputs!B6/12,Inputs!B7-A334+1,B334),0),0)</f>
        <v>0</v>
      </c>
      <c r="D334">
        <f>B334*Inputs!B6/12</f>
        <v>0</v>
      </c>
      <c r="E334">
        <f t="shared" si="30"/>
        <v>0</v>
      </c>
      <c r="F334">
        <f>MAX((B334-E334)*Inputs!B18,0)</f>
        <v>0</v>
      </c>
      <c r="G334">
        <f>MAX((B334-E334-F334)*Inputs!B19,0)</f>
        <v>0</v>
      </c>
      <c r="H334">
        <f>G334*Inputs!B17</f>
        <v>0</v>
      </c>
      <c r="I334">
        <f t="shared" si="31"/>
        <v>0</v>
      </c>
      <c r="J334">
        <f t="shared" si="32"/>
        <v>0</v>
      </c>
      <c r="K334">
        <f>B334*Inputs!B8/12</f>
        <v>0</v>
      </c>
      <c r="L334">
        <f t="shared" si="33"/>
        <v>0</v>
      </c>
      <c r="M334">
        <f t="shared" si="34"/>
        <v>0</v>
      </c>
    </row>
    <row r="335" spans="1:13" x14ac:dyDescent="0.2">
      <c r="A335">
        <v>334</v>
      </c>
      <c r="B335">
        <f t="shared" si="35"/>
        <v>0</v>
      </c>
      <c r="C335">
        <f>IF(A335&lt;=Inputs!B7,IF(B335&gt;0,-PMT(Inputs!B6/12,Inputs!B7-A335+1,B335),0),0)</f>
        <v>0</v>
      </c>
      <c r="D335">
        <f>B335*Inputs!B6/12</f>
        <v>0</v>
      </c>
      <c r="E335">
        <f t="shared" si="30"/>
        <v>0</v>
      </c>
      <c r="F335">
        <f>MAX((B335-E335)*Inputs!B18,0)</f>
        <v>0</v>
      </c>
      <c r="G335">
        <f>MAX((B335-E335-F335)*Inputs!B19,0)</f>
        <v>0</v>
      </c>
      <c r="H335">
        <f>G335*Inputs!B17</f>
        <v>0</v>
      </c>
      <c r="I335">
        <f t="shared" si="31"/>
        <v>0</v>
      </c>
      <c r="J335">
        <f t="shared" si="32"/>
        <v>0</v>
      </c>
      <c r="K335">
        <f>B335*Inputs!B8/12</f>
        <v>0</v>
      </c>
      <c r="L335">
        <f t="shared" si="33"/>
        <v>0</v>
      </c>
      <c r="M335">
        <f t="shared" si="34"/>
        <v>0</v>
      </c>
    </row>
    <row r="336" spans="1:13" x14ac:dyDescent="0.2">
      <c r="A336">
        <v>335</v>
      </c>
      <c r="B336">
        <f t="shared" si="35"/>
        <v>0</v>
      </c>
      <c r="C336">
        <f>IF(A336&lt;=Inputs!B7,IF(B336&gt;0,-PMT(Inputs!B6/12,Inputs!B7-A336+1,B336),0),0)</f>
        <v>0</v>
      </c>
      <c r="D336">
        <f>B336*Inputs!B6/12</f>
        <v>0</v>
      </c>
      <c r="E336">
        <f t="shared" si="30"/>
        <v>0</v>
      </c>
      <c r="F336">
        <f>MAX((B336-E336)*Inputs!B18,0)</f>
        <v>0</v>
      </c>
      <c r="G336">
        <f>MAX((B336-E336-F336)*Inputs!B19,0)</f>
        <v>0</v>
      </c>
      <c r="H336">
        <f>G336*Inputs!B17</f>
        <v>0</v>
      </c>
      <c r="I336">
        <f t="shared" si="31"/>
        <v>0</v>
      </c>
      <c r="J336">
        <f t="shared" si="32"/>
        <v>0</v>
      </c>
      <c r="K336">
        <f>B336*Inputs!B8/12</f>
        <v>0</v>
      </c>
      <c r="L336">
        <f t="shared" si="33"/>
        <v>0</v>
      </c>
      <c r="M336">
        <f t="shared" si="34"/>
        <v>0</v>
      </c>
    </row>
    <row r="337" spans="1:13" x14ac:dyDescent="0.2">
      <c r="A337">
        <v>336</v>
      </c>
      <c r="B337">
        <f t="shared" si="35"/>
        <v>0</v>
      </c>
      <c r="C337">
        <f>IF(A337&lt;=Inputs!B7,IF(B337&gt;0,-PMT(Inputs!B6/12,Inputs!B7-A337+1,B337),0),0)</f>
        <v>0</v>
      </c>
      <c r="D337">
        <f>B337*Inputs!B6/12</f>
        <v>0</v>
      </c>
      <c r="E337">
        <f t="shared" si="30"/>
        <v>0</v>
      </c>
      <c r="F337">
        <f>MAX((B337-E337)*Inputs!B18,0)</f>
        <v>0</v>
      </c>
      <c r="G337">
        <f>MAX((B337-E337-F337)*Inputs!B19,0)</f>
        <v>0</v>
      </c>
      <c r="H337">
        <f>G337*Inputs!B17</f>
        <v>0</v>
      </c>
      <c r="I337">
        <f t="shared" si="31"/>
        <v>0</v>
      </c>
      <c r="J337">
        <f t="shared" si="32"/>
        <v>0</v>
      </c>
      <c r="K337">
        <f>B337*Inputs!B8/12</f>
        <v>0</v>
      </c>
      <c r="L337">
        <f t="shared" si="33"/>
        <v>0</v>
      </c>
      <c r="M337">
        <f t="shared" si="34"/>
        <v>0</v>
      </c>
    </row>
    <row r="338" spans="1:13" x14ac:dyDescent="0.2">
      <c r="A338">
        <v>337</v>
      </c>
      <c r="B338">
        <f t="shared" si="35"/>
        <v>0</v>
      </c>
      <c r="C338">
        <f>IF(A338&lt;=Inputs!B7,IF(B338&gt;0,-PMT(Inputs!B6/12,Inputs!B7-A338+1,B338),0),0)</f>
        <v>0</v>
      </c>
      <c r="D338">
        <f>B338*Inputs!B6/12</f>
        <v>0</v>
      </c>
      <c r="E338">
        <f t="shared" si="30"/>
        <v>0</v>
      </c>
      <c r="F338">
        <f>MAX((B338-E338)*Inputs!B18,0)</f>
        <v>0</v>
      </c>
      <c r="G338">
        <f>MAX((B338-E338-F338)*Inputs!B19,0)</f>
        <v>0</v>
      </c>
      <c r="H338">
        <f>G338*Inputs!B17</f>
        <v>0</v>
      </c>
      <c r="I338">
        <f t="shared" si="31"/>
        <v>0</v>
      </c>
      <c r="J338">
        <f t="shared" si="32"/>
        <v>0</v>
      </c>
      <c r="K338">
        <f>B338*Inputs!B8/12</f>
        <v>0</v>
      </c>
      <c r="L338">
        <f t="shared" si="33"/>
        <v>0</v>
      </c>
      <c r="M338">
        <f t="shared" si="34"/>
        <v>0</v>
      </c>
    </row>
    <row r="339" spans="1:13" x14ac:dyDescent="0.2">
      <c r="A339">
        <v>338</v>
      </c>
      <c r="B339">
        <f t="shared" si="35"/>
        <v>0</v>
      </c>
      <c r="C339">
        <f>IF(A339&lt;=Inputs!B7,IF(B339&gt;0,-PMT(Inputs!B6/12,Inputs!B7-A339+1,B339),0),0)</f>
        <v>0</v>
      </c>
      <c r="D339">
        <f>B339*Inputs!B6/12</f>
        <v>0</v>
      </c>
      <c r="E339">
        <f t="shared" si="30"/>
        <v>0</v>
      </c>
      <c r="F339">
        <f>MAX((B339-E339)*Inputs!B18,0)</f>
        <v>0</v>
      </c>
      <c r="G339">
        <f>MAX((B339-E339-F339)*Inputs!B19,0)</f>
        <v>0</v>
      </c>
      <c r="H339">
        <f>G339*Inputs!B17</f>
        <v>0</v>
      </c>
      <c r="I339">
        <f t="shared" si="31"/>
        <v>0</v>
      </c>
      <c r="J339">
        <f t="shared" si="32"/>
        <v>0</v>
      </c>
      <c r="K339">
        <f>B339*Inputs!B8/12</f>
        <v>0</v>
      </c>
      <c r="L339">
        <f t="shared" si="33"/>
        <v>0</v>
      </c>
      <c r="M339">
        <f t="shared" si="34"/>
        <v>0</v>
      </c>
    </row>
    <row r="340" spans="1:13" x14ac:dyDescent="0.2">
      <c r="A340">
        <v>339</v>
      </c>
      <c r="B340">
        <f t="shared" si="35"/>
        <v>0</v>
      </c>
      <c r="C340">
        <f>IF(A340&lt;=Inputs!B7,IF(B340&gt;0,-PMT(Inputs!B6/12,Inputs!B7-A340+1,B340),0),0)</f>
        <v>0</v>
      </c>
      <c r="D340">
        <f>B340*Inputs!B6/12</f>
        <v>0</v>
      </c>
      <c r="E340">
        <f t="shared" si="30"/>
        <v>0</v>
      </c>
      <c r="F340">
        <f>MAX((B340-E340)*Inputs!B18,0)</f>
        <v>0</v>
      </c>
      <c r="G340">
        <f>MAX((B340-E340-F340)*Inputs!B19,0)</f>
        <v>0</v>
      </c>
      <c r="H340">
        <f>G340*Inputs!B17</f>
        <v>0</v>
      </c>
      <c r="I340">
        <f t="shared" si="31"/>
        <v>0</v>
      </c>
      <c r="J340">
        <f t="shared" si="32"/>
        <v>0</v>
      </c>
      <c r="K340">
        <f>B340*Inputs!B8/12</f>
        <v>0</v>
      </c>
      <c r="L340">
        <f t="shared" si="33"/>
        <v>0</v>
      </c>
      <c r="M340">
        <f t="shared" si="34"/>
        <v>0</v>
      </c>
    </row>
    <row r="341" spans="1:13" x14ac:dyDescent="0.2">
      <c r="A341">
        <v>340</v>
      </c>
      <c r="B341">
        <f t="shared" si="35"/>
        <v>0</v>
      </c>
      <c r="C341">
        <f>IF(A341&lt;=Inputs!B7,IF(B341&gt;0,-PMT(Inputs!B6/12,Inputs!B7-A341+1,B341),0),0)</f>
        <v>0</v>
      </c>
      <c r="D341">
        <f>B341*Inputs!B6/12</f>
        <v>0</v>
      </c>
      <c r="E341">
        <f t="shared" si="30"/>
        <v>0</v>
      </c>
      <c r="F341">
        <f>MAX((B341-E341)*Inputs!B18,0)</f>
        <v>0</v>
      </c>
      <c r="G341">
        <f>MAX((B341-E341-F341)*Inputs!B19,0)</f>
        <v>0</v>
      </c>
      <c r="H341">
        <f>G341*Inputs!B17</f>
        <v>0</v>
      </c>
      <c r="I341">
        <f t="shared" si="31"/>
        <v>0</v>
      </c>
      <c r="J341">
        <f t="shared" si="32"/>
        <v>0</v>
      </c>
      <c r="K341">
        <f>B341*Inputs!B8/12</f>
        <v>0</v>
      </c>
      <c r="L341">
        <f t="shared" si="33"/>
        <v>0</v>
      </c>
      <c r="M341">
        <f t="shared" si="34"/>
        <v>0</v>
      </c>
    </row>
    <row r="342" spans="1:13" x14ac:dyDescent="0.2">
      <c r="A342">
        <v>341</v>
      </c>
      <c r="B342">
        <f t="shared" si="35"/>
        <v>0</v>
      </c>
      <c r="C342">
        <f>IF(A342&lt;=Inputs!B7,IF(B342&gt;0,-PMT(Inputs!B6/12,Inputs!B7-A342+1,B342),0),0)</f>
        <v>0</v>
      </c>
      <c r="D342">
        <f>B342*Inputs!B6/12</f>
        <v>0</v>
      </c>
      <c r="E342">
        <f t="shared" si="30"/>
        <v>0</v>
      </c>
      <c r="F342">
        <f>MAX((B342-E342)*Inputs!B18,0)</f>
        <v>0</v>
      </c>
      <c r="G342">
        <f>MAX((B342-E342-F342)*Inputs!B19,0)</f>
        <v>0</v>
      </c>
      <c r="H342">
        <f>G342*Inputs!B17</f>
        <v>0</v>
      </c>
      <c r="I342">
        <f t="shared" si="31"/>
        <v>0</v>
      </c>
      <c r="J342">
        <f t="shared" si="32"/>
        <v>0</v>
      </c>
      <c r="K342">
        <f>B342*Inputs!B8/12</f>
        <v>0</v>
      </c>
      <c r="L342">
        <f t="shared" si="33"/>
        <v>0</v>
      </c>
      <c r="M342">
        <f t="shared" si="34"/>
        <v>0</v>
      </c>
    </row>
    <row r="343" spans="1:13" x14ac:dyDescent="0.2">
      <c r="A343">
        <v>342</v>
      </c>
      <c r="B343">
        <f t="shared" si="35"/>
        <v>0</v>
      </c>
      <c r="C343">
        <f>IF(A343&lt;=Inputs!B7,IF(B343&gt;0,-PMT(Inputs!B6/12,Inputs!B7-A343+1,B343),0),0)</f>
        <v>0</v>
      </c>
      <c r="D343">
        <f>B343*Inputs!B6/12</f>
        <v>0</v>
      </c>
      <c r="E343">
        <f t="shared" si="30"/>
        <v>0</v>
      </c>
      <c r="F343">
        <f>MAX((B343-E343)*Inputs!B18,0)</f>
        <v>0</v>
      </c>
      <c r="G343">
        <f>MAX((B343-E343-F343)*Inputs!B19,0)</f>
        <v>0</v>
      </c>
      <c r="H343">
        <f>G343*Inputs!B17</f>
        <v>0</v>
      </c>
      <c r="I343">
        <f t="shared" si="31"/>
        <v>0</v>
      </c>
      <c r="J343">
        <f t="shared" si="32"/>
        <v>0</v>
      </c>
      <c r="K343">
        <f>B343*Inputs!B8/12</f>
        <v>0</v>
      </c>
      <c r="L343">
        <f t="shared" si="33"/>
        <v>0</v>
      </c>
      <c r="M343">
        <f t="shared" si="34"/>
        <v>0</v>
      </c>
    </row>
    <row r="344" spans="1:13" x14ac:dyDescent="0.2">
      <c r="A344">
        <v>343</v>
      </c>
      <c r="B344">
        <f t="shared" si="35"/>
        <v>0</v>
      </c>
      <c r="C344">
        <f>IF(A344&lt;=Inputs!B7,IF(B344&gt;0,-PMT(Inputs!B6/12,Inputs!B7-A344+1,B344),0),0)</f>
        <v>0</v>
      </c>
      <c r="D344">
        <f>B344*Inputs!B6/12</f>
        <v>0</v>
      </c>
      <c r="E344">
        <f t="shared" si="30"/>
        <v>0</v>
      </c>
      <c r="F344">
        <f>MAX((B344-E344)*Inputs!B18,0)</f>
        <v>0</v>
      </c>
      <c r="G344">
        <f>MAX((B344-E344-F344)*Inputs!B19,0)</f>
        <v>0</v>
      </c>
      <c r="H344">
        <f>G344*Inputs!B17</f>
        <v>0</v>
      </c>
      <c r="I344">
        <f t="shared" si="31"/>
        <v>0</v>
      </c>
      <c r="J344">
        <f t="shared" si="32"/>
        <v>0</v>
      </c>
      <c r="K344">
        <f>B344*Inputs!B8/12</f>
        <v>0</v>
      </c>
      <c r="L344">
        <f t="shared" si="33"/>
        <v>0</v>
      </c>
      <c r="M344">
        <f t="shared" si="34"/>
        <v>0</v>
      </c>
    </row>
    <row r="345" spans="1:13" x14ac:dyDescent="0.2">
      <c r="A345">
        <v>344</v>
      </c>
      <c r="B345">
        <f t="shared" si="35"/>
        <v>0</v>
      </c>
      <c r="C345">
        <f>IF(A345&lt;=Inputs!B7,IF(B345&gt;0,-PMT(Inputs!B6/12,Inputs!B7-A345+1,B345),0),0)</f>
        <v>0</v>
      </c>
      <c r="D345">
        <f>B345*Inputs!B6/12</f>
        <v>0</v>
      </c>
      <c r="E345">
        <f t="shared" si="30"/>
        <v>0</v>
      </c>
      <c r="F345">
        <f>MAX((B345-E345)*Inputs!B18,0)</f>
        <v>0</v>
      </c>
      <c r="G345">
        <f>MAX((B345-E345-F345)*Inputs!B19,0)</f>
        <v>0</v>
      </c>
      <c r="H345">
        <f>G345*Inputs!B17</f>
        <v>0</v>
      </c>
      <c r="I345">
        <f t="shared" si="31"/>
        <v>0</v>
      </c>
      <c r="J345">
        <f t="shared" si="32"/>
        <v>0</v>
      </c>
      <c r="K345">
        <f>B345*Inputs!B8/12</f>
        <v>0</v>
      </c>
      <c r="L345">
        <f t="shared" si="33"/>
        <v>0</v>
      </c>
      <c r="M345">
        <f t="shared" si="34"/>
        <v>0</v>
      </c>
    </row>
    <row r="346" spans="1:13" x14ac:dyDescent="0.2">
      <c r="A346">
        <v>345</v>
      </c>
      <c r="B346">
        <f t="shared" si="35"/>
        <v>0</v>
      </c>
      <c r="C346">
        <f>IF(A346&lt;=Inputs!B7,IF(B346&gt;0,-PMT(Inputs!B6/12,Inputs!B7-A346+1,B346),0),0)</f>
        <v>0</v>
      </c>
      <c r="D346">
        <f>B346*Inputs!B6/12</f>
        <v>0</v>
      </c>
      <c r="E346">
        <f t="shared" si="30"/>
        <v>0</v>
      </c>
      <c r="F346">
        <f>MAX((B346-E346)*Inputs!B18,0)</f>
        <v>0</v>
      </c>
      <c r="G346">
        <f>MAX((B346-E346-F346)*Inputs!B19,0)</f>
        <v>0</v>
      </c>
      <c r="H346">
        <f>G346*Inputs!B17</f>
        <v>0</v>
      </c>
      <c r="I346">
        <f t="shared" si="31"/>
        <v>0</v>
      </c>
      <c r="J346">
        <f t="shared" si="32"/>
        <v>0</v>
      </c>
      <c r="K346">
        <f>B346*Inputs!B8/12</f>
        <v>0</v>
      </c>
      <c r="L346">
        <f t="shared" si="33"/>
        <v>0</v>
      </c>
      <c r="M346">
        <f t="shared" si="34"/>
        <v>0</v>
      </c>
    </row>
    <row r="347" spans="1:13" x14ac:dyDescent="0.2">
      <c r="A347">
        <v>346</v>
      </c>
      <c r="B347">
        <f t="shared" si="35"/>
        <v>0</v>
      </c>
      <c r="C347">
        <f>IF(A347&lt;=Inputs!B7,IF(B347&gt;0,-PMT(Inputs!B6/12,Inputs!B7-A347+1,B347),0),0)</f>
        <v>0</v>
      </c>
      <c r="D347">
        <f>B347*Inputs!B6/12</f>
        <v>0</v>
      </c>
      <c r="E347">
        <f t="shared" si="30"/>
        <v>0</v>
      </c>
      <c r="F347">
        <f>MAX((B347-E347)*Inputs!B18,0)</f>
        <v>0</v>
      </c>
      <c r="G347">
        <f>MAX((B347-E347-F347)*Inputs!B19,0)</f>
        <v>0</v>
      </c>
      <c r="H347">
        <f>G347*Inputs!B17</f>
        <v>0</v>
      </c>
      <c r="I347">
        <f t="shared" si="31"/>
        <v>0</v>
      </c>
      <c r="J347">
        <f t="shared" si="32"/>
        <v>0</v>
      </c>
      <c r="K347">
        <f>B347*Inputs!B8/12</f>
        <v>0</v>
      </c>
      <c r="L347">
        <f t="shared" si="33"/>
        <v>0</v>
      </c>
      <c r="M347">
        <f t="shared" si="34"/>
        <v>0</v>
      </c>
    </row>
    <row r="348" spans="1:13" x14ac:dyDescent="0.2">
      <c r="A348">
        <v>347</v>
      </c>
      <c r="B348">
        <f t="shared" si="35"/>
        <v>0</v>
      </c>
      <c r="C348">
        <f>IF(A348&lt;=Inputs!B7,IF(B348&gt;0,-PMT(Inputs!B6/12,Inputs!B7-A348+1,B348),0),0)</f>
        <v>0</v>
      </c>
      <c r="D348">
        <f>B348*Inputs!B6/12</f>
        <v>0</v>
      </c>
      <c r="E348">
        <f t="shared" si="30"/>
        <v>0</v>
      </c>
      <c r="F348">
        <f>MAX((B348-E348)*Inputs!B18,0)</f>
        <v>0</v>
      </c>
      <c r="G348">
        <f>MAX((B348-E348-F348)*Inputs!B19,0)</f>
        <v>0</v>
      </c>
      <c r="H348">
        <f>G348*Inputs!B17</f>
        <v>0</v>
      </c>
      <c r="I348">
        <f t="shared" si="31"/>
        <v>0</v>
      </c>
      <c r="J348">
        <f t="shared" si="32"/>
        <v>0</v>
      </c>
      <c r="K348">
        <f>B348*Inputs!B8/12</f>
        <v>0</v>
      </c>
      <c r="L348">
        <f t="shared" si="33"/>
        <v>0</v>
      </c>
      <c r="M348">
        <f t="shared" si="34"/>
        <v>0</v>
      </c>
    </row>
    <row r="349" spans="1:13" x14ac:dyDescent="0.2">
      <c r="A349">
        <v>348</v>
      </c>
      <c r="B349">
        <f t="shared" si="35"/>
        <v>0</v>
      </c>
      <c r="C349">
        <f>IF(A349&lt;=Inputs!B7,IF(B349&gt;0,-PMT(Inputs!B6/12,Inputs!B7-A349+1,B349),0),0)</f>
        <v>0</v>
      </c>
      <c r="D349">
        <f>B349*Inputs!B6/12</f>
        <v>0</v>
      </c>
      <c r="E349">
        <f t="shared" si="30"/>
        <v>0</v>
      </c>
      <c r="F349">
        <f>MAX((B349-E349)*Inputs!B18,0)</f>
        <v>0</v>
      </c>
      <c r="G349">
        <f>MAX((B349-E349-F349)*Inputs!B19,0)</f>
        <v>0</v>
      </c>
      <c r="H349">
        <f>G349*Inputs!B17</f>
        <v>0</v>
      </c>
      <c r="I349">
        <f t="shared" si="31"/>
        <v>0</v>
      </c>
      <c r="J349">
        <f t="shared" si="32"/>
        <v>0</v>
      </c>
      <c r="K349">
        <f>B349*Inputs!B8/12</f>
        <v>0</v>
      </c>
      <c r="L349">
        <f t="shared" si="33"/>
        <v>0</v>
      </c>
      <c r="M349">
        <f t="shared" si="34"/>
        <v>0</v>
      </c>
    </row>
    <row r="350" spans="1:13" x14ac:dyDescent="0.2">
      <c r="A350">
        <v>349</v>
      </c>
      <c r="B350">
        <f t="shared" si="35"/>
        <v>0</v>
      </c>
      <c r="C350">
        <f>IF(A350&lt;=Inputs!B7,IF(B350&gt;0,-PMT(Inputs!B6/12,Inputs!B7-A350+1,B350),0),0)</f>
        <v>0</v>
      </c>
      <c r="D350">
        <f>B350*Inputs!B6/12</f>
        <v>0</v>
      </c>
      <c r="E350">
        <f t="shared" si="30"/>
        <v>0</v>
      </c>
      <c r="F350">
        <f>MAX((B350-E350)*Inputs!B18,0)</f>
        <v>0</v>
      </c>
      <c r="G350">
        <f>MAX((B350-E350-F350)*Inputs!B19,0)</f>
        <v>0</v>
      </c>
      <c r="H350">
        <f>G350*Inputs!B17</f>
        <v>0</v>
      </c>
      <c r="I350">
        <f t="shared" si="31"/>
        <v>0</v>
      </c>
      <c r="J350">
        <f t="shared" si="32"/>
        <v>0</v>
      </c>
      <c r="K350">
        <f>B350*Inputs!B8/12</f>
        <v>0</v>
      </c>
      <c r="L350">
        <f t="shared" si="33"/>
        <v>0</v>
      </c>
      <c r="M350">
        <f t="shared" si="34"/>
        <v>0</v>
      </c>
    </row>
    <row r="351" spans="1:13" x14ac:dyDescent="0.2">
      <c r="A351">
        <v>350</v>
      </c>
      <c r="B351">
        <f t="shared" si="35"/>
        <v>0</v>
      </c>
      <c r="C351">
        <f>IF(A351&lt;=Inputs!B7,IF(B351&gt;0,-PMT(Inputs!B6/12,Inputs!B7-A351+1,B351),0),0)</f>
        <v>0</v>
      </c>
      <c r="D351">
        <f>B351*Inputs!B6/12</f>
        <v>0</v>
      </c>
      <c r="E351">
        <f t="shared" si="30"/>
        <v>0</v>
      </c>
      <c r="F351">
        <f>MAX((B351-E351)*Inputs!B18,0)</f>
        <v>0</v>
      </c>
      <c r="G351">
        <f>MAX((B351-E351-F351)*Inputs!B19,0)</f>
        <v>0</v>
      </c>
      <c r="H351">
        <f>G351*Inputs!B17</f>
        <v>0</v>
      </c>
      <c r="I351">
        <f t="shared" si="31"/>
        <v>0</v>
      </c>
      <c r="J351">
        <f t="shared" si="32"/>
        <v>0</v>
      </c>
      <c r="K351">
        <f>B351*Inputs!B8/12</f>
        <v>0</v>
      </c>
      <c r="L351">
        <f t="shared" si="33"/>
        <v>0</v>
      </c>
      <c r="M351">
        <f t="shared" si="34"/>
        <v>0</v>
      </c>
    </row>
    <row r="352" spans="1:13" x14ac:dyDescent="0.2">
      <c r="A352">
        <v>351</v>
      </c>
      <c r="B352">
        <f t="shared" si="35"/>
        <v>0</v>
      </c>
      <c r="C352">
        <f>IF(A352&lt;=Inputs!B7,IF(B352&gt;0,-PMT(Inputs!B6/12,Inputs!B7-A352+1,B352),0),0)</f>
        <v>0</v>
      </c>
      <c r="D352">
        <f>B352*Inputs!B6/12</f>
        <v>0</v>
      </c>
      <c r="E352">
        <f t="shared" si="30"/>
        <v>0</v>
      </c>
      <c r="F352">
        <f>MAX((B352-E352)*Inputs!B18,0)</f>
        <v>0</v>
      </c>
      <c r="G352">
        <f>MAX((B352-E352-F352)*Inputs!B19,0)</f>
        <v>0</v>
      </c>
      <c r="H352">
        <f>G352*Inputs!B17</f>
        <v>0</v>
      </c>
      <c r="I352">
        <f t="shared" si="31"/>
        <v>0</v>
      </c>
      <c r="J352">
        <f t="shared" si="32"/>
        <v>0</v>
      </c>
      <c r="K352">
        <f>B352*Inputs!B8/12</f>
        <v>0</v>
      </c>
      <c r="L352">
        <f t="shared" si="33"/>
        <v>0</v>
      </c>
      <c r="M352">
        <f t="shared" si="34"/>
        <v>0</v>
      </c>
    </row>
    <row r="353" spans="1:13" x14ac:dyDescent="0.2">
      <c r="A353">
        <v>352</v>
      </c>
      <c r="B353">
        <f t="shared" si="35"/>
        <v>0</v>
      </c>
      <c r="C353">
        <f>IF(A353&lt;=Inputs!B7,IF(B353&gt;0,-PMT(Inputs!B6/12,Inputs!B7-A353+1,B353),0),0)</f>
        <v>0</v>
      </c>
      <c r="D353">
        <f>B353*Inputs!B6/12</f>
        <v>0</v>
      </c>
      <c r="E353">
        <f t="shared" si="30"/>
        <v>0</v>
      </c>
      <c r="F353">
        <f>MAX((B353-E353)*Inputs!B18,0)</f>
        <v>0</v>
      </c>
      <c r="G353">
        <f>MAX((B353-E353-F353)*Inputs!B19,0)</f>
        <v>0</v>
      </c>
      <c r="H353">
        <f>G353*Inputs!B17</f>
        <v>0</v>
      </c>
      <c r="I353">
        <f t="shared" si="31"/>
        <v>0</v>
      </c>
      <c r="J353">
        <f t="shared" si="32"/>
        <v>0</v>
      </c>
      <c r="K353">
        <f>B353*Inputs!B8/12</f>
        <v>0</v>
      </c>
      <c r="L353">
        <f t="shared" si="33"/>
        <v>0</v>
      </c>
      <c r="M353">
        <f t="shared" si="34"/>
        <v>0</v>
      </c>
    </row>
    <row r="354" spans="1:13" x14ac:dyDescent="0.2">
      <c r="A354">
        <v>353</v>
      </c>
      <c r="B354">
        <f t="shared" si="35"/>
        <v>0</v>
      </c>
      <c r="C354">
        <f>IF(A354&lt;=Inputs!B7,IF(B354&gt;0,-PMT(Inputs!B6/12,Inputs!B7-A354+1,B354),0),0)</f>
        <v>0</v>
      </c>
      <c r="D354">
        <f>B354*Inputs!B6/12</f>
        <v>0</v>
      </c>
      <c r="E354">
        <f t="shared" si="30"/>
        <v>0</v>
      </c>
      <c r="F354">
        <f>MAX((B354-E354)*Inputs!B18,0)</f>
        <v>0</v>
      </c>
      <c r="G354">
        <f>MAX((B354-E354-F354)*Inputs!B19,0)</f>
        <v>0</v>
      </c>
      <c r="H354">
        <f>G354*Inputs!B17</f>
        <v>0</v>
      </c>
      <c r="I354">
        <f t="shared" si="31"/>
        <v>0</v>
      </c>
      <c r="J354">
        <f t="shared" si="32"/>
        <v>0</v>
      </c>
      <c r="K354">
        <f>B354*Inputs!B8/12</f>
        <v>0</v>
      </c>
      <c r="L354">
        <f t="shared" si="33"/>
        <v>0</v>
      </c>
      <c r="M354">
        <f t="shared" si="34"/>
        <v>0</v>
      </c>
    </row>
    <row r="355" spans="1:13" x14ac:dyDescent="0.2">
      <c r="A355">
        <v>354</v>
      </c>
      <c r="B355">
        <f t="shared" si="35"/>
        <v>0</v>
      </c>
      <c r="C355">
        <f>IF(A355&lt;=Inputs!B7,IF(B355&gt;0,-PMT(Inputs!B6/12,Inputs!B7-A355+1,B355),0),0)</f>
        <v>0</v>
      </c>
      <c r="D355">
        <f>B355*Inputs!B6/12</f>
        <v>0</v>
      </c>
      <c r="E355">
        <f t="shared" si="30"/>
        <v>0</v>
      </c>
      <c r="F355">
        <f>MAX((B355-E355)*Inputs!B18,0)</f>
        <v>0</v>
      </c>
      <c r="G355">
        <f>MAX((B355-E355-F355)*Inputs!B19,0)</f>
        <v>0</v>
      </c>
      <c r="H355">
        <f>G355*Inputs!B17</f>
        <v>0</v>
      </c>
      <c r="I355">
        <f t="shared" si="31"/>
        <v>0</v>
      </c>
      <c r="J355">
        <f t="shared" si="32"/>
        <v>0</v>
      </c>
      <c r="K355">
        <f>B355*Inputs!B8/12</f>
        <v>0</v>
      </c>
      <c r="L355">
        <f t="shared" si="33"/>
        <v>0</v>
      </c>
      <c r="M355">
        <f t="shared" si="34"/>
        <v>0</v>
      </c>
    </row>
    <row r="356" spans="1:13" x14ac:dyDescent="0.2">
      <c r="A356">
        <v>355</v>
      </c>
      <c r="B356">
        <f t="shared" si="35"/>
        <v>0</v>
      </c>
      <c r="C356">
        <f>IF(A356&lt;=Inputs!B7,IF(B356&gt;0,-PMT(Inputs!B6/12,Inputs!B7-A356+1,B356),0),0)</f>
        <v>0</v>
      </c>
      <c r="D356">
        <f>B356*Inputs!B6/12</f>
        <v>0</v>
      </c>
      <c r="E356">
        <f t="shared" si="30"/>
        <v>0</v>
      </c>
      <c r="F356">
        <f>MAX((B356-E356)*Inputs!B18,0)</f>
        <v>0</v>
      </c>
      <c r="G356">
        <f>MAX((B356-E356-F356)*Inputs!B19,0)</f>
        <v>0</v>
      </c>
      <c r="H356">
        <f>G356*Inputs!B17</f>
        <v>0</v>
      </c>
      <c r="I356">
        <f t="shared" si="31"/>
        <v>0</v>
      </c>
      <c r="J356">
        <f t="shared" si="32"/>
        <v>0</v>
      </c>
      <c r="K356">
        <f>B356*Inputs!B8/12</f>
        <v>0</v>
      </c>
      <c r="L356">
        <f t="shared" si="33"/>
        <v>0</v>
      </c>
      <c r="M356">
        <f t="shared" si="34"/>
        <v>0</v>
      </c>
    </row>
    <row r="357" spans="1:13" x14ac:dyDescent="0.2">
      <c r="A357">
        <v>356</v>
      </c>
      <c r="B357">
        <f t="shared" si="35"/>
        <v>0</v>
      </c>
      <c r="C357">
        <f>IF(A357&lt;=Inputs!B7,IF(B357&gt;0,-PMT(Inputs!B6/12,Inputs!B7-A357+1,B357),0),0)</f>
        <v>0</v>
      </c>
      <c r="D357">
        <f>B357*Inputs!B6/12</f>
        <v>0</v>
      </c>
      <c r="E357">
        <f t="shared" si="30"/>
        <v>0</v>
      </c>
      <c r="F357">
        <f>MAX((B357-E357)*Inputs!B18,0)</f>
        <v>0</v>
      </c>
      <c r="G357">
        <f>MAX((B357-E357-F357)*Inputs!B19,0)</f>
        <v>0</v>
      </c>
      <c r="H357">
        <f>G357*Inputs!B17</f>
        <v>0</v>
      </c>
      <c r="I357">
        <f t="shared" si="31"/>
        <v>0</v>
      </c>
      <c r="J357">
        <f t="shared" si="32"/>
        <v>0</v>
      </c>
      <c r="K357">
        <f>B357*Inputs!B8/12</f>
        <v>0</v>
      </c>
      <c r="L357">
        <f t="shared" si="33"/>
        <v>0</v>
      </c>
      <c r="M357">
        <f t="shared" si="34"/>
        <v>0</v>
      </c>
    </row>
    <row r="358" spans="1:13" x14ac:dyDescent="0.2">
      <c r="A358">
        <v>357</v>
      </c>
      <c r="B358">
        <f t="shared" si="35"/>
        <v>0</v>
      </c>
      <c r="C358">
        <f>IF(A358&lt;=Inputs!B7,IF(B358&gt;0,-PMT(Inputs!B6/12,Inputs!B7-A358+1,B358),0),0)</f>
        <v>0</v>
      </c>
      <c r="D358">
        <f>B358*Inputs!B6/12</f>
        <v>0</v>
      </c>
      <c r="E358">
        <f t="shared" si="30"/>
        <v>0</v>
      </c>
      <c r="F358">
        <f>MAX((B358-E358)*Inputs!B18,0)</f>
        <v>0</v>
      </c>
      <c r="G358">
        <f>MAX((B358-E358-F358)*Inputs!B19,0)</f>
        <v>0</v>
      </c>
      <c r="H358">
        <f>G358*Inputs!B17</f>
        <v>0</v>
      </c>
      <c r="I358">
        <f t="shared" si="31"/>
        <v>0</v>
      </c>
      <c r="J358">
        <f t="shared" si="32"/>
        <v>0</v>
      </c>
      <c r="K358">
        <f>B358*Inputs!B8/12</f>
        <v>0</v>
      </c>
      <c r="L358">
        <f t="shared" si="33"/>
        <v>0</v>
      </c>
      <c r="M358">
        <f t="shared" si="34"/>
        <v>0</v>
      </c>
    </row>
    <row r="359" spans="1:13" x14ac:dyDescent="0.2">
      <c r="A359">
        <v>358</v>
      </c>
      <c r="B359">
        <f t="shared" si="35"/>
        <v>0</v>
      </c>
      <c r="C359">
        <f>IF(A359&lt;=Inputs!B7,IF(B359&gt;0,-PMT(Inputs!B6/12,Inputs!B7-A359+1,B359),0),0)</f>
        <v>0</v>
      </c>
      <c r="D359">
        <f>B359*Inputs!B6/12</f>
        <v>0</v>
      </c>
      <c r="E359">
        <f t="shared" si="30"/>
        <v>0</v>
      </c>
      <c r="F359">
        <f>MAX((B359-E359)*Inputs!B18,0)</f>
        <v>0</v>
      </c>
      <c r="G359">
        <f>MAX((B359-E359-F359)*Inputs!B19,0)</f>
        <v>0</v>
      </c>
      <c r="H359">
        <f>G359*Inputs!B17</f>
        <v>0</v>
      </c>
      <c r="I359">
        <f t="shared" si="31"/>
        <v>0</v>
      </c>
      <c r="J359">
        <f t="shared" si="32"/>
        <v>0</v>
      </c>
      <c r="K359">
        <f>B359*Inputs!B8/12</f>
        <v>0</v>
      </c>
      <c r="L359">
        <f t="shared" si="33"/>
        <v>0</v>
      </c>
      <c r="M359">
        <f t="shared" si="34"/>
        <v>0</v>
      </c>
    </row>
    <row r="360" spans="1:13" x14ac:dyDescent="0.2">
      <c r="A360">
        <v>359</v>
      </c>
      <c r="B360">
        <f t="shared" si="35"/>
        <v>0</v>
      </c>
      <c r="C360">
        <f>IF(A360&lt;=Inputs!B7,IF(B360&gt;0,-PMT(Inputs!B6/12,Inputs!B7-A360+1,B360),0),0)</f>
        <v>0</v>
      </c>
      <c r="D360">
        <f>B360*Inputs!B6/12</f>
        <v>0</v>
      </c>
      <c r="E360">
        <f t="shared" si="30"/>
        <v>0</v>
      </c>
      <c r="F360">
        <f>MAX((B360-E360)*Inputs!B18,0)</f>
        <v>0</v>
      </c>
      <c r="G360">
        <f>MAX((B360-E360-F360)*Inputs!B19,0)</f>
        <v>0</v>
      </c>
      <c r="H360">
        <f>G360*Inputs!B17</f>
        <v>0</v>
      </c>
      <c r="I360">
        <f t="shared" si="31"/>
        <v>0</v>
      </c>
      <c r="J360">
        <f t="shared" si="32"/>
        <v>0</v>
      </c>
      <c r="K360">
        <f>B360*Inputs!B8/12</f>
        <v>0</v>
      </c>
      <c r="L360">
        <f t="shared" si="33"/>
        <v>0</v>
      </c>
      <c r="M360">
        <f t="shared" si="34"/>
        <v>0</v>
      </c>
    </row>
    <row r="361" spans="1:13" x14ac:dyDescent="0.2">
      <c r="A361">
        <v>360</v>
      </c>
      <c r="B361">
        <f t="shared" si="35"/>
        <v>0</v>
      </c>
      <c r="C361">
        <f>IF(A361&lt;=Inputs!B7,IF(B361&gt;0,-PMT(Inputs!B6/12,Inputs!B7-A361+1,B361),0),0)</f>
        <v>0</v>
      </c>
      <c r="D361">
        <f>B361*Inputs!B6/12</f>
        <v>0</v>
      </c>
      <c r="E361">
        <f t="shared" si="30"/>
        <v>0</v>
      </c>
      <c r="F361">
        <f>MAX((B361-E361)*Inputs!B18,0)</f>
        <v>0</v>
      </c>
      <c r="G361">
        <f>MAX((B361-E361-F361)*Inputs!B19,0)</f>
        <v>0</v>
      </c>
      <c r="H361">
        <f>G361*Inputs!B17</f>
        <v>0</v>
      </c>
      <c r="I361">
        <f t="shared" si="31"/>
        <v>0</v>
      </c>
      <c r="J361">
        <f t="shared" si="32"/>
        <v>0</v>
      </c>
      <c r="K361">
        <f>B361*Inputs!B8/12</f>
        <v>0</v>
      </c>
      <c r="L361">
        <f t="shared" si="33"/>
        <v>0</v>
      </c>
      <c r="M361">
        <f t="shared" si="34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6" width="16" customWidth="1"/>
    <col min="27" max="29" width="18" customWidth="1"/>
  </cols>
  <sheetData>
    <row r="1" spans="1:29" x14ac:dyDescent="0.2">
      <c r="A1" s="1" t="s">
        <v>33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</row>
    <row r="2" spans="1:29" x14ac:dyDescent="0.2">
      <c r="A2">
        <v>1</v>
      </c>
      <c r="B2">
        <f>LoanPool!L2</f>
        <v>1312500</v>
      </c>
      <c r="C2">
        <f>LoanPool!M2</f>
        <v>2804838.9107707394</v>
      </c>
      <c r="D2">
        <f>LoanPool!H2</f>
        <v>93606.545105873738</v>
      </c>
      <c r="E2">
        <f>Inputs!B3*Inputs!B9</f>
        <v>240000000</v>
      </c>
      <c r="F2">
        <f>Inputs!B3*Inputs!B10</f>
        <v>45000000</v>
      </c>
      <c r="G2">
        <f>Inputs!B3*Inputs!B11</f>
        <v>15000000</v>
      </c>
      <c r="H2">
        <f t="shared" ref="H2:H65" si="0">MIN(D2,G2)</f>
        <v>93606.545105873738</v>
      </c>
      <c r="I2">
        <f t="shared" ref="I2:I65" si="1">MIN(MAX(D2-H2,0),F2)</f>
        <v>0</v>
      </c>
      <c r="J2">
        <f t="shared" ref="J2:J65" si="2">MIN(MAX(D2-H2-I2,0),E2)</f>
        <v>0</v>
      </c>
      <c r="K2">
        <f t="shared" ref="K2:K65" si="3">MAX(E2-J2,0)</f>
        <v>240000000</v>
      </c>
      <c r="L2">
        <f t="shared" ref="L2:L65" si="4">MAX(F2-I2,0)</f>
        <v>45000000</v>
      </c>
      <c r="M2">
        <f t="shared" ref="M2:M65" si="5">MAX(G2-H2,0)</f>
        <v>14906393.454894125</v>
      </c>
      <c r="N2">
        <f>K2*Inputs!B6/12</f>
        <v>1150000</v>
      </c>
      <c r="O2">
        <f t="shared" ref="O2:O65" si="6">MIN(B2,N2)</f>
        <v>1150000</v>
      </c>
      <c r="P2">
        <f t="shared" ref="P2:P65" si="7">N2-O2</f>
        <v>0</v>
      </c>
      <c r="Q2">
        <f>L2*Inputs!B6/12</f>
        <v>215625</v>
      </c>
      <c r="R2">
        <f t="shared" ref="R2:R65" si="8">MIN(MAX(B2-O2,0),Q2)</f>
        <v>162500</v>
      </c>
      <c r="S2">
        <f t="shared" ref="S2:S65" si="9">Q2-R2</f>
        <v>53125</v>
      </c>
      <c r="T2">
        <f t="shared" ref="T2:T65" si="10">MAX(B2-O2-R2,0)</f>
        <v>0</v>
      </c>
      <c r="U2">
        <f t="shared" ref="U2:U65" si="11">MIN(C2,K2)</f>
        <v>2804838.9107707394</v>
      </c>
      <c r="V2">
        <f t="shared" ref="V2:V65" si="12">MIN(MAX(C2-U2,0),L2)</f>
        <v>0</v>
      </c>
      <c r="W2">
        <f t="shared" ref="W2:W65" si="13">MIN(MAX(C2-U2-V2,0),M2)</f>
        <v>0</v>
      </c>
      <c r="X2">
        <f t="shared" ref="X2:X65" si="14">MAX(K2-U2,0)</f>
        <v>237195161.08922926</v>
      </c>
      <c r="Y2">
        <f t="shared" ref="Y2:Y65" si="15">MAX(L2-V2,0)</f>
        <v>45000000</v>
      </c>
      <c r="Z2">
        <f t="shared" ref="Z2:Z65" si="16">MAX(M2-W2,0)</f>
        <v>14906393.454894125</v>
      </c>
      <c r="AA2">
        <f t="shared" ref="AA2:AA65" si="17">C2-(U2+V2+W2)</f>
        <v>0</v>
      </c>
      <c r="AB2">
        <f t="shared" ref="AB2:AB65" si="18">B2-(O2+R2+T2)</f>
        <v>0</v>
      </c>
      <c r="AC2">
        <f t="shared" ref="AC2:AC65" si="19">D2-(H2+I2+J2)</f>
        <v>0</v>
      </c>
    </row>
    <row r="3" spans="1:29" x14ac:dyDescent="0.2">
      <c r="A3">
        <v>2</v>
      </c>
      <c r="B3">
        <f>LoanPool!L3</f>
        <v>1299819.30113054</v>
      </c>
      <c r="C3">
        <f>LoanPool!M3</f>
        <v>2780524.6455158913</v>
      </c>
      <c r="D3">
        <f>LoanPool!H3</f>
        <v>92701.289818576668</v>
      </c>
      <c r="E3">
        <f t="shared" ref="E3:E66" si="20">X2</f>
        <v>237195161.08922926</v>
      </c>
      <c r="F3">
        <f t="shared" ref="F3:F66" si="21">Y2</f>
        <v>45000000</v>
      </c>
      <c r="G3">
        <f t="shared" ref="G3:G66" si="22">Z2</f>
        <v>14906393.454894125</v>
      </c>
      <c r="H3">
        <f t="shared" si="0"/>
        <v>92701.289818576668</v>
      </c>
      <c r="I3">
        <f t="shared" si="1"/>
        <v>0</v>
      </c>
      <c r="J3">
        <f t="shared" si="2"/>
        <v>0</v>
      </c>
      <c r="K3">
        <f t="shared" si="3"/>
        <v>237195161.08922926</v>
      </c>
      <c r="L3">
        <f t="shared" si="4"/>
        <v>45000000</v>
      </c>
      <c r="M3">
        <f t="shared" si="5"/>
        <v>14813692.165075548</v>
      </c>
      <c r="N3">
        <f>K3*Inputs!B6/12</f>
        <v>1136560.1468858903</v>
      </c>
      <c r="O3">
        <f t="shared" si="6"/>
        <v>1136560.1468858903</v>
      </c>
      <c r="P3">
        <f t="shared" si="7"/>
        <v>0</v>
      </c>
      <c r="Q3">
        <f>L3*Inputs!B6/12</f>
        <v>215625</v>
      </c>
      <c r="R3">
        <f t="shared" si="8"/>
        <v>163259.15424464969</v>
      </c>
      <c r="S3">
        <f t="shared" si="9"/>
        <v>52365.84575535031</v>
      </c>
      <c r="T3">
        <f t="shared" si="10"/>
        <v>0</v>
      </c>
      <c r="U3">
        <f t="shared" si="11"/>
        <v>2780524.6455158913</v>
      </c>
      <c r="V3">
        <f t="shared" si="12"/>
        <v>0</v>
      </c>
      <c r="W3">
        <f t="shared" si="13"/>
        <v>0</v>
      </c>
      <c r="X3">
        <f t="shared" si="14"/>
        <v>234414636.44371337</v>
      </c>
      <c r="Y3">
        <f t="shared" si="15"/>
        <v>45000000</v>
      </c>
      <c r="Z3">
        <f t="shared" si="16"/>
        <v>14813692.165075548</v>
      </c>
      <c r="AA3">
        <f t="shared" si="17"/>
        <v>0</v>
      </c>
      <c r="AB3">
        <f t="shared" si="18"/>
        <v>0</v>
      </c>
      <c r="AC3">
        <f t="shared" si="19"/>
        <v>0</v>
      </c>
    </row>
    <row r="4" spans="1:29" x14ac:dyDescent="0.2">
      <c r="A4">
        <v>3</v>
      </c>
      <c r="B4">
        <f>LoanPool!L4</f>
        <v>1287248.937663452</v>
      </c>
      <c r="C4">
        <f>LoanPool!M4</f>
        <v>2756413.8779815696</v>
      </c>
      <c r="D4">
        <f>LoanPool!H4</f>
        <v>91803.913742569697</v>
      </c>
      <c r="E4">
        <f t="shared" si="20"/>
        <v>234414636.44371337</v>
      </c>
      <c r="F4">
        <f t="shared" si="21"/>
        <v>45000000</v>
      </c>
      <c r="G4">
        <f t="shared" si="22"/>
        <v>14813692.165075548</v>
      </c>
      <c r="H4">
        <f t="shared" si="0"/>
        <v>91803.913742569697</v>
      </c>
      <c r="I4">
        <f t="shared" si="1"/>
        <v>0</v>
      </c>
      <c r="J4">
        <f t="shared" si="2"/>
        <v>0</v>
      </c>
      <c r="K4">
        <f t="shared" si="3"/>
        <v>234414636.44371337</v>
      </c>
      <c r="L4">
        <f t="shared" si="4"/>
        <v>45000000</v>
      </c>
      <c r="M4">
        <f t="shared" si="5"/>
        <v>14721888.251332978</v>
      </c>
      <c r="N4">
        <f>K4*Inputs!B6/12</f>
        <v>1123236.7996261267</v>
      </c>
      <c r="O4">
        <f t="shared" si="6"/>
        <v>1123236.7996261267</v>
      </c>
      <c r="P4">
        <f t="shared" si="7"/>
        <v>0</v>
      </c>
      <c r="Q4">
        <f>L4*Inputs!B6/12</f>
        <v>215625</v>
      </c>
      <c r="R4">
        <f t="shared" si="8"/>
        <v>164012.13803732535</v>
      </c>
      <c r="S4">
        <f t="shared" si="9"/>
        <v>51612.861962674651</v>
      </c>
      <c r="T4">
        <f t="shared" si="10"/>
        <v>0</v>
      </c>
      <c r="U4">
        <f t="shared" si="11"/>
        <v>2756413.8779815696</v>
      </c>
      <c r="V4">
        <f t="shared" si="12"/>
        <v>0</v>
      </c>
      <c r="W4">
        <f t="shared" si="13"/>
        <v>0</v>
      </c>
      <c r="X4">
        <f t="shared" si="14"/>
        <v>231658222.56573179</v>
      </c>
      <c r="Y4">
        <f t="shared" si="15"/>
        <v>45000000</v>
      </c>
      <c r="Z4">
        <f t="shared" si="16"/>
        <v>14721888.251332978</v>
      </c>
      <c r="AA4">
        <f t="shared" si="17"/>
        <v>0</v>
      </c>
      <c r="AB4">
        <f t="shared" si="18"/>
        <v>0</v>
      </c>
      <c r="AC4">
        <f t="shared" si="19"/>
        <v>0</v>
      </c>
    </row>
    <row r="5" spans="1:29" x14ac:dyDescent="0.2">
      <c r="A5">
        <v>4</v>
      </c>
      <c r="B5">
        <f>LoanPool!L5</f>
        <v>1274787.9848246588</v>
      </c>
      <c r="C5">
        <f>LoanPool!M5</f>
        <v>2732504.928472267</v>
      </c>
      <c r="D5">
        <f>LoanPool!H5</f>
        <v>90914.350830230338</v>
      </c>
      <c r="E5">
        <f t="shared" si="20"/>
        <v>231658222.56573179</v>
      </c>
      <c r="F5">
        <f t="shared" si="21"/>
        <v>45000000</v>
      </c>
      <c r="G5">
        <f t="shared" si="22"/>
        <v>14721888.251332978</v>
      </c>
      <c r="H5">
        <f t="shared" si="0"/>
        <v>90914.350830230338</v>
      </c>
      <c r="I5">
        <f t="shared" si="1"/>
        <v>0</v>
      </c>
      <c r="J5">
        <f t="shared" si="2"/>
        <v>0</v>
      </c>
      <c r="K5">
        <f t="shared" si="3"/>
        <v>231658222.56573179</v>
      </c>
      <c r="L5">
        <f t="shared" si="4"/>
        <v>45000000</v>
      </c>
      <c r="M5">
        <f t="shared" si="5"/>
        <v>14630973.900502747</v>
      </c>
      <c r="N5">
        <f>K5*Inputs!B6/12</f>
        <v>1110028.9831274648</v>
      </c>
      <c r="O5">
        <f t="shared" si="6"/>
        <v>1110028.9831274648</v>
      </c>
      <c r="P5">
        <f t="shared" si="7"/>
        <v>0</v>
      </c>
      <c r="Q5">
        <f>L5*Inputs!B6/12</f>
        <v>215625</v>
      </c>
      <c r="R5">
        <f t="shared" si="8"/>
        <v>164759.00169719406</v>
      </c>
      <c r="S5">
        <f t="shared" si="9"/>
        <v>50865.998302805936</v>
      </c>
      <c r="T5">
        <f t="shared" si="10"/>
        <v>0</v>
      </c>
      <c r="U5">
        <f t="shared" si="11"/>
        <v>2732504.928472267</v>
      </c>
      <c r="V5">
        <f t="shared" si="12"/>
        <v>0</v>
      </c>
      <c r="W5">
        <f t="shared" si="13"/>
        <v>0</v>
      </c>
      <c r="X5">
        <f t="shared" si="14"/>
        <v>228925717.63725951</v>
      </c>
      <c r="Y5">
        <f t="shared" si="15"/>
        <v>45000000</v>
      </c>
      <c r="Z5">
        <f t="shared" si="16"/>
        <v>14630973.900502747</v>
      </c>
      <c r="AA5">
        <f t="shared" si="17"/>
        <v>0</v>
      </c>
      <c r="AB5">
        <f t="shared" si="18"/>
        <v>0</v>
      </c>
      <c r="AC5">
        <f t="shared" si="19"/>
        <v>0</v>
      </c>
    </row>
    <row r="6" spans="1:29" x14ac:dyDescent="0.2">
      <c r="A6">
        <v>5</v>
      </c>
      <c r="B6">
        <f>LoanPool!L6</f>
        <v>1262435.5254777104</v>
      </c>
      <c r="C6">
        <f>LoanPool!M6</f>
        <v>2708796.1310784365</v>
      </c>
      <c r="D6">
        <f>LoanPool!H6</f>
        <v>90032.53557944471</v>
      </c>
      <c r="E6">
        <f t="shared" si="20"/>
        <v>228925717.63725951</v>
      </c>
      <c r="F6">
        <f t="shared" si="21"/>
        <v>45000000</v>
      </c>
      <c r="G6">
        <f t="shared" si="22"/>
        <v>14630973.900502747</v>
      </c>
      <c r="H6">
        <f t="shared" si="0"/>
        <v>90032.53557944471</v>
      </c>
      <c r="I6">
        <f t="shared" si="1"/>
        <v>0</v>
      </c>
      <c r="J6">
        <f t="shared" si="2"/>
        <v>0</v>
      </c>
      <c r="K6">
        <f t="shared" si="3"/>
        <v>228925717.63725951</v>
      </c>
      <c r="L6">
        <f t="shared" si="4"/>
        <v>45000000</v>
      </c>
      <c r="M6">
        <f t="shared" si="5"/>
        <v>14540941.364923302</v>
      </c>
      <c r="N6">
        <f>K6*Inputs!B6/12</f>
        <v>1096935.7303452019</v>
      </c>
      <c r="O6">
        <f t="shared" si="6"/>
        <v>1096935.7303452019</v>
      </c>
      <c r="P6">
        <f t="shared" si="7"/>
        <v>0</v>
      </c>
      <c r="Q6">
        <f>L6*Inputs!B6/12</f>
        <v>215625</v>
      </c>
      <c r="R6">
        <f t="shared" si="8"/>
        <v>165499.7951325085</v>
      </c>
      <c r="S6">
        <f t="shared" si="9"/>
        <v>50125.204867491499</v>
      </c>
      <c r="T6">
        <f t="shared" si="10"/>
        <v>0</v>
      </c>
      <c r="U6">
        <f t="shared" si="11"/>
        <v>2708796.1310784365</v>
      </c>
      <c r="V6">
        <f t="shared" si="12"/>
        <v>0</v>
      </c>
      <c r="W6">
        <f t="shared" si="13"/>
        <v>0</v>
      </c>
      <c r="X6">
        <f t="shared" si="14"/>
        <v>226216921.50618109</v>
      </c>
      <c r="Y6">
        <f t="shared" si="15"/>
        <v>45000000</v>
      </c>
      <c r="Z6">
        <f t="shared" si="16"/>
        <v>14540941.364923302</v>
      </c>
      <c r="AA6">
        <f t="shared" si="17"/>
        <v>0</v>
      </c>
      <c r="AB6">
        <f t="shared" si="18"/>
        <v>0</v>
      </c>
      <c r="AC6">
        <f t="shared" si="19"/>
        <v>0</v>
      </c>
    </row>
    <row r="7" spans="1:29" x14ac:dyDescent="0.2">
      <c r="A7">
        <v>6</v>
      </c>
      <c r="B7">
        <f>LoanPool!L7</f>
        <v>1250190.6500610821</v>
      </c>
      <c r="C7">
        <f>LoanPool!M7</f>
        <v>2685285.833563616</v>
      </c>
      <c r="D7">
        <f>LoanPool!H7</f>
        <v>89158.403029129229</v>
      </c>
      <c r="E7">
        <f t="shared" si="20"/>
        <v>226216921.50618109</v>
      </c>
      <c r="F7">
        <f t="shared" si="21"/>
        <v>45000000</v>
      </c>
      <c r="G7">
        <f t="shared" si="22"/>
        <v>14540941.364923302</v>
      </c>
      <c r="H7">
        <f t="shared" si="0"/>
        <v>89158.403029129229</v>
      </c>
      <c r="I7">
        <f t="shared" si="1"/>
        <v>0</v>
      </c>
      <c r="J7">
        <f t="shared" si="2"/>
        <v>0</v>
      </c>
      <c r="K7">
        <f t="shared" si="3"/>
        <v>226216921.50618109</v>
      </c>
      <c r="L7">
        <f t="shared" si="4"/>
        <v>45000000</v>
      </c>
      <c r="M7">
        <f t="shared" si="5"/>
        <v>14451782.961894173</v>
      </c>
      <c r="N7">
        <f>K7*Inputs!B6/12</f>
        <v>1083956.0822171178</v>
      </c>
      <c r="O7">
        <f t="shared" si="6"/>
        <v>1083956.0822171178</v>
      </c>
      <c r="P7">
        <f t="shared" si="7"/>
        <v>0</v>
      </c>
      <c r="Q7">
        <f>L7*Inputs!B6/12</f>
        <v>215625</v>
      </c>
      <c r="R7">
        <f t="shared" si="8"/>
        <v>166234.56784396432</v>
      </c>
      <c r="S7">
        <f t="shared" si="9"/>
        <v>49390.432156035677</v>
      </c>
      <c r="T7">
        <f t="shared" si="10"/>
        <v>0</v>
      </c>
      <c r="U7">
        <f t="shared" si="11"/>
        <v>2685285.833563616</v>
      </c>
      <c r="V7">
        <f t="shared" si="12"/>
        <v>0</v>
      </c>
      <c r="W7">
        <f t="shared" si="13"/>
        <v>0</v>
      </c>
      <c r="X7">
        <f t="shared" si="14"/>
        <v>223531635.67261747</v>
      </c>
      <c r="Y7">
        <f t="shared" si="15"/>
        <v>45000000</v>
      </c>
      <c r="Z7">
        <f t="shared" si="16"/>
        <v>14451782.961894173</v>
      </c>
      <c r="AA7">
        <f t="shared" si="17"/>
        <v>0</v>
      </c>
      <c r="AB7">
        <f t="shared" si="18"/>
        <v>0</v>
      </c>
      <c r="AC7">
        <f t="shared" si="19"/>
        <v>0</v>
      </c>
    </row>
    <row r="8" spans="1:29" x14ac:dyDescent="0.2">
      <c r="A8">
        <v>7</v>
      </c>
      <c r="B8">
        <f>LoanPool!L8</f>
        <v>1238052.4565259886</v>
      </c>
      <c r="C8">
        <f>LoanPool!M8</f>
        <v>2661972.3972524637</v>
      </c>
      <c r="D8">
        <f>LoanPool!H8</f>
        <v>88291.888754788815</v>
      </c>
      <c r="E8">
        <f t="shared" si="20"/>
        <v>223531635.67261747</v>
      </c>
      <c r="F8">
        <f t="shared" si="21"/>
        <v>45000000</v>
      </c>
      <c r="G8">
        <f t="shared" si="22"/>
        <v>14451782.961894173</v>
      </c>
      <c r="H8">
        <f t="shared" si="0"/>
        <v>88291.888754788815</v>
      </c>
      <c r="I8">
        <f t="shared" si="1"/>
        <v>0</v>
      </c>
      <c r="J8">
        <f t="shared" si="2"/>
        <v>0</v>
      </c>
      <c r="K8">
        <f t="shared" si="3"/>
        <v>223531635.67261747</v>
      </c>
      <c r="L8">
        <f t="shared" si="4"/>
        <v>45000000</v>
      </c>
      <c r="M8">
        <f t="shared" si="5"/>
        <v>14363491.073139384</v>
      </c>
      <c r="N8">
        <f>K8*Inputs!B6/12</f>
        <v>1071089.0875979587</v>
      </c>
      <c r="O8">
        <f t="shared" si="6"/>
        <v>1071089.0875979587</v>
      </c>
      <c r="P8">
        <f t="shared" si="7"/>
        <v>0</v>
      </c>
      <c r="Q8">
        <f>L8*Inputs!B6/12</f>
        <v>215625</v>
      </c>
      <c r="R8">
        <f t="shared" si="8"/>
        <v>166963.3689280299</v>
      </c>
      <c r="S8">
        <f t="shared" si="9"/>
        <v>48661.6310719701</v>
      </c>
      <c r="T8">
        <f t="shared" si="10"/>
        <v>0</v>
      </c>
      <c r="U8">
        <f t="shared" si="11"/>
        <v>2661972.3972524637</v>
      </c>
      <c r="V8">
        <f t="shared" si="12"/>
        <v>0</v>
      </c>
      <c r="W8">
        <f t="shared" si="13"/>
        <v>0</v>
      </c>
      <c r="X8">
        <f t="shared" si="14"/>
        <v>220869663.275365</v>
      </c>
      <c r="Y8">
        <f t="shared" si="15"/>
        <v>45000000</v>
      </c>
      <c r="Z8">
        <f t="shared" si="16"/>
        <v>14363491.073139384</v>
      </c>
      <c r="AA8">
        <f t="shared" si="17"/>
        <v>0</v>
      </c>
      <c r="AB8">
        <f t="shared" si="18"/>
        <v>0</v>
      </c>
      <c r="AC8">
        <f t="shared" si="19"/>
        <v>0</v>
      </c>
    </row>
    <row r="9" spans="1:29" x14ac:dyDescent="0.2">
      <c r="A9">
        <v>8</v>
      </c>
      <c r="B9">
        <f>LoanPool!L9</f>
        <v>1226020.0502747071</v>
      </c>
      <c r="C9">
        <f>LoanPool!M9</f>
        <v>2638854.1969197229</v>
      </c>
      <c r="D9">
        <f>LoanPool!H9</f>
        <v>87432.928864111615</v>
      </c>
      <c r="E9">
        <f t="shared" si="20"/>
        <v>220869663.275365</v>
      </c>
      <c r="F9">
        <f t="shared" si="21"/>
        <v>45000000</v>
      </c>
      <c r="G9">
        <f t="shared" si="22"/>
        <v>14363491.073139384</v>
      </c>
      <c r="H9">
        <f t="shared" si="0"/>
        <v>87432.928864111615</v>
      </c>
      <c r="I9">
        <f t="shared" si="1"/>
        <v>0</v>
      </c>
      <c r="J9">
        <f t="shared" si="2"/>
        <v>0</v>
      </c>
      <c r="K9">
        <f t="shared" si="3"/>
        <v>220869663.275365</v>
      </c>
      <c r="L9">
        <f t="shared" si="4"/>
        <v>45000000</v>
      </c>
      <c r="M9">
        <f t="shared" si="5"/>
        <v>14276058.144275272</v>
      </c>
      <c r="N9">
        <f>K9*Inputs!B6/12</f>
        <v>1058333.8031944574</v>
      </c>
      <c r="O9">
        <f t="shared" si="6"/>
        <v>1058333.8031944574</v>
      </c>
      <c r="P9">
        <f t="shared" si="7"/>
        <v>0</v>
      </c>
      <c r="Q9">
        <f>L9*Inputs!B6/12</f>
        <v>215625</v>
      </c>
      <c r="R9">
        <f t="shared" si="8"/>
        <v>167686.24708024971</v>
      </c>
      <c r="S9">
        <f t="shared" si="9"/>
        <v>47938.752919750288</v>
      </c>
      <c r="T9">
        <f t="shared" si="10"/>
        <v>0</v>
      </c>
      <c r="U9">
        <f t="shared" si="11"/>
        <v>2638854.1969197229</v>
      </c>
      <c r="V9">
        <f t="shared" si="12"/>
        <v>0</v>
      </c>
      <c r="W9">
        <f t="shared" si="13"/>
        <v>0</v>
      </c>
      <c r="X9">
        <f t="shared" si="14"/>
        <v>218230809.07844529</v>
      </c>
      <c r="Y9">
        <f t="shared" si="15"/>
        <v>45000000</v>
      </c>
      <c r="Z9">
        <f t="shared" si="16"/>
        <v>14276058.144275272</v>
      </c>
      <c r="AA9">
        <f t="shared" si="17"/>
        <v>0</v>
      </c>
      <c r="AB9">
        <f t="shared" si="18"/>
        <v>0</v>
      </c>
      <c r="AC9">
        <f t="shared" si="19"/>
        <v>0</v>
      </c>
    </row>
    <row r="10" spans="1:29" x14ac:dyDescent="0.2">
      <c r="A10">
        <v>9</v>
      </c>
      <c r="B10">
        <f>LoanPool!L10</f>
        <v>1214092.5440994028</v>
      </c>
      <c r="C10">
        <f>LoanPool!M10</f>
        <v>2615929.6206800817</v>
      </c>
      <c r="D10">
        <f>LoanPool!H10</f>
        <v>86581.459992599732</v>
      </c>
      <c r="E10">
        <f t="shared" si="20"/>
        <v>218230809.07844529</v>
      </c>
      <c r="F10">
        <f t="shared" si="21"/>
        <v>45000000</v>
      </c>
      <c r="G10">
        <f t="shared" si="22"/>
        <v>14276058.144275272</v>
      </c>
      <c r="H10">
        <f t="shared" si="0"/>
        <v>86581.459992599732</v>
      </c>
      <c r="I10">
        <f t="shared" si="1"/>
        <v>0</v>
      </c>
      <c r="J10">
        <f t="shared" si="2"/>
        <v>0</v>
      </c>
      <c r="K10">
        <f t="shared" si="3"/>
        <v>218230809.07844529</v>
      </c>
      <c r="L10">
        <f t="shared" si="4"/>
        <v>45000000</v>
      </c>
      <c r="M10">
        <f t="shared" si="5"/>
        <v>14189476.684282672</v>
      </c>
      <c r="N10">
        <f>K10*Inputs!B6/12</f>
        <v>1045689.2935008836</v>
      </c>
      <c r="O10">
        <f t="shared" si="6"/>
        <v>1045689.2935008836</v>
      </c>
      <c r="P10">
        <f t="shared" si="7"/>
        <v>0</v>
      </c>
      <c r="Q10">
        <f>L10*Inputs!B6/12</f>
        <v>215625</v>
      </c>
      <c r="R10">
        <f t="shared" si="8"/>
        <v>168403.25059851923</v>
      </c>
      <c r="S10">
        <f t="shared" si="9"/>
        <v>47221.749401480774</v>
      </c>
      <c r="T10">
        <f t="shared" si="10"/>
        <v>0</v>
      </c>
      <c r="U10">
        <f t="shared" si="11"/>
        <v>2615929.6206800817</v>
      </c>
      <c r="V10">
        <f t="shared" si="12"/>
        <v>0</v>
      </c>
      <c r="W10">
        <f t="shared" si="13"/>
        <v>0</v>
      </c>
      <c r="X10">
        <f t="shared" si="14"/>
        <v>215614879.45776519</v>
      </c>
      <c r="Y10">
        <f t="shared" si="15"/>
        <v>45000000</v>
      </c>
      <c r="Z10">
        <f t="shared" si="16"/>
        <v>14189476.684282672</v>
      </c>
      <c r="AA10">
        <f t="shared" si="17"/>
        <v>0</v>
      </c>
      <c r="AB10">
        <f t="shared" si="18"/>
        <v>0</v>
      </c>
      <c r="AC10">
        <f t="shared" si="19"/>
        <v>0</v>
      </c>
    </row>
    <row r="11" spans="1:29" x14ac:dyDescent="0.2">
      <c r="A11">
        <v>10</v>
      </c>
      <c r="B11">
        <f>LoanPool!L11</f>
        <v>1202269.0581214598</v>
      </c>
      <c r="C11">
        <f>LoanPool!M11</f>
        <v>2593197.069878947</v>
      </c>
      <c r="D11">
        <f>LoanPool!H11</f>
        <v>85737.419299235742</v>
      </c>
      <c r="E11">
        <f t="shared" si="20"/>
        <v>215614879.45776519</v>
      </c>
      <c r="F11">
        <f t="shared" si="21"/>
        <v>45000000</v>
      </c>
      <c r="G11">
        <f t="shared" si="22"/>
        <v>14189476.684282672</v>
      </c>
      <c r="H11">
        <f t="shared" si="0"/>
        <v>85737.419299235742</v>
      </c>
      <c r="I11">
        <f t="shared" si="1"/>
        <v>0</v>
      </c>
      <c r="J11">
        <f t="shared" si="2"/>
        <v>0</v>
      </c>
      <c r="K11">
        <f t="shared" si="3"/>
        <v>215614879.45776519</v>
      </c>
      <c r="L11">
        <f t="shared" si="4"/>
        <v>45000000</v>
      </c>
      <c r="M11">
        <f t="shared" si="5"/>
        <v>14103739.264983436</v>
      </c>
      <c r="N11">
        <f>K11*Inputs!B6/12</f>
        <v>1033154.6307351249</v>
      </c>
      <c r="O11">
        <f t="shared" si="6"/>
        <v>1033154.6307351249</v>
      </c>
      <c r="P11">
        <f t="shared" si="7"/>
        <v>0</v>
      </c>
      <c r="Q11">
        <f>L11*Inputs!B6/12</f>
        <v>215625</v>
      </c>
      <c r="R11">
        <f t="shared" si="8"/>
        <v>169114.42738633486</v>
      </c>
      <c r="S11">
        <f t="shared" si="9"/>
        <v>46510.572613665136</v>
      </c>
      <c r="T11">
        <f t="shared" si="10"/>
        <v>0</v>
      </c>
      <c r="U11">
        <f t="shared" si="11"/>
        <v>2593197.069878947</v>
      </c>
      <c r="V11">
        <f t="shared" si="12"/>
        <v>0</v>
      </c>
      <c r="W11">
        <f t="shared" si="13"/>
        <v>0</v>
      </c>
      <c r="X11">
        <f t="shared" si="14"/>
        <v>213021682.38788626</v>
      </c>
      <c r="Y11">
        <f t="shared" si="15"/>
        <v>45000000</v>
      </c>
      <c r="Z11">
        <f t="shared" si="16"/>
        <v>14103739.264983436</v>
      </c>
      <c r="AA11">
        <f t="shared" si="17"/>
        <v>0</v>
      </c>
      <c r="AB11">
        <f t="shared" si="18"/>
        <v>0</v>
      </c>
      <c r="AC11">
        <f t="shared" si="19"/>
        <v>0</v>
      </c>
    </row>
    <row r="12" spans="1:29" x14ac:dyDescent="0.2">
      <c r="A12">
        <v>11</v>
      </c>
      <c r="B12">
        <f>LoanPool!L12</f>
        <v>1190548.7197313053</v>
      </c>
      <c r="C12">
        <f>LoanPool!M12</f>
        <v>2570654.9589840993</v>
      </c>
      <c r="D12">
        <f>LoanPool!H12</f>
        <v>84900.744462184739</v>
      </c>
      <c r="E12">
        <f t="shared" si="20"/>
        <v>213021682.38788626</v>
      </c>
      <c r="F12">
        <f t="shared" si="21"/>
        <v>45000000</v>
      </c>
      <c r="G12">
        <f t="shared" si="22"/>
        <v>14103739.264983436</v>
      </c>
      <c r="H12">
        <f t="shared" si="0"/>
        <v>84900.744462184739</v>
      </c>
      <c r="I12">
        <f t="shared" si="1"/>
        <v>0</v>
      </c>
      <c r="J12">
        <f t="shared" si="2"/>
        <v>0</v>
      </c>
      <c r="K12">
        <f t="shared" si="3"/>
        <v>213021682.38788626</v>
      </c>
      <c r="L12">
        <f t="shared" si="4"/>
        <v>45000000</v>
      </c>
      <c r="M12">
        <f t="shared" si="5"/>
        <v>14018838.520521251</v>
      </c>
      <c r="N12">
        <f>K12*Inputs!B6/12</f>
        <v>1020728.8947752883</v>
      </c>
      <c r="O12">
        <f t="shared" si="6"/>
        <v>1020728.8947752883</v>
      </c>
      <c r="P12">
        <f t="shared" si="7"/>
        <v>0</v>
      </c>
      <c r="Q12">
        <f>L12*Inputs!B6/12</f>
        <v>215625</v>
      </c>
      <c r="R12">
        <f t="shared" si="8"/>
        <v>169819.82495601696</v>
      </c>
      <c r="S12">
        <f t="shared" si="9"/>
        <v>45805.175043983036</v>
      </c>
      <c r="T12">
        <f t="shared" si="10"/>
        <v>0</v>
      </c>
      <c r="U12">
        <f t="shared" si="11"/>
        <v>2570654.9589840993</v>
      </c>
      <c r="V12">
        <f t="shared" si="12"/>
        <v>0</v>
      </c>
      <c r="W12">
        <f t="shared" si="13"/>
        <v>0</v>
      </c>
      <c r="X12">
        <f t="shared" si="14"/>
        <v>210451027.42890215</v>
      </c>
      <c r="Y12">
        <f t="shared" si="15"/>
        <v>45000000</v>
      </c>
      <c r="Z12">
        <f t="shared" si="16"/>
        <v>14018838.520521251</v>
      </c>
      <c r="AA12">
        <f t="shared" si="17"/>
        <v>0</v>
      </c>
      <c r="AB12">
        <f t="shared" si="18"/>
        <v>0</v>
      </c>
      <c r="AC12">
        <f t="shared" si="19"/>
        <v>0</v>
      </c>
    </row>
    <row r="13" spans="1:29" x14ac:dyDescent="0.2">
      <c r="A13">
        <v>12</v>
      </c>
      <c r="B13">
        <f>LoanPool!L13</f>
        <v>1178930.6635287278</v>
      </c>
      <c r="C13">
        <f>LoanPool!M13</f>
        <v>2548301.7154782428</v>
      </c>
      <c r="D13">
        <f>LoanPool!H13</f>
        <v>84071.373674531496</v>
      </c>
      <c r="E13">
        <f t="shared" si="20"/>
        <v>210451027.42890215</v>
      </c>
      <c r="F13">
        <f t="shared" si="21"/>
        <v>45000000</v>
      </c>
      <c r="G13">
        <f t="shared" si="22"/>
        <v>14018838.520521251</v>
      </c>
      <c r="H13">
        <f t="shared" si="0"/>
        <v>84071.373674531496</v>
      </c>
      <c r="I13">
        <f t="shared" si="1"/>
        <v>0</v>
      </c>
      <c r="J13">
        <f t="shared" si="2"/>
        <v>0</v>
      </c>
      <c r="K13">
        <f t="shared" si="3"/>
        <v>210451027.42890215</v>
      </c>
      <c r="L13">
        <f t="shared" si="4"/>
        <v>45000000</v>
      </c>
      <c r="M13">
        <f t="shared" si="5"/>
        <v>13934767.146846719</v>
      </c>
      <c r="N13">
        <f>K13*Inputs!B6/12</f>
        <v>1008411.1730968229</v>
      </c>
      <c r="O13">
        <f t="shared" si="6"/>
        <v>1008411.1730968229</v>
      </c>
      <c r="P13">
        <f t="shared" si="7"/>
        <v>0</v>
      </c>
      <c r="Q13">
        <f>L13*Inputs!B6/12</f>
        <v>215625</v>
      </c>
      <c r="R13">
        <f t="shared" si="8"/>
        <v>170519.49043190491</v>
      </c>
      <c r="S13">
        <f t="shared" si="9"/>
        <v>45105.509568095091</v>
      </c>
      <c r="T13">
        <f t="shared" si="10"/>
        <v>0</v>
      </c>
      <c r="U13">
        <f t="shared" si="11"/>
        <v>2548301.7154782428</v>
      </c>
      <c r="V13">
        <f t="shared" si="12"/>
        <v>0</v>
      </c>
      <c r="W13">
        <f t="shared" si="13"/>
        <v>0</v>
      </c>
      <c r="X13">
        <f t="shared" si="14"/>
        <v>207902725.71342391</v>
      </c>
      <c r="Y13">
        <f t="shared" si="15"/>
        <v>45000000</v>
      </c>
      <c r="Z13">
        <f t="shared" si="16"/>
        <v>13934767.146846719</v>
      </c>
      <c r="AA13">
        <f t="shared" si="17"/>
        <v>0</v>
      </c>
      <c r="AB13">
        <f t="shared" si="18"/>
        <v>0</v>
      </c>
      <c r="AC13">
        <f t="shared" si="19"/>
        <v>0</v>
      </c>
    </row>
    <row r="14" spans="1:29" x14ac:dyDescent="0.2">
      <c r="A14">
        <v>13</v>
      </c>
      <c r="B14">
        <f>LoanPool!L14</f>
        <v>1167414.0312636844</v>
      </c>
      <c r="C14">
        <f>LoanPool!M14</f>
        <v>2526135.77975243</v>
      </c>
      <c r="D14">
        <f>LoanPool!H14</f>
        <v>83249.245640052555</v>
      </c>
      <c r="E14">
        <f t="shared" si="20"/>
        <v>207902725.71342391</v>
      </c>
      <c r="F14">
        <f t="shared" si="21"/>
        <v>45000000</v>
      </c>
      <c r="G14">
        <f t="shared" si="22"/>
        <v>13934767.146846719</v>
      </c>
      <c r="H14">
        <f t="shared" si="0"/>
        <v>83249.245640052555</v>
      </c>
      <c r="I14">
        <f t="shared" si="1"/>
        <v>0</v>
      </c>
      <c r="J14">
        <f t="shared" si="2"/>
        <v>0</v>
      </c>
      <c r="K14">
        <f t="shared" si="3"/>
        <v>207902725.71342391</v>
      </c>
      <c r="L14">
        <f t="shared" si="4"/>
        <v>45000000</v>
      </c>
      <c r="M14">
        <f t="shared" si="5"/>
        <v>13851517.901206667</v>
      </c>
      <c r="N14">
        <f>K14*Inputs!B6/12</f>
        <v>996200.56071015634</v>
      </c>
      <c r="O14">
        <f t="shared" si="6"/>
        <v>996200.56071015634</v>
      </c>
      <c r="P14">
        <f t="shared" si="7"/>
        <v>0</v>
      </c>
      <c r="Q14">
        <f>L14*Inputs!B6/12</f>
        <v>215625</v>
      </c>
      <c r="R14">
        <f t="shared" si="8"/>
        <v>171213.47055352805</v>
      </c>
      <c r="S14">
        <f t="shared" si="9"/>
        <v>44411.529446471948</v>
      </c>
      <c r="T14">
        <f t="shared" si="10"/>
        <v>0</v>
      </c>
      <c r="U14">
        <f t="shared" si="11"/>
        <v>2526135.77975243</v>
      </c>
      <c r="V14">
        <f t="shared" si="12"/>
        <v>0</v>
      </c>
      <c r="W14">
        <f t="shared" si="13"/>
        <v>0</v>
      </c>
      <c r="X14">
        <f t="shared" si="14"/>
        <v>205376589.93367147</v>
      </c>
      <c r="Y14">
        <f t="shared" si="15"/>
        <v>45000000</v>
      </c>
      <c r="Z14">
        <f t="shared" si="16"/>
        <v>13851517.901206667</v>
      </c>
      <c r="AA14">
        <f t="shared" si="17"/>
        <v>0</v>
      </c>
      <c r="AB14">
        <f t="shared" si="18"/>
        <v>0</v>
      </c>
      <c r="AC14">
        <f t="shared" si="19"/>
        <v>0</v>
      </c>
    </row>
    <row r="15" spans="1:29" x14ac:dyDescent="0.2">
      <c r="A15">
        <v>14</v>
      </c>
      <c r="B15">
        <f>LoanPool!L15</f>
        <v>1155997.9717775923</v>
      </c>
      <c r="C15">
        <f>LoanPool!M15</f>
        <v>2504155.6050003604</v>
      </c>
      <c r="D15">
        <f>LoanPool!H15</f>
        <v>82434.299569023118</v>
      </c>
      <c r="E15">
        <f t="shared" si="20"/>
        <v>205376589.93367147</v>
      </c>
      <c r="F15">
        <f t="shared" si="21"/>
        <v>45000000</v>
      </c>
      <c r="G15">
        <f t="shared" si="22"/>
        <v>13851517.901206667</v>
      </c>
      <c r="H15">
        <f t="shared" si="0"/>
        <v>82434.299569023118</v>
      </c>
      <c r="I15">
        <f t="shared" si="1"/>
        <v>0</v>
      </c>
      <c r="J15">
        <f t="shared" si="2"/>
        <v>0</v>
      </c>
      <c r="K15">
        <f t="shared" si="3"/>
        <v>205376589.93367147</v>
      </c>
      <c r="L15">
        <f t="shared" si="4"/>
        <v>45000000</v>
      </c>
      <c r="M15">
        <f t="shared" si="5"/>
        <v>13769083.601637643</v>
      </c>
      <c r="N15">
        <f>K15*Inputs!B6/12</f>
        <v>984096.16009884246</v>
      </c>
      <c r="O15">
        <f t="shared" si="6"/>
        <v>984096.16009884246</v>
      </c>
      <c r="P15">
        <f t="shared" si="7"/>
        <v>0</v>
      </c>
      <c r="Q15">
        <f>L15*Inputs!B6/12</f>
        <v>215625</v>
      </c>
      <c r="R15">
        <f t="shared" si="8"/>
        <v>171901.81167874986</v>
      </c>
      <c r="S15">
        <f t="shared" si="9"/>
        <v>43723.188321250142</v>
      </c>
      <c r="T15">
        <f t="shared" si="10"/>
        <v>0</v>
      </c>
      <c r="U15">
        <f t="shared" si="11"/>
        <v>2504155.6050003604</v>
      </c>
      <c r="V15">
        <f t="shared" si="12"/>
        <v>0</v>
      </c>
      <c r="W15">
        <f t="shared" si="13"/>
        <v>0</v>
      </c>
      <c r="X15">
        <f t="shared" si="14"/>
        <v>202872434.32867113</v>
      </c>
      <c r="Y15">
        <f t="shared" si="15"/>
        <v>45000000</v>
      </c>
      <c r="Z15">
        <f t="shared" si="16"/>
        <v>13769083.601637643</v>
      </c>
      <c r="AA15">
        <f t="shared" si="17"/>
        <v>0</v>
      </c>
      <c r="AB15">
        <f t="shared" si="18"/>
        <v>0</v>
      </c>
      <c r="AC15">
        <f t="shared" si="19"/>
        <v>0</v>
      </c>
    </row>
    <row r="16" spans="1:29" x14ac:dyDescent="0.2">
      <c r="A16">
        <v>15</v>
      </c>
      <c r="B16">
        <f>LoanPool!L16</f>
        <v>1144681.6409451014</v>
      </c>
      <c r="C16">
        <f>LoanPool!M16</f>
        <v>2482359.6571135432</v>
      </c>
      <c r="D16">
        <f>LoanPool!H16</f>
        <v>81626.475174057967</v>
      </c>
      <c r="E16">
        <f t="shared" si="20"/>
        <v>202872434.32867113</v>
      </c>
      <c r="F16">
        <f t="shared" si="21"/>
        <v>45000000</v>
      </c>
      <c r="G16">
        <f t="shared" si="22"/>
        <v>13769083.601637643</v>
      </c>
      <c r="H16">
        <f t="shared" si="0"/>
        <v>81626.475174057967</v>
      </c>
      <c r="I16">
        <f t="shared" si="1"/>
        <v>0</v>
      </c>
      <c r="J16">
        <f t="shared" si="2"/>
        <v>0</v>
      </c>
      <c r="K16">
        <f t="shared" si="3"/>
        <v>202872434.32867113</v>
      </c>
      <c r="L16">
        <f t="shared" si="4"/>
        <v>45000000</v>
      </c>
      <c r="M16">
        <f t="shared" si="5"/>
        <v>13687457.126463585</v>
      </c>
      <c r="N16">
        <f>K16*Inputs!B6/12</f>
        <v>972097.08115821576</v>
      </c>
      <c r="O16">
        <f t="shared" si="6"/>
        <v>972097.08115821576</v>
      </c>
      <c r="P16">
        <f t="shared" si="7"/>
        <v>0</v>
      </c>
      <c r="Q16">
        <f>L16*Inputs!B6/12</f>
        <v>215625</v>
      </c>
      <c r="R16">
        <f t="shared" si="8"/>
        <v>172584.55978688563</v>
      </c>
      <c r="S16">
        <f t="shared" si="9"/>
        <v>43040.440213114372</v>
      </c>
      <c r="T16">
        <f t="shared" si="10"/>
        <v>0</v>
      </c>
      <c r="U16">
        <f t="shared" si="11"/>
        <v>2482359.6571135432</v>
      </c>
      <c r="V16">
        <f t="shared" si="12"/>
        <v>0</v>
      </c>
      <c r="W16">
        <f t="shared" si="13"/>
        <v>0</v>
      </c>
      <c r="X16">
        <f t="shared" si="14"/>
        <v>200390074.67155758</v>
      </c>
      <c r="Y16">
        <f t="shared" si="15"/>
        <v>45000000</v>
      </c>
      <c r="Z16">
        <f t="shared" si="16"/>
        <v>13687457.126463585</v>
      </c>
      <c r="AA16">
        <f t="shared" si="17"/>
        <v>0</v>
      </c>
      <c r="AB16">
        <f t="shared" si="18"/>
        <v>0</v>
      </c>
      <c r="AC16">
        <f t="shared" si="19"/>
        <v>0</v>
      </c>
    </row>
    <row r="17" spans="1:29" x14ac:dyDescent="0.2">
      <c r="A17">
        <v>16</v>
      </c>
      <c r="B17">
        <f>LoanPool!L17</f>
        <v>1133464.2016163431</v>
      </c>
      <c r="C17">
        <f>LoanPool!M17</f>
        <v>2460746.4145773142</v>
      </c>
      <c r="D17">
        <f>LoanPool!H17</f>
        <v>80825.712665986677</v>
      </c>
      <c r="E17">
        <f t="shared" si="20"/>
        <v>200390074.67155758</v>
      </c>
      <c r="F17">
        <f t="shared" si="21"/>
        <v>45000000</v>
      </c>
      <c r="G17">
        <f t="shared" si="22"/>
        <v>13687457.126463585</v>
      </c>
      <c r="H17">
        <f t="shared" si="0"/>
        <v>80825.712665986677</v>
      </c>
      <c r="I17">
        <f t="shared" si="1"/>
        <v>0</v>
      </c>
      <c r="J17">
        <f t="shared" si="2"/>
        <v>0</v>
      </c>
      <c r="K17">
        <f t="shared" si="3"/>
        <v>200390074.67155758</v>
      </c>
      <c r="L17">
        <f t="shared" si="4"/>
        <v>45000000</v>
      </c>
      <c r="M17">
        <f t="shared" si="5"/>
        <v>13606631.413797598</v>
      </c>
      <c r="N17">
        <f>K17*Inputs!B6/12</f>
        <v>960202.44113454677</v>
      </c>
      <c r="O17">
        <f t="shared" si="6"/>
        <v>960202.44113454677</v>
      </c>
      <c r="P17">
        <f t="shared" si="7"/>
        <v>0</v>
      </c>
      <c r="Q17">
        <f>L17*Inputs!B6/12</f>
        <v>215625</v>
      </c>
      <c r="R17">
        <f t="shared" si="8"/>
        <v>173261.76048179634</v>
      </c>
      <c r="S17">
        <f t="shared" si="9"/>
        <v>42363.239518203656</v>
      </c>
      <c r="T17">
        <f t="shared" si="10"/>
        <v>0</v>
      </c>
      <c r="U17">
        <f t="shared" si="11"/>
        <v>2460746.4145773142</v>
      </c>
      <c r="V17">
        <f t="shared" si="12"/>
        <v>0</v>
      </c>
      <c r="W17">
        <f t="shared" si="13"/>
        <v>0</v>
      </c>
      <c r="X17">
        <f t="shared" si="14"/>
        <v>197929328.25698027</v>
      </c>
      <c r="Y17">
        <f t="shared" si="15"/>
        <v>45000000</v>
      </c>
      <c r="Z17">
        <f t="shared" si="16"/>
        <v>13606631.413797598</v>
      </c>
      <c r="AA17">
        <f t="shared" si="17"/>
        <v>0</v>
      </c>
      <c r="AB17">
        <f t="shared" si="18"/>
        <v>0</v>
      </c>
      <c r="AC17">
        <f t="shared" si="19"/>
        <v>0</v>
      </c>
    </row>
    <row r="18" spans="1:29" x14ac:dyDescent="0.2">
      <c r="A18">
        <v>17</v>
      </c>
      <c r="B18">
        <f>LoanPool!L18</f>
        <v>1122344.8235596535</v>
      </c>
      <c r="C18">
        <f>LoanPool!M18</f>
        <v>2439314.368367712</v>
      </c>
      <c r="D18">
        <f>LoanPool!H18</f>
        <v>80031.952749762553</v>
      </c>
      <c r="E18">
        <f t="shared" si="20"/>
        <v>197929328.25698027</v>
      </c>
      <c r="F18">
        <f t="shared" si="21"/>
        <v>45000000</v>
      </c>
      <c r="G18">
        <f t="shared" si="22"/>
        <v>13606631.413797598</v>
      </c>
      <c r="H18">
        <f t="shared" si="0"/>
        <v>80031.952749762553</v>
      </c>
      <c r="I18">
        <f t="shared" si="1"/>
        <v>0</v>
      </c>
      <c r="J18">
        <f t="shared" si="2"/>
        <v>0</v>
      </c>
      <c r="K18">
        <f t="shared" si="3"/>
        <v>197929328.25698027</v>
      </c>
      <c r="L18">
        <f t="shared" si="4"/>
        <v>45000000</v>
      </c>
      <c r="M18">
        <f t="shared" si="5"/>
        <v>13526599.461047836</v>
      </c>
      <c r="N18">
        <f>K18*Inputs!B6/12</f>
        <v>948411.36456469714</v>
      </c>
      <c r="O18">
        <f t="shared" si="6"/>
        <v>948411.36456469714</v>
      </c>
      <c r="P18">
        <f t="shared" si="7"/>
        <v>0</v>
      </c>
      <c r="Q18">
        <f>L18*Inputs!B6/12</f>
        <v>215625</v>
      </c>
      <c r="R18">
        <f t="shared" si="8"/>
        <v>173933.45899495634</v>
      </c>
      <c r="S18">
        <f t="shared" si="9"/>
        <v>41691.541005043662</v>
      </c>
      <c r="T18">
        <f t="shared" si="10"/>
        <v>0</v>
      </c>
      <c r="U18">
        <f t="shared" si="11"/>
        <v>2439314.368367712</v>
      </c>
      <c r="V18">
        <f t="shared" si="12"/>
        <v>0</v>
      </c>
      <c r="W18">
        <f t="shared" si="13"/>
        <v>0</v>
      </c>
      <c r="X18">
        <f t="shared" si="14"/>
        <v>195490013.88861257</v>
      </c>
      <c r="Y18">
        <f t="shared" si="15"/>
        <v>45000000</v>
      </c>
      <c r="Z18">
        <f t="shared" si="16"/>
        <v>13526599.461047836</v>
      </c>
      <c r="AA18">
        <f t="shared" si="17"/>
        <v>0</v>
      </c>
      <c r="AB18">
        <f t="shared" si="18"/>
        <v>0</v>
      </c>
      <c r="AC18">
        <f t="shared" si="19"/>
        <v>0</v>
      </c>
    </row>
    <row r="19" spans="1:29" x14ac:dyDescent="0.2">
      <c r="A19">
        <v>18</v>
      </c>
      <c r="B19">
        <f>LoanPool!L19</f>
        <v>1111322.6834047646</v>
      </c>
      <c r="C19">
        <f>LoanPool!M19</f>
        <v>2418062.0218491885</v>
      </c>
      <c r="D19">
        <f>LoanPool!H19</f>
        <v>79245.136620405043</v>
      </c>
      <c r="E19">
        <f t="shared" si="20"/>
        <v>195490013.88861257</v>
      </c>
      <c r="F19">
        <f t="shared" si="21"/>
        <v>45000000</v>
      </c>
      <c r="G19">
        <f t="shared" si="22"/>
        <v>13526599.461047836</v>
      </c>
      <c r="H19">
        <f t="shared" si="0"/>
        <v>79245.136620405043</v>
      </c>
      <c r="I19">
        <f t="shared" si="1"/>
        <v>0</v>
      </c>
      <c r="J19">
        <f t="shared" si="2"/>
        <v>0</v>
      </c>
      <c r="K19">
        <f t="shared" si="3"/>
        <v>195490013.88861257</v>
      </c>
      <c r="L19">
        <f t="shared" si="4"/>
        <v>45000000</v>
      </c>
      <c r="M19">
        <f t="shared" si="5"/>
        <v>13447354.324427431</v>
      </c>
      <c r="N19">
        <f>K19*Inputs!B6/12</f>
        <v>936722.98321626859</v>
      </c>
      <c r="O19">
        <f t="shared" si="6"/>
        <v>936722.98321626859</v>
      </c>
      <c r="P19">
        <f t="shared" si="7"/>
        <v>0</v>
      </c>
      <c r="Q19">
        <f>L19*Inputs!B6/12</f>
        <v>215625</v>
      </c>
      <c r="R19">
        <f t="shared" si="8"/>
        <v>174599.70018849603</v>
      </c>
      <c r="S19">
        <f t="shared" si="9"/>
        <v>41025.299811503966</v>
      </c>
      <c r="T19">
        <f t="shared" si="10"/>
        <v>0</v>
      </c>
      <c r="U19">
        <f t="shared" si="11"/>
        <v>2418062.0218491885</v>
      </c>
      <c r="V19">
        <f t="shared" si="12"/>
        <v>0</v>
      </c>
      <c r="W19">
        <f t="shared" si="13"/>
        <v>0</v>
      </c>
      <c r="X19">
        <f t="shared" si="14"/>
        <v>193071951.86676338</v>
      </c>
      <c r="Y19">
        <f t="shared" si="15"/>
        <v>45000000</v>
      </c>
      <c r="Z19">
        <f t="shared" si="16"/>
        <v>13447354.324427431</v>
      </c>
      <c r="AA19">
        <f t="shared" si="17"/>
        <v>0</v>
      </c>
      <c r="AB19">
        <f t="shared" si="18"/>
        <v>0</v>
      </c>
      <c r="AC19">
        <f t="shared" si="19"/>
        <v>0</v>
      </c>
    </row>
    <row r="20" spans="1:29" x14ac:dyDescent="0.2">
      <c r="A20">
        <v>19</v>
      </c>
      <c r="B20">
        <f>LoanPool!L20</f>
        <v>1100396.9645864603</v>
      </c>
      <c r="C20">
        <f>LoanPool!M20</f>
        <v>2396987.8906731587</v>
      </c>
      <c r="D20">
        <f>LoanPool!H20</f>
        <v>78465.205958975421</v>
      </c>
      <c r="E20">
        <f t="shared" si="20"/>
        <v>193071951.86676338</v>
      </c>
      <c r="F20">
        <f t="shared" si="21"/>
        <v>45000000</v>
      </c>
      <c r="G20">
        <f t="shared" si="22"/>
        <v>13447354.324427431</v>
      </c>
      <c r="H20">
        <f t="shared" si="0"/>
        <v>78465.205958975421</v>
      </c>
      <c r="I20">
        <f t="shared" si="1"/>
        <v>0</v>
      </c>
      <c r="J20">
        <f t="shared" si="2"/>
        <v>0</v>
      </c>
      <c r="K20">
        <f t="shared" si="3"/>
        <v>193071951.86676338</v>
      </c>
      <c r="L20">
        <f t="shared" si="4"/>
        <v>45000000</v>
      </c>
      <c r="M20">
        <f t="shared" si="5"/>
        <v>13368889.118468456</v>
      </c>
      <c r="N20">
        <f>K20*Inputs!B6/12</f>
        <v>925136.43602824118</v>
      </c>
      <c r="O20">
        <f t="shared" si="6"/>
        <v>925136.43602824118</v>
      </c>
      <c r="P20">
        <f t="shared" si="7"/>
        <v>0</v>
      </c>
      <c r="Q20">
        <f>L20*Inputs!B6/12</f>
        <v>215625</v>
      </c>
      <c r="R20">
        <f t="shared" si="8"/>
        <v>175260.52855821908</v>
      </c>
      <c r="S20">
        <f t="shared" si="9"/>
        <v>40364.471441780915</v>
      </c>
      <c r="T20">
        <f t="shared" si="10"/>
        <v>0</v>
      </c>
      <c r="U20">
        <f t="shared" si="11"/>
        <v>2396987.8906731587</v>
      </c>
      <c r="V20">
        <f t="shared" si="12"/>
        <v>0</v>
      </c>
      <c r="W20">
        <f t="shared" si="13"/>
        <v>0</v>
      </c>
      <c r="X20">
        <f t="shared" si="14"/>
        <v>190674963.97609022</v>
      </c>
      <c r="Y20">
        <f t="shared" si="15"/>
        <v>45000000</v>
      </c>
      <c r="Z20">
        <f t="shared" si="16"/>
        <v>13368889.118468456</v>
      </c>
      <c r="AA20">
        <f t="shared" si="17"/>
        <v>0</v>
      </c>
      <c r="AB20">
        <f t="shared" si="18"/>
        <v>0</v>
      </c>
      <c r="AC20">
        <f t="shared" si="19"/>
        <v>0</v>
      </c>
    </row>
    <row r="21" spans="1:29" x14ac:dyDescent="0.2">
      <c r="A21">
        <v>20</v>
      </c>
      <c r="B21">
        <f>LoanPool!L21</f>
        <v>1089566.8572886947</v>
      </c>
      <c r="C21">
        <f>LoanPool!M21</f>
        <v>2376090.5026773866</v>
      </c>
      <c r="D21">
        <f>LoanPool!H21</f>
        <v>77692.102928585344</v>
      </c>
      <c r="E21">
        <f t="shared" si="20"/>
        <v>190674963.97609022</v>
      </c>
      <c r="F21">
        <f t="shared" si="21"/>
        <v>45000000</v>
      </c>
      <c r="G21">
        <f t="shared" si="22"/>
        <v>13368889.118468456</v>
      </c>
      <c r="H21">
        <f t="shared" si="0"/>
        <v>77692.102928585344</v>
      </c>
      <c r="I21">
        <f t="shared" si="1"/>
        <v>0</v>
      </c>
      <c r="J21">
        <f t="shared" si="2"/>
        <v>0</v>
      </c>
      <c r="K21">
        <f t="shared" si="3"/>
        <v>190674963.97609022</v>
      </c>
      <c r="L21">
        <f t="shared" si="4"/>
        <v>45000000</v>
      </c>
      <c r="M21">
        <f t="shared" si="5"/>
        <v>13291197.015539872</v>
      </c>
      <c r="N21">
        <f>K21*Inputs!B6/12</f>
        <v>913650.86905209906</v>
      </c>
      <c r="O21">
        <f t="shared" si="6"/>
        <v>913650.86905209906</v>
      </c>
      <c r="P21">
        <f t="shared" si="7"/>
        <v>0</v>
      </c>
      <c r="Q21">
        <f>L21*Inputs!B6/12</f>
        <v>215625</v>
      </c>
      <c r="R21">
        <f t="shared" si="8"/>
        <v>175915.98823659564</v>
      </c>
      <c r="S21">
        <f t="shared" si="9"/>
        <v>39709.011763404356</v>
      </c>
      <c r="T21">
        <f t="shared" si="10"/>
        <v>0</v>
      </c>
      <c r="U21">
        <f t="shared" si="11"/>
        <v>2376090.5026773866</v>
      </c>
      <c r="V21">
        <f t="shared" si="12"/>
        <v>0</v>
      </c>
      <c r="W21">
        <f t="shared" si="13"/>
        <v>0</v>
      </c>
      <c r="X21">
        <f t="shared" si="14"/>
        <v>188298873.47341284</v>
      </c>
      <c r="Y21">
        <f t="shared" si="15"/>
        <v>45000000</v>
      </c>
      <c r="Z21">
        <f t="shared" si="16"/>
        <v>13291197.015539872</v>
      </c>
      <c r="AA21">
        <f t="shared" si="17"/>
        <v>0</v>
      </c>
      <c r="AB21">
        <f t="shared" si="18"/>
        <v>0</v>
      </c>
      <c r="AC21">
        <f t="shared" si="19"/>
        <v>0</v>
      </c>
    </row>
    <row r="22" spans="1:29" x14ac:dyDescent="0.2">
      <c r="A22">
        <v>21</v>
      </c>
      <c r="B22">
        <f>LoanPool!L22</f>
        <v>1078831.5583891685</v>
      </c>
      <c r="C22">
        <f>LoanPool!M22</f>
        <v>2355368.3977861837</v>
      </c>
      <c r="D22">
        <f>LoanPool!H22</f>
        <v>76925.770170438263</v>
      </c>
      <c r="E22">
        <f t="shared" si="20"/>
        <v>188298873.47341284</v>
      </c>
      <c r="F22">
        <f t="shared" si="21"/>
        <v>45000000</v>
      </c>
      <c r="G22">
        <f t="shared" si="22"/>
        <v>13291197.015539872</v>
      </c>
      <c r="H22">
        <f t="shared" si="0"/>
        <v>76925.770170438263</v>
      </c>
      <c r="I22">
        <f t="shared" si="1"/>
        <v>0</v>
      </c>
      <c r="J22">
        <f t="shared" si="2"/>
        <v>0</v>
      </c>
      <c r="K22">
        <f t="shared" si="3"/>
        <v>188298873.47341284</v>
      </c>
      <c r="L22">
        <f t="shared" si="4"/>
        <v>45000000</v>
      </c>
      <c r="M22">
        <f t="shared" si="5"/>
        <v>13214271.245369432</v>
      </c>
      <c r="N22">
        <f>K22*Inputs!B6/12</f>
        <v>902265.43539343646</v>
      </c>
      <c r="O22">
        <f t="shared" si="6"/>
        <v>902265.43539343646</v>
      </c>
      <c r="P22">
        <f t="shared" si="7"/>
        <v>0</v>
      </c>
      <c r="Q22">
        <f>L22*Inputs!B6/12</f>
        <v>215625</v>
      </c>
      <c r="R22">
        <f t="shared" si="8"/>
        <v>176566.122995732</v>
      </c>
      <c r="S22">
        <f t="shared" si="9"/>
        <v>39058.877004267997</v>
      </c>
      <c r="T22">
        <f t="shared" si="10"/>
        <v>0</v>
      </c>
      <c r="U22">
        <f t="shared" si="11"/>
        <v>2355368.3977861837</v>
      </c>
      <c r="V22">
        <f t="shared" si="12"/>
        <v>0</v>
      </c>
      <c r="W22">
        <f t="shared" si="13"/>
        <v>0</v>
      </c>
      <c r="X22">
        <f t="shared" si="14"/>
        <v>185943505.07562667</v>
      </c>
      <c r="Y22">
        <f t="shared" si="15"/>
        <v>45000000</v>
      </c>
      <c r="Z22">
        <f t="shared" si="16"/>
        <v>13214271.245369432</v>
      </c>
      <c r="AA22">
        <f t="shared" si="17"/>
        <v>0</v>
      </c>
      <c r="AB22">
        <f t="shared" si="18"/>
        <v>0</v>
      </c>
      <c r="AC22">
        <f t="shared" si="19"/>
        <v>0</v>
      </c>
    </row>
    <row r="23" spans="1:29" x14ac:dyDescent="0.2">
      <c r="A23">
        <v>22</v>
      </c>
      <c r="B23">
        <f>LoanPool!L23</f>
        <v>1068190.2714043583</v>
      </c>
      <c r="C23">
        <f>LoanPool!M23</f>
        <v>2334820.1279114326</v>
      </c>
      <c r="D23">
        <f>LoanPool!H23</f>
        <v>76166.150799903073</v>
      </c>
      <c r="E23">
        <f t="shared" si="20"/>
        <v>185943505.07562667</v>
      </c>
      <c r="F23">
        <f t="shared" si="21"/>
        <v>45000000</v>
      </c>
      <c r="G23">
        <f t="shared" si="22"/>
        <v>13214271.245369432</v>
      </c>
      <c r="H23">
        <f t="shared" si="0"/>
        <v>76166.150799903073</v>
      </c>
      <c r="I23">
        <f t="shared" si="1"/>
        <v>0</v>
      </c>
      <c r="J23">
        <f t="shared" si="2"/>
        <v>0</v>
      </c>
      <c r="K23">
        <f t="shared" si="3"/>
        <v>185943505.07562667</v>
      </c>
      <c r="L23">
        <f t="shared" si="4"/>
        <v>45000000</v>
      </c>
      <c r="M23">
        <f t="shared" si="5"/>
        <v>13138105.09456953</v>
      </c>
      <c r="N23">
        <f>K23*Inputs!B6/12</f>
        <v>890979.29515404452</v>
      </c>
      <c r="O23">
        <f t="shared" si="6"/>
        <v>890979.29515404452</v>
      </c>
      <c r="P23">
        <f t="shared" si="7"/>
        <v>0</v>
      </c>
      <c r="Q23">
        <f>L23*Inputs!B6/12</f>
        <v>215625</v>
      </c>
      <c r="R23">
        <f t="shared" si="8"/>
        <v>177210.9762503138</v>
      </c>
      <c r="S23">
        <f t="shared" si="9"/>
        <v>38414.023749686196</v>
      </c>
      <c r="T23">
        <f t="shared" si="10"/>
        <v>0</v>
      </c>
      <c r="U23">
        <f t="shared" si="11"/>
        <v>2334820.1279114326</v>
      </c>
      <c r="V23">
        <f t="shared" si="12"/>
        <v>0</v>
      </c>
      <c r="W23">
        <f t="shared" si="13"/>
        <v>0</v>
      </c>
      <c r="X23">
        <f t="shared" si="14"/>
        <v>183608684.94771525</v>
      </c>
      <c r="Y23">
        <f t="shared" si="15"/>
        <v>45000000</v>
      </c>
      <c r="Z23">
        <f t="shared" si="16"/>
        <v>13138105.09456953</v>
      </c>
      <c r="AA23">
        <f t="shared" si="17"/>
        <v>0</v>
      </c>
      <c r="AB23">
        <f t="shared" si="18"/>
        <v>0</v>
      </c>
      <c r="AC23">
        <f t="shared" si="19"/>
        <v>0</v>
      </c>
    </row>
    <row r="24" spans="1:29" x14ac:dyDescent="0.2">
      <c r="A24">
        <v>23</v>
      </c>
      <c r="B24">
        <f>LoanPool!L24</f>
        <v>1057642.2064349961</v>
      </c>
      <c r="C24">
        <f>LoanPool!M24</f>
        <v>2314444.2568544168</v>
      </c>
      <c r="D24">
        <f>LoanPool!H24</f>
        <v>75413.188402620028</v>
      </c>
      <c r="E24">
        <f t="shared" si="20"/>
        <v>183608684.94771525</v>
      </c>
      <c r="F24">
        <f t="shared" si="21"/>
        <v>45000000</v>
      </c>
      <c r="G24">
        <f t="shared" si="22"/>
        <v>13138105.09456953</v>
      </c>
      <c r="H24">
        <f t="shared" si="0"/>
        <v>75413.188402620028</v>
      </c>
      <c r="I24">
        <f t="shared" si="1"/>
        <v>0</v>
      </c>
      <c r="J24">
        <f t="shared" si="2"/>
        <v>0</v>
      </c>
      <c r="K24">
        <f t="shared" si="3"/>
        <v>183608684.94771525</v>
      </c>
      <c r="L24">
        <f t="shared" si="4"/>
        <v>45000000</v>
      </c>
      <c r="M24">
        <f t="shared" si="5"/>
        <v>13062691.906166911</v>
      </c>
      <c r="N24">
        <f>K24*Inputs!B6/12</f>
        <v>879791.61537446885</v>
      </c>
      <c r="O24">
        <f t="shared" si="6"/>
        <v>879791.61537446885</v>
      </c>
      <c r="P24">
        <f t="shared" si="7"/>
        <v>0</v>
      </c>
      <c r="Q24">
        <f>L24*Inputs!B6/12</f>
        <v>215625</v>
      </c>
      <c r="R24">
        <f t="shared" si="8"/>
        <v>177850.59106052725</v>
      </c>
      <c r="S24">
        <f t="shared" si="9"/>
        <v>37774.408939472749</v>
      </c>
      <c r="T24">
        <f t="shared" si="10"/>
        <v>0</v>
      </c>
      <c r="U24">
        <f t="shared" si="11"/>
        <v>2314444.2568544168</v>
      </c>
      <c r="V24">
        <f t="shared" si="12"/>
        <v>0</v>
      </c>
      <c r="W24">
        <f t="shared" si="13"/>
        <v>0</v>
      </c>
      <c r="X24">
        <f t="shared" si="14"/>
        <v>181294240.69086084</v>
      </c>
      <c r="Y24">
        <f t="shared" si="15"/>
        <v>45000000</v>
      </c>
      <c r="Z24">
        <f t="shared" si="16"/>
        <v>13062691.906166911</v>
      </c>
      <c r="AA24">
        <f t="shared" si="17"/>
        <v>0</v>
      </c>
      <c r="AB24">
        <f t="shared" si="18"/>
        <v>0</v>
      </c>
      <c r="AC24">
        <f t="shared" si="19"/>
        <v>0</v>
      </c>
    </row>
    <row r="25" spans="1:29" x14ac:dyDescent="0.2">
      <c r="A25">
        <v>24</v>
      </c>
      <c r="B25">
        <f>LoanPool!L25</f>
        <v>1047186.5801119967</v>
      </c>
      <c r="C25">
        <f>LoanPool!M25</f>
        <v>2294239.360208455</v>
      </c>
      <c r="D25">
        <f>LoanPool!H25</f>
        <v>74666.827030638553</v>
      </c>
      <c r="E25">
        <f t="shared" si="20"/>
        <v>181294240.69086084</v>
      </c>
      <c r="F25">
        <f t="shared" si="21"/>
        <v>45000000</v>
      </c>
      <c r="G25">
        <f t="shared" si="22"/>
        <v>13062691.906166911</v>
      </c>
      <c r="H25">
        <f t="shared" si="0"/>
        <v>74666.827030638553</v>
      </c>
      <c r="I25">
        <f t="shared" si="1"/>
        <v>0</v>
      </c>
      <c r="J25">
        <f t="shared" si="2"/>
        <v>0</v>
      </c>
      <c r="K25">
        <f t="shared" si="3"/>
        <v>181294240.69086084</v>
      </c>
      <c r="L25">
        <f t="shared" si="4"/>
        <v>45000000</v>
      </c>
      <c r="M25">
        <f t="shared" si="5"/>
        <v>12988025.079136273</v>
      </c>
      <c r="N25">
        <f>K25*Inputs!B6/12</f>
        <v>868701.56997704145</v>
      </c>
      <c r="O25">
        <f t="shared" si="6"/>
        <v>868701.56997704145</v>
      </c>
      <c r="P25">
        <f t="shared" si="7"/>
        <v>0</v>
      </c>
      <c r="Q25">
        <f>L25*Inputs!B6/12</f>
        <v>215625</v>
      </c>
      <c r="R25">
        <f t="shared" si="8"/>
        <v>178485.01013495529</v>
      </c>
      <c r="S25">
        <f t="shared" si="9"/>
        <v>37139.989865044714</v>
      </c>
      <c r="T25">
        <f t="shared" si="10"/>
        <v>0</v>
      </c>
      <c r="U25">
        <f t="shared" si="11"/>
        <v>2294239.360208455</v>
      </c>
      <c r="V25">
        <f t="shared" si="12"/>
        <v>0</v>
      </c>
      <c r="W25">
        <f t="shared" si="13"/>
        <v>0</v>
      </c>
      <c r="X25">
        <f t="shared" si="14"/>
        <v>179000001.33065239</v>
      </c>
      <c r="Y25">
        <f t="shared" si="15"/>
        <v>45000000</v>
      </c>
      <c r="Z25">
        <f t="shared" si="16"/>
        <v>12988025.079136273</v>
      </c>
      <c r="AA25">
        <f t="shared" si="17"/>
        <v>0</v>
      </c>
      <c r="AB25">
        <f t="shared" si="18"/>
        <v>0</v>
      </c>
      <c r="AC25">
        <f t="shared" si="19"/>
        <v>0</v>
      </c>
    </row>
    <row r="26" spans="1:29" x14ac:dyDescent="0.2">
      <c r="A26">
        <v>25</v>
      </c>
      <c r="B26">
        <f>LoanPool!L26</f>
        <v>1036822.6155428258</v>
      </c>
      <c r="C26">
        <f>LoanPool!M26</f>
        <v>2274204.0252623265</v>
      </c>
      <c r="D26">
        <f>LoanPool!H26</f>
        <v>73927.011198586639</v>
      </c>
      <c r="E26">
        <f t="shared" si="20"/>
        <v>179000001.33065239</v>
      </c>
      <c r="F26">
        <f t="shared" si="21"/>
        <v>45000000</v>
      </c>
      <c r="G26">
        <f t="shared" si="22"/>
        <v>12988025.079136273</v>
      </c>
      <c r="H26">
        <f t="shared" si="0"/>
        <v>73927.011198586639</v>
      </c>
      <c r="I26">
        <f t="shared" si="1"/>
        <v>0</v>
      </c>
      <c r="J26">
        <f t="shared" si="2"/>
        <v>0</v>
      </c>
      <c r="K26">
        <f t="shared" si="3"/>
        <v>179000001.33065239</v>
      </c>
      <c r="L26">
        <f t="shared" si="4"/>
        <v>45000000</v>
      </c>
      <c r="M26">
        <f t="shared" si="5"/>
        <v>12914098.067937687</v>
      </c>
      <c r="N26">
        <f>K26*Inputs!B6/12</f>
        <v>857708.33970937598</v>
      </c>
      <c r="O26">
        <f t="shared" si="6"/>
        <v>857708.33970937598</v>
      </c>
      <c r="P26">
        <f t="shared" si="7"/>
        <v>0</v>
      </c>
      <c r="Q26">
        <f>L26*Inputs!B6/12</f>
        <v>215625</v>
      </c>
      <c r="R26">
        <f t="shared" si="8"/>
        <v>179114.27583344979</v>
      </c>
      <c r="S26">
        <f t="shared" si="9"/>
        <v>36510.724166550208</v>
      </c>
      <c r="T26">
        <f t="shared" si="10"/>
        <v>0</v>
      </c>
      <c r="U26">
        <f t="shared" si="11"/>
        <v>2274204.0252623265</v>
      </c>
      <c r="V26">
        <f t="shared" si="12"/>
        <v>0</v>
      </c>
      <c r="W26">
        <f t="shared" si="13"/>
        <v>0</v>
      </c>
      <c r="X26">
        <f t="shared" si="14"/>
        <v>176725797.30539006</v>
      </c>
      <c r="Y26">
        <f t="shared" si="15"/>
        <v>45000000</v>
      </c>
      <c r="Z26">
        <f t="shared" si="16"/>
        <v>12914098.067937687</v>
      </c>
      <c r="AA26">
        <f t="shared" si="17"/>
        <v>0</v>
      </c>
      <c r="AB26">
        <f t="shared" si="18"/>
        <v>0</v>
      </c>
      <c r="AC26">
        <f t="shared" si="19"/>
        <v>0</v>
      </c>
    </row>
    <row r="27" spans="1:29" x14ac:dyDescent="0.2">
      <c r="A27">
        <v>26</v>
      </c>
      <c r="B27">
        <f>LoanPool!L27</f>
        <v>1026549.5422583093</v>
      </c>
      <c r="C27">
        <f>LoanPool!M27</f>
        <v>2254336.8509044959</v>
      </c>
      <c r="D27">
        <f>LoanPool!H27</f>
        <v>73193.685879871584</v>
      </c>
      <c r="E27">
        <f t="shared" si="20"/>
        <v>176725797.30539006</v>
      </c>
      <c r="F27">
        <f t="shared" si="21"/>
        <v>45000000</v>
      </c>
      <c r="G27">
        <f t="shared" si="22"/>
        <v>12914098.067937687</v>
      </c>
      <c r="H27">
        <f t="shared" si="0"/>
        <v>73193.685879871584</v>
      </c>
      <c r="I27">
        <f t="shared" si="1"/>
        <v>0</v>
      </c>
      <c r="J27">
        <f t="shared" si="2"/>
        <v>0</v>
      </c>
      <c r="K27">
        <f t="shared" si="3"/>
        <v>176725797.30539006</v>
      </c>
      <c r="L27">
        <f t="shared" si="4"/>
        <v>45000000</v>
      </c>
      <c r="M27">
        <f t="shared" si="5"/>
        <v>12840904.382057816</v>
      </c>
      <c r="N27">
        <f>K27*Inputs!B6/12</f>
        <v>846811.11208832741</v>
      </c>
      <c r="O27">
        <f t="shared" si="6"/>
        <v>846811.11208832741</v>
      </c>
      <c r="P27">
        <f t="shared" si="7"/>
        <v>0</v>
      </c>
      <c r="Q27">
        <f>L27*Inputs!B6/12</f>
        <v>215625</v>
      </c>
      <c r="R27">
        <f t="shared" si="8"/>
        <v>179738.4301699819</v>
      </c>
      <c r="S27">
        <f t="shared" si="9"/>
        <v>35886.569830018096</v>
      </c>
      <c r="T27">
        <f t="shared" si="10"/>
        <v>0</v>
      </c>
      <c r="U27">
        <f t="shared" si="11"/>
        <v>2254336.8509044959</v>
      </c>
      <c r="V27">
        <f t="shared" si="12"/>
        <v>0</v>
      </c>
      <c r="W27">
        <f t="shared" si="13"/>
        <v>0</v>
      </c>
      <c r="X27">
        <f t="shared" si="14"/>
        <v>174471460.45448557</v>
      </c>
      <c r="Y27">
        <f t="shared" si="15"/>
        <v>45000000</v>
      </c>
      <c r="Z27">
        <f t="shared" si="16"/>
        <v>12840904.382057816</v>
      </c>
      <c r="AA27">
        <f t="shared" si="17"/>
        <v>0</v>
      </c>
      <c r="AB27">
        <f t="shared" si="18"/>
        <v>0</v>
      </c>
      <c r="AC27">
        <f t="shared" si="19"/>
        <v>0</v>
      </c>
    </row>
    <row r="28" spans="1:29" x14ac:dyDescent="0.2">
      <c r="A28">
        <v>27</v>
      </c>
      <c r="B28">
        <f>LoanPool!L28</f>
        <v>1016366.5961598776</v>
      </c>
      <c r="C28">
        <f>LoanPool!M28</f>
        <v>2234636.4475281145</v>
      </c>
      <c r="D28">
        <f>LoanPool!H28</f>
        <v>72466.796502912024</v>
      </c>
      <c r="E28">
        <f t="shared" si="20"/>
        <v>174471460.45448557</v>
      </c>
      <c r="F28">
        <f t="shared" si="21"/>
        <v>45000000</v>
      </c>
      <c r="G28">
        <f t="shared" si="22"/>
        <v>12840904.382057816</v>
      </c>
      <c r="H28">
        <f t="shared" si="0"/>
        <v>72466.796502912024</v>
      </c>
      <c r="I28">
        <f t="shared" si="1"/>
        <v>0</v>
      </c>
      <c r="J28">
        <f t="shared" si="2"/>
        <v>0</v>
      </c>
      <c r="K28">
        <f t="shared" si="3"/>
        <v>174471460.45448557</v>
      </c>
      <c r="L28">
        <f t="shared" si="4"/>
        <v>45000000</v>
      </c>
      <c r="M28">
        <f t="shared" si="5"/>
        <v>12768437.585554903</v>
      </c>
      <c r="N28">
        <f>K28*Inputs!B6/12</f>
        <v>836009.08134440996</v>
      </c>
      <c r="O28">
        <f t="shared" si="6"/>
        <v>836009.08134440996</v>
      </c>
      <c r="P28">
        <f t="shared" si="7"/>
        <v>0</v>
      </c>
      <c r="Q28">
        <f>L28*Inputs!B6/12</f>
        <v>215625</v>
      </c>
      <c r="R28">
        <f t="shared" si="8"/>
        <v>180357.51481546764</v>
      </c>
      <c r="S28">
        <f t="shared" si="9"/>
        <v>35267.485184532357</v>
      </c>
      <c r="T28">
        <f t="shared" si="10"/>
        <v>0</v>
      </c>
      <c r="U28">
        <f t="shared" si="11"/>
        <v>2234636.4475281145</v>
      </c>
      <c r="V28">
        <f t="shared" si="12"/>
        <v>0</v>
      </c>
      <c r="W28">
        <f t="shared" si="13"/>
        <v>0</v>
      </c>
      <c r="X28">
        <f t="shared" si="14"/>
        <v>172236824.00695744</v>
      </c>
      <c r="Y28">
        <f t="shared" si="15"/>
        <v>45000000</v>
      </c>
      <c r="Z28">
        <f t="shared" si="16"/>
        <v>12768437.585554903</v>
      </c>
      <c r="AA28">
        <f t="shared" si="17"/>
        <v>0</v>
      </c>
      <c r="AB28">
        <f t="shared" si="18"/>
        <v>0</v>
      </c>
      <c r="AC28">
        <f t="shared" si="19"/>
        <v>0</v>
      </c>
    </row>
    <row r="29" spans="1:29" x14ac:dyDescent="0.2">
      <c r="A29">
        <v>28</v>
      </c>
      <c r="B29">
        <f>LoanPool!L29</f>
        <v>1006273.0194672419</v>
      </c>
      <c r="C29">
        <f>LoanPool!M29</f>
        <v>2215101.4369367999</v>
      </c>
      <c r="D29">
        <f>LoanPool!H29</f>
        <v>71746.28894740055</v>
      </c>
      <c r="E29">
        <f t="shared" si="20"/>
        <v>172236824.00695744</v>
      </c>
      <c r="F29">
        <f t="shared" si="21"/>
        <v>45000000</v>
      </c>
      <c r="G29">
        <f t="shared" si="22"/>
        <v>12768437.585554903</v>
      </c>
      <c r="H29">
        <f t="shared" si="0"/>
        <v>71746.28894740055</v>
      </c>
      <c r="I29">
        <f t="shared" si="1"/>
        <v>0</v>
      </c>
      <c r="J29">
        <f t="shared" si="2"/>
        <v>0</v>
      </c>
      <c r="K29">
        <f t="shared" si="3"/>
        <v>172236824.00695744</v>
      </c>
      <c r="L29">
        <f t="shared" si="4"/>
        <v>45000000</v>
      </c>
      <c r="M29">
        <f t="shared" si="5"/>
        <v>12696691.296607504</v>
      </c>
      <c r="N29">
        <f>K29*Inputs!B6/12</f>
        <v>825301.44836667122</v>
      </c>
      <c r="O29">
        <f t="shared" si="6"/>
        <v>825301.44836667122</v>
      </c>
      <c r="P29">
        <f t="shared" si="7"/>
        <v>0</v>
      </c>
      <c r="Q29">
        <f>L29*Inputs!B6/12</f>
        <v>215625</v>
      </c>
      <c r="R29">
        <f t="shared" si="8"/>
        <v>180971.57110057073</v>
      </c>
      <c r="S29">
        <f t="shared" si="9"/>
        <v>34653.428899429273</v>
      </c>
      <c r="T29">
        <f t="shared" si="10"/>
        <v>0</v>
      </c>
      <c r="U29">
        <f t="shared" si="11"/>
        <v>2215101.4369367999</v>
      </c>
      <c r="V29">
        <f t="shared" si="12"/>
        <v>0</v>
      </c>
      <c r="W29">
        <f t="shared" si="13"/>
        <v>0</v>
      </c>
      <c r="X29">
        <f t="shared" si="14"/>
        <v>170021722.57002065</v>
      </c>
      <c r="Y29">
        <f t="shared" si="15"/>
        <v>45000000</v>
      </c>
      <c r="Z29">
        <f t="shared" si="16"/>
        <v>12696691.296607504</v>
      </c>
      <c r="AA29">
        <f t="shared" si="17"/>
        <v>0</v>
      </c>
      <c r="AB29">
        <f t="shared" si="18"/>
        <v>0</v>
      </c>
      <c r="AC29">
        <f t="shared" si="19"/>
        <v>0</v>
      </c>
    </row>
    <row r="30" spans="1:29" x14ac:dyDescent="0.2">
      <c r="A30">
        <v>29</v>
      </c>
      <c r="B30">
        <f>LoanPool!L30</f>
        <v>996268.06066649861</v>
      </c>
      <c r="C30">
        <f>LoanPool!M30</f>
        <v>2195730.4522511885</v>
      </c>
      <c r="D30">
        <f>LoanPool!H30</f>
        <v>71032.10954059723</v>
      </c>
      <c r="E30">
        <f t="shared" si="20"/>
        <v>170021722.57002065</v>
      </c>
      <c r="F30">
        <f t="shared" si="21"/>
        <v>45000000</v>
      </c>
      <c r="G30">
        <f t="shared" si="22"/>
        <v>12696691.296607504</v>
      </c>
      <c r="H30">
        <f t="shared" si="0"/>
        <v>71032.10954059723</v>
      </c>
      <c r="I30">
        <f t="shared" si="1"/>
        <v>0</v>
      </c>
      <c r="J30">
        <f t="shared" si="2"/>
        <v>0</v>
      </c>
      <c r="K30">
        <f t="shared" si="3"/>
        <v>170021722.57002065</v>
      </c>
      <c r="L30">
        <f t="shared" si="4"/>
        <v>45000000</v>
      </c>
      <c r="M30">
        <f t="shared" si="5"/>
        <v>12625659.187066907</v>
      </c>
      <c r="N30">
        <f>K30*Inputs!B6/12</f>
        <v>814687.42064801557</v>
      </c>
      <c r="O30">
        <f t="shared" si="6"/>
        <v>814687.42064801557</v>
      </c>
      <c r="P30">
        <f t="shared" si="7"/>
        <v>0</v>
      </c>
      <c r="Q30">
        <f>L30*Inputs!B6/12</f>
        <v>215625</v>
      </c>
      <c r="R30">
        <f t="shared" si="8"/>
        <v>181580.64001848304</v>
      </c>
      <c r="S30">
        <f t="shared" si="9"/>
        <v>34044.359981516958</v>
      </c>
      <c r="T30">
        <f t="shared" si="10"/>
        <v>0</v>
      </c>
      <c r="U30">
        <f t="shared" si="11"/>
        <v>2195730.4522511885</v>
      </c>
      <c r="V30">
        <f t="shared" si="12"/>
        <v>0</v>
      </c>
      <c r="W30">
        <f t="shared" si="13"/>
        <v>0</v>
      </c>
      <c r="X30">
        <f t="shared" si="14"/>
        <v>167825992.11776945</v>
      </c>
      <c r="Y30">
        <f t="shared" si="15"/>
        <v>45000000</v>
      </c>
      <c r="Z30">
        <f t="shared" si="16"/>
        <v>12625659.187066907</v>
      </c>
      <c r="AA30">
        <f t="shared" si="17"/>
        <v>0</v>
      </c>
      <c r="AB30">
        <f t="shared" si="18"/>
        <v>0</v>
      </c>
      <c r="AC30">
        <f t="shared" si="19"/>
        <v>0</v>
      </c>
    </row>
    <row r="31" spans="1:29" x14ac:dyDescent="0.2">
      <c r="A31">
        <v>30</v>
      </c>
      <c r="B31">
        <f>LoanPool!L31</f>
        <v>986350.97445865953</v>
      </c>
      <c r="C31">
        <f>LoanPool!M31</f>
        <v>2176522.1378162499</v>
      </c>
      <c r="D31">
        <f>LoanPool!H31</f>
        <v>70324.205053653233</v>
      </c>
      <c r="E31">
        <f t="shared" si="20"/>
        <v>167825992.11776945</v>
      </c>
      <c r="F31">
        <f t="shared" si="21"/>
        <v>45000000</v>
      </c>
      <c r="G31">
        <f t="shared" si="22"/>
        <v>12625659.187066907</v>
      </c>
      <c r="H31">
        <f t="shared" si="0"/>
        <v>70324.205053653233</v>
      </c>
      <c r="I31">
        <f t="shared" si="1"/>
        <v>0</v>
      </c>
      <c r="J31">
        <f t="shared" si="2"/>
        <v>0</v>
      </c>
      <c r="K31">
        <f t="shared" si="3"/>
        <v>167825992.11776945</v>
      </c>
      <c r="L31">
        <f t="shared" si="4"/>
        <v>45000000</v>
      </c>
      <c r="M31">
        <f t="shared" si="5"/>
        <v>12555334.982013253</v>
      </c>
      <c r="N31">
        <f>K31*Inputs!B6/12</f>
        <v>804166.21223097865</v>
      </c>
      <c r="O31">
        <f t="shared" si="6"/>
        <v>804166.21223097865</v>
      </c>
      <c r="P31">
        <f t="shared" si="7"/>
        <v>0</v>
      </c>
      <c r="Q31">
        <f>L31*Inputs!B6/12</f>
        <v>215625</v>
      </c>
      <c r="R31">
        <f t="shared" si="8"/>
        <v>182184.76222768088</v>
      </c>
      <c r="S31">
        <f t="shared" si="9"/>
        <v>33440.237772319117</v>
      </c>
      <c r="T31">
        <f t="shared" si="10"/>
        <v>0</v>
      </c>
      <c r="U31">
        <f t="shared" si="11"/>
        <v>2176522.1378162499</v>
      </c>
      <c r="V31">
        <f t="shared" si="12"/>
        <v>0</v>
      </c>
      <c r="W31">
        <f t="shared" si="13"/>
        <v>0</v>
      </c>
      <c r="X31">
        <f t="shared" si="14"/>
        <v>165649469.9799532</v>
      </c>
      <c r="Y31">
        <f t="shared" si="15"/>
        <v>45000000</v>
      </c>
      <c r="Z31">
        <f t="shared" si="16"/>
        <v>12555334.982013253</v>
      </c>
      <c r="AA31">
        <f t="shared" si="17"/>
        <v>0</v>
      </c>
      <c r="AB31">
        <f t="shared" si="18"/>
        <v>0</v>
      </c>
      <c r="AC31">
        <f t="shared" si="19"/>
        <v>0</v>
      </c>
    </row>
    <row r="32" spans="1:29" x14ac:dyDescent="0.2">
      <c r="A32">
        <v>31</v>
      </c>
      <c r="B32">
        <f>LoanPool!L32</f>
        <v>976521.02170860372</v>
      </c>
      <c r="C32">
        <f>LoanPool!M32</f>
        <v>2157475.1491093626</v>
      </c>
      <c r="D32">
        <f>LoanPool!H32</f>
        <v>69622.522697964785</v>
      </c>
      <c r="E32">
        <f t="shared" si="20"/>
        <v>165649469.9799532</v>
      </c>
      <c r="F32">
        <f t="shared" si="21"/>
        <v>45000000</v>
      </c>
      <c r="G32">
        <f t="shared" si="22"/>
        <v>12555334.982013253</v>
      </c>
      <c r="H32">
        <f t="shared" si="0"/>
        <v>69622.522697964785</v>
      </c>
      <c r="I32">
        <f t="shared" si="1"/>
        <v>0</v>
      </c>
      <c r="J32">
        <f t="shared" si="2"/>
        <v>0</v>
      </c>
      <c r="K32">
        <f t="shared" si="3"/>
        <v>165649469.9799532</v>
      </c>
      <c r="L32">
        <f t="shared" si="4"/>
        <v>45000000</v>
      </c>
      <c r="M32">
        <f t="shared" si="5"/>
        <v>12485712.459315289</v>
      </c>
      <c r="N32">
        <f>K32*Inputs!B6/12</f>
        <v>793737.04365394253</v>
      </c>
      <c r="O32">
        <f t="shared" si="6"/>
        <v>793737.04365394253</v>
      </c>
      <c r="P32">
        <f t="shared" si="7"/>
        <v>0</v>
      </c>
      <c r="Q32">
        <f>L32*Inputs!B6/12</f>
        <v>215625</v>
      </c>
      <c r="R32">
        <f t="shared" si="8"/>
        <v>182783.97805466119</v>
      </c>
      <c r="S32">
        <f t="shared" si="9"/>
        <v>32841.021945338813</v>
      </c>
      <c r="T32">
        <f t="shared" si="10"/>
        <v>0</v>
      </c>
      <c r="U32">
        <f t="shared" si="11"/>
        <v>2157475.1491093626</v>
      </c>
      <c r="V32">
        <f t="shared" si="12"/>
        <v>0</v>
      </c>
      <c r="W32">
        <f t="shared" si="13"/>
        <v>0</v>
      </c>
      <c r="X32">
        <f t="shared" si="14"/>
        <v>163491994.83084384</v>
      </c>
      <c r="Y32">
        <f t="shared" si="15"/>
        <v>45000000</v>
      </c>
      <c r="Z32">
        <f t="shared" si="16"/>
        <v>12485712.459315289</v>
      </c>
      <c r="AA32">
        <f t="shared" si="17"/>
        <v>0</v>
      </c>
      <c r="AB32">
        <f t="shared" si="18"/>
        <v>0</v>
      </c>
      <c r="AC32">
        <f t="shared" si="19"/>
        <v>0</v>
      </c>
    </row>
    <row r="33" spans="1:29" x14ac:dyDescent="0.2">
      <c r="A33">
        <v>32</v>
      </c>
      <c r="B33">
        <f>LoanPool!L33</f>
        <v>966777.46939444658</v>
      </c>
      <c r="C33">
        <f>LoanPool!M33</f>
        <v>2138588.1526491391</v>
      </c>
      <c r="D33">
        <f>LoanPool!H33</f>
        <v>68927.010121556828</v>
      </c>
      <c r="E33">
        <f t="shared" si="20"/>
        <v>163491994.83084384</v>
      </c>
      <c r="F33">
        <f t="shared" si="21"/>
        <v>45000000</v>
      </c>
      <c r="G33">
        <f t="shared" si="22"/>
        <v>12485712.459315289</v>
      </c>
      <c r="H33">
        <f t="shared" si="0"/>
        <v>68927.010121556828</v>
      </c>
      <c r="I33">
        <f t="shared" si="1"/>
        <v>0</v>
      </c>
      <c r="J33">
        <f t="shared" si="2"/>
        <v>0</v>
      </c>
      <c r="K33">
        <f t="shared" si="3"/>
        <v>163491994.83084384</v>
      </c>
      <c r="L33">
        <f t="shared" si="4"/>
        <v>45000000</v>
      </c>
      <c r="M33">
        <f t="shared" si="5"/>
        <v>12416785.449193733</v>
      </c>
      <c r="N33">
        <f>K33*Inputs!B6/12</f>
        <v>783399.14189779339</v>
      </c>
      <c r="O33">
        <f t="shared" si="6"/>
        <v>783399.14189779339</v>
      </c>
      <c r="P33">
        <f t="shared" si="7"/>
        <v>0</v>
      </c>
      <c r="Q33">
        <f>L33*Inputs!B6/12</f>
        <v>215625</v>
      </c>
      <c r="R33">
        <f t="shared" si="8"/>
        <v>183378.32749665319</v>
      </c>
      <c r="S33">
        <f t="shared" si="9"/>
        <v>32246.67250334681</v>
      </c>
      <c r="T33">
        <f t="shared" si="10"/>
        <v>0</v>
      </c>
      <c r="U33">
        <f t="shared" si="11"/>
        <v>2138588.1526491391</v>
      </c>
      <c r="V33">
        <f t="shared" si="12"/>
        <v>0</v>
      </c>
      <c r="W33">
        <f t="shared" si="13"/>
        <v>0</v>
      </c>
      <c r="X33">
        <f t="shared" si="14"/>
        <v>161353406.6781947</v>
      </c>
      <c r="Y33">
        <f t="shared" si="15"/>
        <v>45000000</v>
      </c>
      <c r="Z33">
        <f t="shared" si="16"/>
        <v>12416785.449193733</v>
      </c>
      <c r="AA33">
        <f t="shared" si="17"/>
        <v>0</v>
      </c>
      <c r="AB33">
        <f t="shared" si="18"/>
        <v>0</v>
      </c>
      <c r="AC33">
        <f t="shared" si="19"/>
        <v>0</v>
      </c>
    </row>
    <row r="34" spans="1:29" x14ac:dyDescent="0.2">
      <c r="A34">
        <v>33</v>
      </c>
      <c r="B34">
        <f>LoanPool!L34</f>
        <v>957119.59055732493</v>
      </c>
      <c r="C34">
        <f>LoanPool!M34</f>
        <v>2119859.8259049971</v>
      </c>
      <c r="D34">
        <f>LoanPool!H34</f>
        <v>68237.615405496326</v>
      </c>
      <c r="E34">
        <f t="shared" si="20"/>
        <v>161353406.6781947</v>
      </c>
      <c r="F34">
        <f t="shared" si="21"/>
        <v>45000000</v>
      </c>
      <c r="G34">
        <f t="shared" si="22"/>
        <v>12416785.449193733</v>
      </c>
      <c r="H34">
        <f t="shared" si="0"/>
        <v>68237.615405496326</v>
      </c>
      <c r="I34">
        <f t="shared" si="1"/>
        <v>0</v>
      </c>
      <c r="J34">
        <f t="shared" si="2"/>
        <v>0</v>
      </c>
      <c r="K34">
        <f t="shared" si="3"/>
        <v>161353406.6781947</v>
      </c>
      <c r="L34">
        <f t="shared" si="4"/>
        <v>45000000</v>
      </c>
      <c r="M34">
        <f t="shared" si="5"/>
        <v>12348547.833788237</v>
      </c>
      <c r="N34">
        <f>K34*Inputs!B6/12</f>
        <v>773151.74033301638</v>
      </c>
      <c r="O34">
        <f t="shared" si="6"/>
        <v>773151.74033301638</v>
      </c>
      <c r="P34">
        <f t="shared" si="7"/>
        <v>0</v>
      </c>
      <c r="Q34">
        <f>L34*Inputs!B6/12</f>
        <v>215625</v>
      </c>
      <c r="R34">
        <f t="shared" si="8"/>
        <v>183967.85022430855</v>
      </c>
      <c r="S34">
        <f t="shared" si="9"/>
        <v>31657.149775691447</v>
      </c>
      <c r="T34">
        <f t="shared" si="10"/>
        <v>0</v>
      </c>
      <c r="U34">
        <f t="shared" si="11"/>
        <v>2119859.8259049971</v>
      </c>
      <c r="V34">
        <f t="shared" si="12"/>
        <v>0</v>
      </c>
      <c r="W34">
        <f t="shared" si="13"/>
        <v>0</v>
      </c>
      <c r="X34">
        <f t="shared" si="14"/>
        <v>159233546.85228971</v>
      </c>
      <c r="Y34">
        <f t="shared" si="15"/>
        <v>45000000</v>
      </c>
      <c r="Z34">
        <f t="shared" si="16"/>
        <v>12348547.833788237</v>
      </c>
      <c r="AA34">
        <f t="shared" si="17"/>
        <v>0</v>
      </c>
      <c r="AB34">
        <f t="shared" si="18"/>
        <v>0</v>
      </c>
      <c r="AC34">
        <f t="shared" si="19"/>
        <v>0</v>
      </c>
    </row>
    <row r="35" spans="1:29" x14ac:dyDescent="0.2">
      <c r="A35">
        <v>34</v>
      </c>
      <c r="B35">
        <f>LoanPool!L35</f>
        <v>947546.66425159143</v>
      </c>
      <c r="C35">
        <f>LoanPool!M35</f>
        <v>2101288.857207471</v>
      </c>
      <c r="D35">
        <f>LoanPool!H35</f>
        <v>67554.287060335089</v>
      </c>
      <c r="E35">
        <f t="shared" si="20"/>
        <v>159233546.85228971</v>
      </c>
      <c r="F35">
        <f t="shared" si="21"/>
        <v>45000000</v>
      </c>
      <c r="G35">
        <f t="shared" si="22"/>
        <v>12348547.833788237</v>
      </c>
      <c r="H35">
        <f t="shared" si="0"/>
        <v>67554.287060335089</v>
      </c>
      <c r="I35">
        <f t="shared" si="1"/>
        <v>0</v>
      </c>
      <c r="J35">
        <f t="shared" si="2"/>
        <v>0</v>
      </c>
      <c r="K35">
        <f t="shared" si="3"/>
        <v>159233546.85228971</v>
      </c>
      <c r="L35">
        <f t="shared" si="4"/>
        <v>45000000</v>
      </c>
      <c r="M35">
        <f t="shared" si="5"/>
        <v>12280993.546727901</v>
      </c>
      <c r="N35">
        <f>K35*Inputs!B6/12</f>
        <v>762994.07866722159</v>
      </c>
      <c r="O35">
        <f t="shared" si="6"/>
        <v>762994.07866722159</v>
      </c>
      <c r="P35">
        <f t="shared" si="7"/>
        <v>0</v>
      </c>
      <c r="Q35">
        <f>L35*Inputs!B6/12</f>
        <v>215625</v>
      </c>
      <c r="R35">
        <f t="shared" si="8"/>
        <v>184552.58558436984</v>
      </c>
      <c r="S35">
        <f t="shared" si="9"/>
        <v>31072.414415630163</v>
      </c>
      <c r="T35">
        <f t="shared" si="10"/>
        <v>0</v>
      </c>
      <c r="U35">
        <f t="shared" si="11"/>
        <v>2101288.857207471</v>
      </c>
      <c r="V35">
        <f t="shared" si="12"/>
        <v>0</v>
      </c>
      <c r="W35">
        <f t="shared" si="13"/>
        <v>0</v>
      </c>
      <c r="X35">
        <f t="shared" si="14"/>
        <v>157132257.99508223</v>
      </c>
      <c r="Y35">
        <f t="shared" si="15"/>
        <v>45000000</v>
      </c>
      <c r="Z35">
        <f t="shared" si="16"/>
        <v>12280993.546727901</v>
      </c>
      <c r="AA35">
        <f t="shared" si="17"/>
        <v>0</v>
      </c>
      <c r="AB35">
        <f t="shared" si="18"/>
        <v>0</v>
      </c>
      <c r="AC35">
        <f t="shared" si="19"/>
        <v>0</v>
      </c>
    </row>
    <row r="36" spans="1:29" x14ac:dyDescent="0.2">
      <c r="A36">
        <v>35</v>
      </c>
      <c r="B36">
        <f>LoanPool!L36</f>
        <v>938057.97549541993</v>
      </c>
      <c r="C36">
        <f>LoanPool!M36</f>
        <v>2082873.94565926</v>
      </c>
      <c r="D36">
        <f>LoanPool!H36</f>
        <v>66876.974022581504</v>
      </c>
      <c r="E36">
        <f t="shared" si="20"/>
        <v>157132257.99508223</v>
      </c>
      <c r="F36">
        <f t="shared" si="21"/>
        <v>45000000</v>
      </c>
      <c r="G36">
        <f t="shared" si="22"/>
        <v>12280993.546727901</v>
      </c>
      <c r="H36">
        <f t="shared" si="0"/>
        <v>66876.974022581504</v>
      </c>
      <c r="I36">
        <f t="shared" si="1"/>
        <v>0</v>
      </c>
      <c r="J36">
        <f t="shared" si="2"/>
        <v>0</v>
      </c>
      <c r="K36">
        <f t="shared" si="3"/>
        <v>157132257.99508223</v>
      </c>
      <c r="L36">
        <f t="shared" si="4"/>
        <v>45000000</v>
      </c>
      <c r="M36">
        <f t="shared" si="5"/>
        <v>12214116.572705319</v>
      </c>
      <c r="N36">
        <f>K36*Inputs!B6/12</f>
        <v>752925.40289310238</v>
      </c>
      <c r="O36">
        <f t="shared" si="6"/>
        <v>752925.40289310238</v>
      </c>
      <c r="P36">
        <f t="shared" si="7"/>
        <v>0</v>
      </c>
      <c r="Q36">
        <f>L36*Inputs!B6/12</f>
        <v>215625</v>
      </c>
      <c r="R36">
        <f t="shared" si="8"/>
        <v>185132.57260231755</v>
      </c>
      <c r="S36">
        <f t="shared" si="9"/>
        <v>30492.427397682448</v>
      </c>
      <c r="T36">
        <f t="shared" si="10"/>
        <v>0</v>
      </c>
      <c r="U36">
        <f t="shared" si="11"/>
        <v>2082873.94565926</v>
      </c>
      <c r="V36">
        <f t="shared" si="12"/>
        <v>0</v>
      </c>
      <c r="W36">
        <f t="shared" si="13"/>
        <v>0</v>
      </c>
      <c r="X36">
        <f t="shared" si="14"/>
        <v>155049384.04942298</v>
      </c>
      <c r="Y36">
        <f t="shared" si="15"/>
        <v>45000000</v>
      </c>
      <c r="Z36">
        <f t="shared" si="16"/>
        <v>12214116.572705319</v>
      </c>
      <c r="AA36">
        <f t="shared" si="17"/>
        <v>0</v>
      </c>
      <c r="AB36">
        <f t="shared" si="18"/>
        <v>0</v>
      </c>
      <c r="AC36">
        <f t="shared" si="19"/>
        <v>0</v>
      </c>
    </row>
    <row r="37" spans="1:29" x14ac:dyDescent="0.2">
      <c r="A37">
        <v>36</v>
      </c>
      <c r="B37">
        <f>LoanPool!L37</f>
        <v>928652.81522181176</v>
      </c>
      <c r="C37">
        <f>LoanPool!M37</f>
        <v>2064613.801046998</v>
      </c>
      <c r="D37">
        <f>LoanPool!H37</f>
        <v>66205.625651201393</v>
      </c>
      <c r="E37">
        <f t="shared" si="20"/>
        <v>155049384.04942298</v>
      </c>
      <c r="F37">
        <f t="shared" si="21"/>
        <v>45000000</v>
      </c>
      <c r="G37">
        <f t="shared" si="22"/>
        <v>12214116.572705319</v>
      </c>
      <c r="H37">
        <f t="shared" si="0"/>
        <v>66205.625651201393</v>
      </c>
      <c r="I37">
        <f t="shared" si="1"/>
        <v>0</v>
      </c>
      <c r="J37">
        <f t="shared" si="2"/>
        <v>0</v>
      </c>
      <c r="K37">
        <f t="shared" si="3"/>
        <v>155049384.04942298</v>
      </c>
      <c r="L37">
        <f t="shared" si="4"/>
        <v>45000000</v>
      </c>
      <c r="M37">
        <f t="shared" si="5"/>
        <v>12147910.947054118</v>
      </c>
      <c r="N37">
        <f>K37*Inputs!B6/12</f>
        <v>742944.96523681842</v>
      </c>
      <c r="O37">
        <f t="shared" si="6"/>
        <v>742944.96523681842</v>
      </c>
      <c r="P37">
        <f t="shared" si="7"/>
        <v>0</v>
      </c>
      <c r="Q37">
        <f>L37*Inputs!B6/12</f>
        <v>215625</v>
      </c>
      <c r="R37">
        <f t="shared" si="8"/>
        <v>185707.84998499334</v>
      </c>
      <c r="S37">
        <f t="shared" si="9"/>
        <v>29917.150015006657</v>
      </c>
      <c r="T37">
        <f t="shared" si="10"/>
        <v>0</v>
      </c>
      <c r="U37">
        <f t="shared" si="11"/>
        <v>2064613.801046998</v>
      </c>
      <c r="V37">
        <f t="shared" si="12"/>
        <v>0</v>
      </c>
      <c r="W37">
        <f t="shared" si="13"/>
        <v>0</v>
      </c>
      <c r="X37">
        <f t="shared" si="14"/>
        <v>152984770.24837598</v>
      </c>
      <c r="Y37">
        <f t="shared" si="15"/>
        <v>45000000</v>
      </c>
      <c r="Z37">
        <f t="shared" si="16"/>
        <v>12147910.947054118</v>
      </c>
      <c r="AA37">
        <f t="shared" si="17"/>
        <v>0</v>
      </c>
      <c r="AB37">
        <f t="shared" si="18"/>
        <v>0</v>
      </c>
      <c r="AC37">
        <f t="shared" si="19"/>
        <v>0</v>
      </c>
    </row>
    <row r="38" spans="1:29" x14ac:dyDescent="0.2">
      <c r="A38">
        <v>37</v>
      </c>
      <c r="B38">
        <f>LoanPool!L38</f>
        <v>919330.4802300072</v>
      </c>
      <c r="C38">
        <f>LoanPool!M38</f>
        <v>2046507.1437537496</v>
      </c>
      <c r="D38">
        <f>LoanPool!H38</f>
        <v>65540.191724147357</v>
      </c>
      <c r="E38">
        <f t="shared" si="20"/>
        <v>152984770.24837598</v>
      </c>
      <c r="F38">
        <f t="shared" si="21"/>
        <v>45000000</v>
      </c>
      <c r="G38">
        <f t="shared" si="22"/>
        <v>12147910.947054118</v>
      </c>
      <c r="H38">
        <f t="shared" si="0"/>
        <v>65540.191724147357</v>
      </c>
      <c r="I38">
        <f t="shared" si="1"/>
        <v>0</v>
      </c>
      <c r="J38">
        <f t="shared" si="2"/>
        <v>0</v>
      </c>
      <c r="K38">
        <f t="shared" si="3"/>
        <v>152984770.24837598</v>
      </c>
      <c r="L38">
        <f t="shared" si="4"/>
        <v>45000000</v>
      </c>
      <c r="M38">
        <f t="shared" si="5"/>
        <v>12082370.75532997</v>
      </c>
      <c r="N38">
        <f>K38*Inputs!B6/12</f>
        <v>733052.0241068016</v>
      </c>
      <c r="O38">
        <f t="shared" si="6"/>
        <v>733052.0241068016</v>
      </c>
      <c r="P38">
        <f t="shared" si="7"/>
        <v>0</v>
      </c>
      <c r="Q38">
        <f>L38*Inputs!B6/12</f>
        <v>215625</v>
      </c>
      <c r="R38">
        <f t="shared" si="8"/>
        <v>186278.4561232056</v>
      </c>
      <c r="S38">
        <f t="shared" si="9"/>
        <v>29346.5438767944</v>
      </c>
      <c r="T38">
        <f t="shared" si="10"/>
        <v>0</v>
      </c>
      <c r="U38">
        <f t="shared" si="11"/>
        <v>2046507.1437537496</v>
      </c>
      <c r="V38">
        <f t="shared" si="12"/>
        <v>0</v>
      </c>
      <c r="W38">
        <f t="shared" si="13"/>
        <v>0</v>
      </c>
      <c r="X38">
        <f t="shared" si="14"/>
        <v>150938263.10462224</v>
      </c>
      <c r="Y38">
        <f t="shared" si="15"/>
        <v>45000000</v>
      </c>
      <c r="Z38">
        <f t="shared" si="16"/>
        <v>12082370.75532997</v>
      </c>
      <c r="AA38">
        <f t="shared" si="17"/>
        <v>0</v>
      </c>
      <c r="AB38">
        <f t="shared" si="18"/>
        <v>0</v>
      </c>
      <c r="AC38">
        <f t="shared" si="19"/>
        <v>0</v>
      </c>
    </row>
    <row r="39" spans="1:29" x14ac:dyDescent="0.2">
      <c r="A39">
        <v>38</v>
      </c>
      <c r="B39">
        <f>LoanPool!L39</f>
        <v>910090.27313729131</v>
      </c>
      <c r="C39">
        <f>LoanPool!M39</f>
        <v>2028552.7046722218</v>
      </c>
      <c r="D39">
        <f>LoanPool!H39</f>
        <v>64880.622434916695</v>
      </c>
      <c r="E39">
        <f t="shared" si="20"/>
        <v>150938263.10462224</v>
      </c>
      <c r="F39">
        <f t="shared" si="21"/>
        <v>45000000</v>
      </c>
      <c r="G39">
        <f t="shared" si="22"/>
        <v>12082370.75532997</v>
      </c>
      <c r="H39">
        <f t="shared" si="0"/>
        <v>64880.622434916695</v>
      </c>
      <c r="I39">
        <f t="shared" si="1"/>
        <v>0</v>
      </c>
      <c r="J39">
        <f t="shared" si="2"/>
        <v>0</v>
      </c>
      <c r="K39">
        <f t="shared" si="3"/>
        <v>150938263.10462224</v>
      </c>
      <c r="L39">
        <f t="shared" si="4"/>
        <v>45000000</v>
      </c>
      <c r="M39">
        <f t="shared" si="5"/>
        <v>12017490.132895054</v>
      </c>
      <c r="N39">
        <f>K39*Inputs!B6/12</f>
        <v>723245.84404298163</v>
      </c>
      <c r="O39">
        <f t="shared" si="6"/>
        <v>723245.84404298163</v>
      </c>
      <c r="P39">
        <f t="shared" si="7"/>
        <v>0</v>
      </c>
      <c r="Q39">
        <f>L39*Inputs!B6/12</f>
        <v>215625</v>
      </c>
      <c r="R39">
        <f t="shared" si="8"/>
        <v>186844.42909430969</v>
      </c>
      <c r="S39">
        <f t="shared" si="9"/>
        <v>28780.570905690314</v>
      </c>
      <c r="T39">
        <f t="shared" si="10"/>
        <v>0</v>
      </c>
      <c r="U39">
        <f t="shared" si="11"/>
        <v>2028552.7046722218</v>
      </c>
      <c r="V39">
        <f t="shared" si="12"/>
        <v>0</v>
      </c>
      <c r="W39">
        <f t="shared" si="13"/>
        <v>0</v>
      </c>
      <c r="X39">
        <f t="shared" si="14"/>
        <v>148909710.39995003</v>
      </c>
      <c r="Y39">
        <f t="shared" si="15"/>
        <v>45000000</v>
      </c>
      <c r="Z39">
        <f t="shared" si="16"/>
        <v>12017490.132895054</v>
      </c>
      <c r="AA39">
        <f t="shared" si="17"/>
        <v>0</v>
      </c>
      <c r="AB39">
        <f t="shared" si="18"/>
        <v>0</v>
      </c>
      <c r="AC39">
        <f t="shared" si="19"/>
        <v>0</v>
      </c>
    </row>
    <row r="40" spans="1:29" x14ac:dyDescent="0.2">
      <c r="A40">
        <v>39</v>
      </c>
      <c r="B40">
        <f>LoanPool!L40</f>
        <v>900931.50233119773</v>
      </c>
      <c r="C40">
        <f>LoanPool!M40</f>
        <v>2010749.2251186827</v>
      </c>
      <c r="D40">
        <f>LoanPool!H40</f>
        <v>64226.868389137366</v>
      </c>
      <c r="E40">
        <f t="shared" si="20"/>
        <v>148909710.39995003</v>
      </c>
      <c r="F40">
        <f t="shared" si="21"/>
        <v>45000000</v>
      </c>
      <c r="G40">
        <f t="shared" si="22"/>
        <v>12017490.132895054</v>
      </c>
      <c r="H40">
        <f t="shared" si="0"/>
        <v>64226.868389137366</v>
      </c>
      <c r="I40">
        <f t="shared" si="1"/>
        <v>0</v>
      </c>
      <c r="J40">
        <f t="shared" si="2"/>
        <v>0</v>
      </c>
      <c r="K40">
        <f t="shared" si="3"/>
        <v>148909710.39995003</v>
      </c>
      <c r="L40">
        <f t="shared" si="4"/>
        <v>45000000</v>
      </c>
      <c r="M40">
        <f t="shared" si="5"/>
        <v>11953263.264505917</v>
      </c>
      <c r="N40">
        <f>K40*Inputs!B6/12</f>
        <v>713525.69566642726</v>
      </c>
      <c r="O40">
        <f t="shared" si="6"/>
        <v>713525.69566642726</v>
      </c>
      <c r="P40">
        <f t="shared" si="7"/>
        <v>0</v>
      </c>
      <c r="Q40">
        <f>L40*Inputs!B6/12</f>
        <v>215625</v>
      </c>
      <c r="R40">
        <f t="shared" si="8"/>
        <v>187405.80666477047</v>
      </c>
      <c r="S40">
        <f t="shared" si="9"/>
        <v>28219.193335229531</v>
      </c>
      <c r="T40">
        <f t="shared" si="10"/>
        <v>0</v>
      </c>
      <c r="U40">
        <f t="shared" si="11"/>
        <v>2010749.2251186827</v>
      </c>
      <c r="V40">
        <f t="shared" si="12"/>
        <v>0</v>
      </c>
      <c r="W40">
        <f t="shared" si="13"/>
        <v>0</v>
      </c>
      <c r="X40">
        <f t="shared" si="14"/>
        <v>146898961.17483133</v>
      </c>
      <c r="Y40">
        <f t="shared" si="15"/>
        <v>45000000</v>
      </c>
      <c r="Z40">
        <f t="shared" si="16"/>
        <v>11953263.264505917</v>
      </c>
      <c r="AA40">
        <f t="shared" si="17"/>
        <v>0</v>
      </c>
      <c r="AB40">
        <f t="shared" si="18"/>
        <v>0</v>
      </c>
      <c r="AC40">
        <f t="shared" si="19"/>
        <v>0</v>
      </c>
    </row>
    <row r="41" spans="1:29" x14ac:dyDescent="0.2">
      <c r="A41">
        <v>40</v>
      </c>
      <c r="B41">
        <f>LoanPool!L41</f>
        <v>891853.481922101</v>
      </c>
      <c r="C41">
        <f>LoanPool!M41</f>
        <v>1993095.4567475899</v>
      </c>
      <c r="D41">
        <f>LoanPool!H41</f>
        <v>63578.880601182063</v>
      </c>
      <c r="E41">
        <f t="shared" si="20"/>
        <v>146898961.17483133</v>
      </c>
      <c r="F41">
        <f t="shared" si="21"/>
        <v>45000000</v>
      </c>
      <c r="G41">
        <f t="shared" si="22"/>
        <v>11953263.264505917</v>
      </c>
      <c r="H41">
        <f t="shared" si="0"/>
        <v>63578.880601182063</v>
      </c>
      <c r="I41">
        <f t="shared" si="1"/>
        <v>0</v>
      </c>
      <c r="J41">
        <f t="shared" si="2"/>
        <v>0</v>
      </c>
      <c r="K41">
        <f t="shared" si="3"/>
        <v>146898961.17483133</v>
      </c>
      <c r="L41">
        <f t="shared" si="4"/>
        <v>45000000</v>
      </c>
      <c r="M41">
        <f t="shared" si="5"/>
        <v>11889684.383904735</v>
      </c>
      <c r="N41">
        <f>K41*Inputs!B6/12</f>
        <v>703890.85562940023</v>
      </c>
      <c r="O41">
        <f t="shared" si="6"/>
        <v>703890.85562940023</v>
      </c>
      <c r="P41">
        <f t="shared" si="7"/>
        <v>0</v>
      </c>
      <c r="Q41">
        <f>L41*Inputs!B6/12</f>
        <v>215625</v>
      </c>
      <c r="R41">
        <f t="shared" si="8"/>
        <v>187962.62629270076</v>
      </c>
      <c r="S41">
        <f t="shared" si="9"/>
        <v>27662.373707299237</v>
      </c>
      <c r="T41">
        <f t="shared" si="10"/>
        <v>0</v>
      </c>
      <c r="U41">
        <f t="shared" si="11"/>
        <v>1993095.4567475899</v>
      </c>
      <c r="V41">
        <f t="shared" si="12"/>
        <v>0</v>
      </c>
      <c r="W41">
        <f t="shared" si="13"/>
        <v>0</v>
      </c>
      <c r="X41">
        <f t="shared" si="14"/>
        <v>144905865.71808374</v>
      </c>
      <c r="Y41">
        <f t="shared" si="15"/>
        <v>45000000</v>
      </c>
      <c r="Z41">
        <f t="shared" si="16"/>
        <v>11889684.383904735</v>
      </c>
      <c r="AA41">
        <f t="shared" si="17"/>
        <v>0</v>
      </c>
      <c r="AB41">
        <f t="shared" si="18"/>
        <v>0</v>
      </c>
      <c r="AC41">
        <f t="shared" si="19"/>
        <v>0</v>
      </c>
    </row>
    <row r="42" spans="1:29" x14ac:dyDescent="0.2">
      <c r="A42">
        <v>41</v>
      </c>
      <c r="B42">
        <f>LoanPool!L42</f>
        <v>882855.53169620014</v>
      </c>
      <c r="C42">
        <f>LoanPool!M42</f>
        <v>1975590.1614669093</v>
      </c>
      <c r="D42">
        <f>LoanPool!H42</f>
        <v>62936.610490809901</v>
      </c>
      <c r="E42">
        <f t="shared" si="20"/>
        <v>144905865.71808374</v>
      </c>
      <c r="F42">
        <f t="shared" si="21"/>
        <v>45000000</v>
      </c>
      <c r="G42">
        <f t="shared" si="22"/>
        <v>11889684.383904735</v>
      </c>
      <c r="H42">
        <f t="shared" si="0"/>
        <v>62936.610490809901</v>
      </c>
      <c r="I42">
        <f t="shared" si="1"/>
        <v>0</v>
      </c>
      <c r="J42">
        <f t="shared" si="2"/>
        <v>0</v>
      </c>
      <c r="K42">
        <f t="shared" si="3"/>
        <v>144905865.71808374</v>
      </c>
      <c r="L42">
        <f t="shared" si="4"/>
        <v>45000000</v>
      </c>
      <c r="M42">
        <f t="shared" si="5"/>
        <v>11826747.773413925</v>
      </c>
      <c r="N42">
        <f>K42*Inputs!B6/12</f>
        <v>694340.60656581796</v>
      </c>
      <c r="O42">
        <f t="shared" si="6"/>
        <v>694340.60656581796</v>
      </c>
      <c r="P42">
        <f t="shared" si="7"/>
        <v>0</v>
      </c>
      <c r="Q42">
        <f>L42*Inputs!B6/12</f>
        <v>215625</v>
      </c>
      <c r="R42">
        <f t="shared" si="8"/>
        <v>188514.92513038218</v>
      </c>
      <c r="S42">
        <f t="shared" si="9"/>
        <v>27110.07486961782</v>
      </c>
      <c r="T42">
        <f t="shared" si="10"/>
        <v>0</v>
      </c>
      <c r="U42">
        <f t="shared" si="11"/>
        <v>1975590.1614669093</v>
      </c>
      <c r="V42">
        <f t="shared" si="12"/>
        <v>0</v>
      </c>
      <c r="W42">
        <f t="shared" si="13"/>
        <v>0</v>
      </c>
      <c r="X42">
        <f t="shared" si="14"/>
        <v>142930275.55661684</v>
      </c>
      <c r="Y42">
        <f t="shared" si="15"/>
        <v>45000000</v>
      </c>
      <c r="Z42">
        <f t="shared" si="16"/>
        <v>11826747.773413925</v>
      </c>
      <c r="AA42">
        <f t="shared" si="17"/>
        <v>0</v>
      </c>
      <c r="AB42">
        <f t="shared" si="18"/>
        <v>0</v>
      </c>
      <c r="AC42">
        <f t="shared" si="19"/>
        <v>0</v>
      </c>
    </row>
    <row r="43" spans="1:29" x14ac:dyDescent="0.2">
      <c r="A43">
        <v>42</v>
      </c>
      <c r="B43">
        <f>LoanPool!L43</f>
        <v>873936.97706888511</v>
      </c>
      <c r="C43">
        <f>LoanPool!M43</f>
        <v>1958232.1113541359</v>
      </c>
      <c r="D43">
        <f>LoanPool!H43</f>
        <v>62300.009879835772</v>
      </c>
      <c r="E43">
        <f t="shared" si="20"/>
        <v>142930275.55661684</v>
      </c>
      <c r="F43">
        <f t="shared" si="21"/>
        <v>45000000</v>
      </c>
      <c r="G43">
        <f t="shared" si="22"/>
        <v>11826747.773413925</v>
      </c>
      <c r="H43">
        <f t="shared" si="0"/>
        <v>62300.009879835772</v>
      </c>
      <c r="I43">
        <f t="shared" si="1"/>
        <v>0</v>
      </c>
      <c r="J43">
        <f t="shared" si="2"/>
        <v>0</v>
      </c>
      <c r="K43">
        <f t="shared" si="3"/>
        <v>142930275.55661684</v>
      </c>
      <c r="L43">
        <f t="shared" si="4"/>
        <v>45000000</v>
      </c>
      <c r="M43">
        <f t="shared" si="5"/>
        <v>11764447.76353409</v>
      </c>
      <c r="N43">
        <f>K43*Inputs!B6/12</f>
        <v>684874.2370421224</v>
      </c>
      <c r="O43">
        <f t="shared" si="6"/>
        <v>684874.2370421224</v>
      </c>
      <c r="P43">
        <f t="shared" si="7"/>
        <v>0</v>
      </c>
      <c r="Q43">
        <f>L43*Inputs!B6/12</f>
        <v>215625</v>
      </c>
      <c r="R43">
        <f t="shared" si="8"/>
        <v>189062.74002676271</v>
      </c>
      <c r="S43">
        <f t="shared" si="9"/>
        <v>26562.259973237291</v>
      </c>
      <c r="T43">
        <f t="shared" si="10"/>
        <v>0</v>
      </c>
      <c r="U43">
        <f t="shared" si="11"/>
        <v>1958232.1113541359</v>
      </c>
      <c r="V43">
        <f t="shared" si="12"/>
        <v>0</v>
      </c>
      <c r="W43">
        <f t="shared" si="13"/>
        <v>0</v>
      </c>
      <c r="X43">
        <f t="shared" si="14"/>
        <v>140972043.4452627</v>
      </c>
      <c r="Y43">
        <f t="shared" si="15"/>
        <v>45000000</v>
      </c>
      <c r="Z43">
        <f t="shared" si="16"/>
        <v>11764447.76353409</v>
      </c>
      <c r="AA43">
        <f t="shared" si="17"/>
        <v>0</v>
      </c>
      <c r="AB43">
        <f t="shared" si="18"/>
        <v>0</v>
      </c>
      <c r="AC43">
        <f t="shared" si="19"/>
        <v>0</v>
      </c>
    </row>
    <row r="44" spans="1:29" x14ac:dyDescent="0.2">
      <c r="A44">
        <v>43</v>
      </c>
      <c r="B44">
        <f>LoanPool!L44</f>
        <v>865097.14903848642</v>
      </c>
      <c r="C44">
        <f>LoanPool!M44</f>
        <v>1941020.088572996</v>
      </c>
      <c r="D44">
        <f>LoanPool!H44</f>
        <v>61669.030988826758</v>
      </c>
      <c r="E44">
        <f t="shared" si="20"/>
        <v>140972043.4452627</v>
      </c>
      <c r="F44">
        <f t="shared" si="21"/>
        <v>45000000</v>
      </c>
      <c r="G44">
        <f t="shared" si="22"/>
        <v>11764447.76353409</v>
      </c>
      <c r="H44">
        <f t="shared" si="0"/>
        <v>61669.030988826758</v>
      </c>
      <c r="I44">
        <f t="shared" si="1"/>
        <v>0</v>
      </c>
      <c r="J44">
        <f t="shared" si="2"/>
        <v>0</v>
      </c>
      <c r="K44">
        <f t="shared" si="3"/>
        <v>140972043.4452627</v>
      </c>
      <c r="L44">
        <f t="shared" si="4"/>
        <v>45000000</v>
      </c>
      <c r="M44">
        <f t="shared" si="5"/>
        <v>11702778.732545262</v>
      </c>
      <c r="N44">
        <f>K44*Inputs!B6/12</f>
        <v>675491.04150855041</v>
      </c>
      <c r="O44">
        <f t="shared" si="6"/>
        <v>675491.04150855041</v>
      </c>
      <c r="P44">
        <f t="shared" si="7"/>
        <v>0</v>
      </c>
      <c r="Q44">
        <f>L44*Inputs!B6/12</f>
        <v>215625</v>
      </c>
      <c r="R44">
        <f t="shared" si="8"/>
        <v>189606.10752993601</v>
      </c>
      <c r="S44">
        <f t="shared" si="9"/>
        <v>26018.892470063991</v>
      </c>
      <c r="T44">
        <f t="shared" si="10"/>
        <v>0</v>
      </c>
      <c r="U44">
        <f t="shared" si="11"/>
        <v>1941020.088572996</v>
      </c>
      <c r="V44">
        <f t="shared" si="12"/>
        <v>0</v>
      </c>
      <c r="W44">
        <f t="shared" si="13"/>
        <v>0</v>
      </c>
      <c r="X44">
        <f t="shared" si="14"/>
        <v>139031023.35668969</v>
      </c>
      <c r="Y44">
        <f t="shared" si="15"/>
        <v>45000000</v>
      </c>
      <c r="Z44">
        <f t="shared" si="16"/>
        <v>11702778.732545262</v>
      </c>
      <c r="AA44">
        <f t="shared" si="17"/>
        <v>0</v>
      </c>
      <c r="AB44">
        <f t="shared" si="18"/>
        <v>0</v>
      </c>
      <c r="AC44">
        <f t="shared" si="19"/>
        <v>0</v>
      </c>
    </row>
    <row r="45" spans="1:29" x14ac:dyDescent="0.2">
      <c r="A45">
        <v>44</v>
      </c>
      <c r="B45">
        <f>LoanPool!L45</f>
        <v>856335.38414040348</v>
      </c>
      <c r="C45">
        <f>LoanPool!M45</f>
        <v>1923952.8852908274</v>
      </c>
      <c r="D45">
        <f>LoanPool!H45</f>
        <v>61043.626433825812</v>
      </c>
      <c r="E45">
        <f t="shared" si="20"/>
        <v>139031023.35668969</v>
      </c>
      <c r="F45">
        <f t="shared" si="21"/>
        <v>45000000</v>
      </c>
      <c r="G45">
        <f t="shared" si="22"/>
        <v>11702778.732545262</v>
      </c>
      <c r="H45">
        <f t="shared" si="0"/>
        <v>61043.626433825812</v>
      </c>
      <c r="I45">
        <f t="shared" si="1"/>
        <v>0</v>
      </c>
      <c r="J45">
        <f t="shared" si="2"/>
        <v>0</v>
      </c>
      <c r="K45">
        <f t="shared" si="3"/>
        <v>139031023.35668969</v>
      </c>
      <c r="L45">
        <f t="shared" si="4"/>
        <v>45000000</v>
      </c>
      <c r="M45">
        <f t="shared" si="5"/>
        <v>11641735.106111437</v>
      </c>
      <c r="N45">
        <f>K45*Inputs!B6/12</f>
        <v>666190.32025080477</v>
      </c>
      <c r="O45">
        <f t="shared" si="6"/>
        <v>666190.32025080477</v>
      </c>
      <c r="P45">
        <f t="shared" si="7"/>
        <v>0</v>
      </c>
      <c r="Q45">
        <f>L45*Inputs!B6/12</f>
        <v>215625</v>
      </c>
      <c r="R45">
        <f t="shared" si="8"/>
        <v>190145.06388959871</v>
      </c>
      <c r="S45">
        <f t="shared" si="9"/>
        <v>25479.936110401293</v>
      </c>
      <c r="T45">
        <f t="shared" si="10"/>
        <v>0</v>
      </c>
      <c r="U45">
        <f t="shared" si="11"/>
        <v>1923952.8852908274</v>
      </c>
      <c r="V45">
        <f t="shared" si="12"/>
        <v>0</v>
      </c>
      <c r="W45">
        <f t="shared" si="13"/>
        <v>0</v>
      </c>
      <c r="X45">
        <f t="shared" si="14"/>
        <v>137107070.47139886</v>
      </c>
      <c r="Y45">
        <f t="shared" si="15"/>
        <v>45000000</v>
      </c>
      <c r="Z45">
        <f t="shared" si="16"/>
        <v>11641735.106111437</v>
      </c>
      <c r="AA45">
        <f t="shared" si="17"/>
        <v>0</v>
      </c>
      <c r="AB45">
        <f t="shared" si="18"/>
        <v>0</v>
      </c>
      <c r="AC45">
        <f t="shared" si="19"/>
        <v>0</v>
      </c>
    </row>
    <row r="46" spans="1:29" x14ac:dyDescent="0.2">
      <c r="A46">
        <v>45</v>
      </c>
      <c r="B46">
        <f>LoanPool!L46</f>
        <v>847651.02440160816</v>
      </c>
      <c r="C46">
        <f>LoanPool!M46</f>
        <v>1907029.3035966493</v>
      </c>
      <c r="D46">
        <f>LoanPool!H46</f>
        <v>60423.749223102197</v>
      </c>
      <c r="E46">
        <f t="shared" si="20"/>
        <v>137107070.47139886</v>
      </c>
      <c r="F46">
        <f t="shared" si="21"/>
        <v>45000000</v>
      </c>
      <c r="G46">
        <f t="shared" si="22"/>
        <v>11641735.106111437</v>
      </c>
      <c r="H46">
        <f t="shared" si="0"/>
        <v>60423.749223102197</v>
      </c>
      <c r="I46">
        <f t="shared" si="1"/>
        <v>0</v>
      </c>
      <c r="J46">
        <f t="shared" si="2"/>
        <v>0</v>
      </c>
      <c r="K46">
        <f t="shared" si="3"/>
        <v>137107070.47139886</v>
      </c>
      <c r="L46">
        <f t="shared" si="4"/>
        <v>45000000</v>
      </c>
      <c r="M46">
        <f t="shared" si="5"/>
        <v>11581311.356888335</v>
      </c>
      <c r="N46">
        <f>K46*Inputs!B6/12</f>
        <v>656971.37934211956</v>
      </c>
      <c r="O46">
        <f t="shared" si="6"/>
        <v>656971.37934211956</v>
      </c>
      <c r="P46">
        <f t="shared" si="7"/>
        <v>0</v>
      </c>
      <c r="Q46">
        <f>L46*Inputs!B6/12</f>
        <v>215625</v>
      </c>
      <c r="R46">
        <f t="shared" si="8"/>
        <v>190679.6450594886</v>
      </c>
      <c r="S46">
        <f t="shared" si="9"/>
        <v>24945.354940511403</v>
      </c>
      <c r="T46">
        <f t="shared" si="10"/>
        <v>0</v>
      </c>
      <c r="U46">
        <f t="shared" si="11"/>
        <v>1907029.3035966493</v>
      </c>
      <c r="V46">
        <f t="shared" si="12"/>
        <v>0</v>
      </c>
      <c r="W46">
        <f t="shared" si="13"/>
        <v>0</v>
      </c>
      <c r="X46">
        <f t="shared" si="14"/>
        <v>135200041.16780221</v>
      </c>
      <c r="Y46">
        <f t="shared" si="15"/>
        <v>45000000</v>
      </c>
      <c r="Z46">
        <f t="shared" si="16"/>
        <v>11581311.356888335</v>
      </c>
      <c r="AA46">
        <f t="shared" si="17"/>
        <v>0</v>
      </c>
      <c r="AB46">
        <f t="shared" si="18"/>
        <v>0</v>
      </c>
      <c r="AC46">
        <f t="shared" si="19"/>
        <v>0</v>
      </c>
    </row>
    <row r="47" spans="1:29" x14ac:dyDescent="0.2">
      <c r="A47">
        <v>46</v>
      </c>
      <c r="B47">
        <f>LoanPool!L47</f>
        <v>839043.41729552159</v>
      </c>
      <c r="C47">
        <f>LoanPool!M47</f>
        <v>1890248.1554198826</v>
      </c>
      <c r="D47">
        <f>LoanPool!H47</f>
        <v>59809.352753928521</v>
      </c>
      <c r="E47">
        <f t="shared" si="20"/>
        <v>135200041.16780221</v>
      </c>
      <c r="F47">
        <f t="shared" si="21"/>
        <v>45000000</v>
      </c>
      <c r="G47">
        <f t="shared" si="22"/>
        <v>11581311.356888335</v>
      </c>
      <c r="H47">
        <f t="shared" si="0"/>
        <v>59809.352753928521</v>
      </c>
      <c r="I47">
        <f t="shared" si="1"/>
        <v>0</v>
      </c>
      <c r="J47">
        <f t="shared" si="2"/>
        <v>0</v>
      </c>
      <c r="K47">
        <f t="shared" si="3"/>
        <v>135200041.16780221</v>
      </c>
      <c r="L47">
        <f t="shared" si="4"/>
        <v>45000000</v>
      </c>
      <c r="M47">
        <f t="shared" si="5"/>
        <v>11521502.004134407</v>
      </c>
      <c r="N47">
        <f>K47*Inputs!B6/12</f>
        <v>647833.530595719</v>
      </c>
      <c r="O47">
        <f t="shared" si="6"/>
        <v>647833.530595719</v>
      </c>
      <c r="P47">
        <f t="shared" si="7"/>
        <v>0</v>
      </c>
      <c r="Q47">
        <f>L47*Inputs!B6/12</f>
        <v>215625</v>
      </c>
      <c r="R47">
        <f t="shared" si="8"/>
        <v>191209.88669980259</v>
      </c>
      <c r="S47">
        <f t="shared" si="9"/>
        <v>24415.113300197409</v>
      </c>
      <c r="T47">
        <f t="shared" si="10"/>
        <v>0</v>
      </c>
      <c r="U47">
        <f t="shared" si="11"/>
        <v>1890248.1554198826</v>
      </c>
      <c r="V47">
        <f t="shared" si="12"/>
        <v>0</v>
      </c>
      <c r="W47">
        <f t="shared" si="13"/>
        <v>0</v>
      </c>
      <c r="X47">
        <f t="shared" si="14"/>
        <v>133309793.01238233</v>
      </c>
      <c r="Y47">
        <f t="shared" si="15"/>
        <v>45000000</v>
      </c>
      <c r="Z47">
        <f t="shared" si="16"/>
        <v>11521502.004134407</v>
      </c>
      <c r="AA47">
        <f t="shared" si="17"/>
        <v>0</v>
      </c>
      <c r="AB47">
        <f t="shared" si="18"/>
        <v>0</v>
      </c>
      <c r="AC47">
        <f t="shared" si="19"/>
        <v>0</v>
      </c>
    </row>
    <row r="48" spans="1:29" x14ac:dyDescent="0.2">
      <c r="A48">
        <v>47</v>
      </c>
      <c r="B48">
        <f>LoanPool!L48</f>
        <v>830511.91569726123</v>
      </c>
      <c r="C48">
        <f>LoanPool!M48</f>
        <v>1873608.2624497546</v>
      </c>
      <c r="D48">
        <f>LoanPool!H48</f>
        <v>59200.390809384211</v>
      </c>
      <c r="E48">
        <f t="shared" si="20"/>
        <v>133309793.01238233</v>
      </c>
      <c r="F48">
        <f t="shared" si="21"/>
        <v>45000000</v>
      </c>
      <c r="G48">
        <f t="shared" si="22"/>
        <v>11521502.004134407</v>
      </c>
      <c r="H48">
        <f t="shared" si="0"/>
        <v>59200.390809384211</v>
      </c>
      <c r="I48">
        <f t="shared" si="1"/>
        <v>0</v>
      </c>
      <c r="J48">
        <f t="shared" si="2"/>
        <v>0</v>
      </c>
      <c r="K48">
        <f t="shared" si="3"/>
        <v>133309793.01238233</v>
      </c>
      <c r="L48">
        <f t="shared" si="4"/>
        <v>45000000</v>
      </c>
      <c r="M48">
        <f t="shared" si="5"/>
        <v>11462301.613325022</v>
      </c>
      <c r="N48">
        <f>K48*Inputs!B6/12</f>
        <v>638776.09151766531</v>
      </c>
      <c r="O48">
        <f t="shared" si="6"/>
        <v>638776.09151766531</v>
      </c>
      <c r="P48">
        <f t="shared" si="7"/>
        <v>0</v>
      </c>
      <c r="Q48">
        <f>L48*Inputs!B6/12</f>
        <v>215625</v>
      </c>
      <c r="R48">
        <f t="shared" si="8"/>
        <v>191735.82417959592</v>
      </c>
      <c r="S48">
        <f t="shared" si="9"/>
        <v>23889.175820404082</v>
      </c>
      <c r="T48">
        <f t="shared" si="10"/>
        <v>0</v>
      </c>
      <c r="U48">
        <f t="shared" si="11"/>
        <v>1873608.2624497546</v>
      </c>
      <c r="V48">
        <f t="shared" si="12"/>
        <v>0</v>
      </c>
      <c r="W48">
        <f t="shared" si="13"/>
        <v>0</v>
      </c>
      <c r="X48">
        <f t="shared" si="14"/>
        <v>131436184.74993257</v>
      </c>
      <c r="Y48">
        <f t="shared" si="15"/>
        <v>45000000</v>
      </c>
      <c r="Z48">
        <f t="shared" si="16"/>
        <v>11462301.613325022</v>
      </c>
      <c r="AA48">
        <f t="shared" si="17"/>
        <v>0</v>
      </c>
      <c r="AB48">
        <f t="shared" si="18"/>
        <v>0</v>
      </c>
      <c r="AC48">
        <f t="shared" si="19"/>
        <v>0</v>
      </c>
    </row>
    <row r="49" spans="1:29" x14ac:dyDescent="0.2">
      <c r="A49">
        <v>48</v>
      </c>
      <c r="B49">
        <f>LoanPool!L49</f>
        <v>822055.87783925259</v>
      </c>
      <c r="C49">
        <f>LoanPool!M49</f>
        <v>1857108.4560553508</v>
      </c>
      <c r="D49">
        <f>LoanPool!H49</f>
        <v>58596.817555185204</v>
      </c>
      <c r="E49">
        <f t="shared" si="20"/>
        <v>131436184.74993257</v>
      </c>
      <c r="F49">
        <f t="shared" si="21"/>
        <v>45000000</v>
      </c>
      <c r="G49">
        <f t="shared" si="22"/>
        <v>11462301.613325022</v>
      </c>
      <c r="H49">
        <f t="shared" si="0"/>
        <v>58596.817555185204</v>
      </c>
      <c r="I49">
        <f t="shared" si="1"/>
        <v>0</v>
      </c>
      <c r="J49">
        <f t="shared" si="2"/>
        <v>0</v>
      </c>
      <c r="K49">
        <f t="shared" si="3"/>
        <v>131436184.74993257</v>
      </c>
      <c r="L49">
        <f t="shared" si="4"/>
        <v>45000000</v>
      </c>
      <c r="M49">
        <f t="shared" si="5"/>
        <v>11403704.795769837</v>
      </c>
      <c r="N49">
        <f>K49*Inputs!B6/12</f>
        <v>629798.38526009361</v>
      </c>
      <c r="O49">
        <f t="shared" si="6"/>
        <v>629798.38526009361</v>
      </c>
      <c r="P49">
        <f t="shared" si="7"/>
        <v>0</v>
      </c>
      <c r="Q49">
        <f>L49*Inputs!B6/12</f>
        <v>215625</v>
      </c>
      <c r="R49">
        <f t="shared" si="8"/>
        <v>192257.49257915898</v>
      </c>
      <c r="S49">
        <f t="shared" si="9"/>
        <v>23367.507420841022</v>
      </c>
      <c r="T49">
        <f t="shared" si="10"/>
        <v>0</v>
      </c>
      <c r="U49">
        <f t="shared" si="11"/>
        <v>1857108.4560553508</v>
      </c>
      <c r="V49">
        <f t="shared" si="12"/>
        <v>0</v>
      </c>
      <c r="W49">
        <f t="shared" si="13"/>
        <v>0</v>
      </c>
      <c r="X49">
        <f t="shared" si="14"/>
        <v>129579076.29387721</v>
      </c>
      <c r="Y49">
        <f t="shared" si="15"/>
        <v>45000000</v>
      </c>
      <c r="Z49">
        <f t="shared" si="16"/>
        <v>11403704.795769837</v>
      </c>
      <c r="AA49">
        <f t="shared" si="17"/>
        <v>0</v>
      </c>
      <c r="AB49">
        <f t="shared" si="18"/>
        <v>0</v>
      </c>
      <c r="AC49">
        <f t="shared" si="19"/>
        <v>0</v>
      </c>
    </row>
    <row r="50" spans="1:29" x14ac:dyDescent="0.2">
      <c r="A50">
        <v>49</v>
      </c>
      <c r="B50">
        <f>LoanPool!L50</f>
        <v>813674.66726720636</v>
      </c>
      <c r="C50">
        <f>LoanPool!M50</f>
        <v>1840747.5772063234</v>
      </c>
      <c r="D50">
        <f>LoanPool!H50</f>
        <v>57998.58753653946</v>
      </c>
      <c r="E50">
        <f t="shared" si="20"/>
        <v>129579076.29387721</v>
      </c>
      <c r="F50">
        <f t="shared" si="21"/>
        <v>45000000</v>
      </c>
      <c r="G50">
        <f t="shared" si="22"/>
        <v>11403704.795769837</v>
      </c>
      <c r="H50">
        <f t="shared" si="0"/>
        <v>57998.58753653946</v>
      </c>
      <c r="I50">
        <f t="shared" si="1"/>
        <v>0</v>
      </c>
      <c r="J50">
        <f t="shared" si="2"/>
        <v>0</v>
      </c>
      <c r="K50">
        <f t="shared" si="3"/>
        <v>129579076.29387721</v>
      </c>
      <c r="L50">
        <f t="shared" si="4"/>
        <v>45000000</v>
      </c>
      <c r="M50">
        <f t="shared" si="5"/>
        <v>11345706.208233297</v>
      </c>
      <c r="N50">
        <f>K50*Inputs!B6/12</f>
        <v>620899.74057482835</v>
      </c>
      <c r="O50">
        <f t="shared" si="6"/>
        <v>620899.74057482835</v>
      </c>
      <c r="P50">
        <f t="shared" si="7"/>
        <v>0</v>
      </c>
      <c r="Q50">
        <f>L50*Inputs!B6/12</f>
        <v>215625</v>
      </c>
      <c r="R50">
        <f t="shared" si="8"/>
        <v>192774.92669237801</v>
      </c>
      <c r="S50">
        <f t="shared" si="9"/>
        <v>22850.073307621991</v>
      </c>
      <c r="T50">
        <f t="shared" si="10"/>
        <v>0</v>
      </c>
      <c r="U50">
        <f t="shared" si="11"/>
        <v>1840747.5772063234</v>
      </c>
      <c r="V50">
        <f t="shared" si="12"/>
        <v>0</v>
      </c>
      <c r="W50">
        <f t="shared" si="13"/>
        <v>0</v>
      </c>
      <c r="X50">
        <f t="shared" si="14"/>
        <v>127738328.71667089</v>
      </c>
      <c r="Y50">
        <f t="shared" si="15"/>
        <v>45000000</v>
      </c>
      <c r="Z50">
        <f t="shared" si="16"/>
        <v>11345706.208233297</v>
      </c>
      <c r="AA50">
        <f t="shared" si="17"/>
        <v>0</v>
      </c>
      <c r="AB50">
        <f t="shared" si="18"/>
        <v>0</v>
      </c>
      <c r="AC50">
        <f t="shared" si="19"/>
        <v>0</v>
      </c>
    </row>
    <row r="51" spans="1:29" x14ac:dyDescent="0.2">
      <c r="A51">
        <v>50</v>
      </c>
      <c r="B51">
        <f>LoanPool!L51</f>
        <v>805367.65279645636</v>
      </c>
      <c r="C51">
        <f>LoanPool!M51</f>
        <v>1824524.4763942512</v>
      </c>
      <c r="D51">
        <f>LoanPool!H51</f>
        <v>57405.655675028509</v>
      </c>
      <c r="E51">
        <f t="shared" si="20"/>
        <v>127738328.71667089</v>
      </c>
      <c r="F51">
        <f t="shared" si="21"/>
        <v>45000000</v>
      </c>
      <c r="G51">
        <f t="shared" si="22"/>
        <v>11345706.208233297</v>
      </c>
      <c r="H51">
        <f t="shared" si="0"/>
        <v>57405.655675028509</v>
      </c>
      <c r="I51">
        <f t="shared" si="1"/>
        <v>0</v>
      </c>
      <c r="J51">
        <f t="shared" si="2"/>
        <v>0</v>
      </c>
      <c r="K51">
        <f t="shared" si="3"/>
        <v>127738328.71667089</v>
      </c>
      <c r="L51">
        <f t="shared" si="4"/>
        <v>45000000</v>
      </c>
      <c r="M51">
        <f t="shared" si="5"/>
        <v>11288300.552558267</v>
      </c>
      <c r="N51">
        <f>K51*Inputs!B6/12</f>
        <v>612079.49176738132</v>
      </c>
      <c r="O51">
        <f t="shared" si="6"/>
        <v>612079.49176738132</v>
      </c>
      <c r="P51">
        <f t="shared" si="7"/>
        <v>0</v>
      </c>
      <c r="Q51">
        <f>L51*Inputs!B6/12</f>
        <v>215625</v>
      </c>
      <c r="R51">
        <f t="shared" si="8"/>
        <v>193288.16102907504</v>
      </c>
      <c r="S51">
        <f t="shared" si="9"/>
        <v>22336.83897092496</v>
      </c>
      <c r="T51">
        <f t="shared" si="10"/>
        <v>0</v>
      </c>
      <c r="U51">
        <f t="shared" si="11"/>
        <v>1824524.4763942512</v>
      </c>
      <c r="V51">
        <f t="shared" si="12"/>
        <v>0</v>
      </c>
      <c r="W51">
        <f t="shared" si="13"/>
        <v>0</v>
      </c>
      <c r="X51">
        <f t="shared" si="14"/>
        <v>125913804.24027663</v>
      </c>
      <c r="Y51">
        <f t="shared" si="15"/>
        <v>45000000</v>
      </c>
      <c r="Z51">
        <f t="shared" si="16"/>
        <v>11288300.552558267</v>
      </c>
      <c r="AA51">
        <f t="shared" si="17"/>
        <v>0</v>
      </c>
      <c r="AB51">
        <f t="shared" si="18"/>
        <v>0</v>
      </c>
      <c r="AC51">
        <f t="shared" si="19"/>
        <v>0</v>
      </c>
    </row>
    <row r="52" spans="1:29" x14ac:dyDescent="0.2">
      <c r="A52">
        <v>51</v>
      </c>
      <c r="B52">
        <f>LoanPool!L52</f>
        <v>797134.20846865338</v>
      </c>
      <c r="C52">
        <f>LoanPool!M52</f>
        <v>1808438.0135546401</v>
      </c>
      <c r="D52">
        <f>LoanPool!H52</f>
        <v>56817.977265514237</v>
      </c>
      <c r="E52">
        <f t="shared" si="20"/>
        <v>125913804.24027663</v>
      </c>
      <c r="F52">
        <f t="shared" si="21"/>
        <v>45000000</v>
      </c>
      <c r="G52">
        <f t="shared" si="22"/>
        <v>11288300.552558267</v>
      </c>
      <c r="H52">
        <f t="shared" si="0"/>
        <v>56817.977265514237</v>
      </c>
      <c r="I52">
        <f t="shared" si="1"/>
        <v>0</v>
      </c>
      <c r="J52">
        <f t="shared" si="2"/>
        <v>0</v>
      </c>
      <c r="K52">
        <f t="shared" si="3"/>
        <v>125913804.24027663</v>
      </c>
      <c r="L52">
        <f t="shared" si="4"/>
        <v>45000000</v>
      </c>
      <c r="M52">
        <f t="shared" si="5"/>
        <v>11231482.575292753</v>
      </c>
      <c r="N52">
        <f>K52*Inputs!B6/12</f>
        <v>603336.97865132557</v>
      </c>
      <c r="O52">
        <f t="shared" si="6"/>
        <v>603336.97865132557</v>
      </c>
      <c r="P52">
        <f t="shared" si="7"/>
        <v>0</v>
      </c>
      <c r="Q52">
        <f>L52*Inputs!B6/12</f>
        <v>215625</v>
      </c>
      <c r="R52">
        <f t="shared" si="8"/>
        <v>193797.22981732781</v>
      </c>
      <c r="S52">
        <f t="shared" si="9"/>
        <v>21827.77018267219</v>
      </c>
      <c r="T52">
        <f t="shared" si="10"/>
        <v>0</v>
      </c>
      <c r="U52">
        <f t="shared" si="11"/>
        <v>1808438.0135546401</v>
      </c>
      <c r="V52">
        <f t="shared" si="12"/>
        <v>0</v>
      </c>
      <c r="W52">
        <f t="shared" si="13"/>
        <v>0</v>
      </c>
      <c r="X52">
        <f t="shared" si="14"/>
        <v>124105366.226722</v>
      </c>
      <c r="Y52">
        <f t="shared" si="15"/>
        <v>45000000</v>
      </c>
      <c r="Z52">
        <f t="shared" si="16"/>
        <v>11231482.575292753</v>
      </c>
      <c r="AA52">
        <f t="shared" si="17"/>
        <v>0</v>
      </c>
      <c r="AB52">
        <f t="shared" si="18"/>
        <v>0</v>
      </c>
      <c r="AC52">
        <f t="shared" si="19"/>
        <v>0</v>
      </c>
    </row>
    <row r="53" spans="1:29" x14ac:dyDescent="0.2">
      <c r="A53">
        <v>52</v>
      </c>
      <c r="B53">
        <f>LoanPool!L53</f>
        <v>788973.71350881516</v>
      </c>
      <c r="C53">
        <f>LoanPool!M53</f>
        <v>1792487.057989565</v>
      </c>
      <c r="D53">
        <f>LoanPool!H53</f>
        <v>56235.507973071246</v>
      </c>
      <c r="E53">
        <f t="shared" si="20"/>
        <v>124105366.226722</v>
      </c>
      <c r="F53">
        <f t="shared" si="21"/>
        <v>45000000</v>
      </c>
      <c r="G53">
        <f t="shared" si="22"/>
        <v>11231482.575292753</v>
      </c>
      <c r="H53">
        <f t="shared" si="0"/>
        <v>56235.507973071246</v>
      </c>
      <c r="I53">
        <f t="shared" si="1"/>
        <v>0</v>
      </c>
      <c r="J53">
        <f t="shared" si="2"/>
        <v>0</v>
      </c>
      <c r="K53">
        <f t="shared" si="3"/>
        <v>124105366.226722</v>
      </c>
      <c r="L53">
        <f t="shared" si="4"/>
        <v>45000000</v>
      </c>
      <c r="M53">
        <f t="shared" si="5"/>
        <v>11175247.067319682</v>
      </c>
      <c r="N53">
        <f>K53*Inputs!B6/12</f>
        <v>594671.54650304292</v>
      </c>
      <c r="O53">
        <f t="shared" si="6"/>
        <v>594671.54650304292</v>
      </c>
      <c r="P53">
        <f t="shared" si="7"/>
        <v>0</v>
      </c>
      <c r="Q53">
        <f>L53*Inputs!B6/12</f>
        <v>215625</v>
      </c>
      <c r="R53">
        <f t="shared" si="8"/>
        <v>194302.16700577224</v>
      </c>
      <c r="S53">
        <f t="shared" si="9"/>
        <v>21322.832994227763</v>
      </c>
      <c r="T53">
        <f t="shared" si="10"/>
        <v>0</v>
      </c>
      <c r="U53">
        <f t="shared" si="11"/>
        <v>1792487.057989565</v>
      </c>
      <c r="V53">
        <f t="shared" si="12"/>
        <v>0</v>
      </c>
      <c r="W53">
        <f t="shared" si="13"/>
        <v>0</v>
      </c>
      <c r="X53">
        <f t="shared" si="14"/>
        <v>122312879.16873243</v>
      </c>
      <c r="Y53">
        <f t="shared" si="15"/>
        <v>45000000</v>
      </c>
      <c r="Z53">
        <f t="shared" si="16"/>
        <v>11175247.067319682</v>
      </c>
      <c r="AA53">
        <f t="shared" si="17"/>
        <v>0</v>
      </c>
      <c r="AB53">
        <f t="shared" si="18"/>
        <v>0</v>
      </c>
      <c r="AC53">
        <f t="shared" si="19"/>
        <v>0</v>
      </c>
    </row>
    <row r="54" spans="1:29" x14ac:dyDescent="0.2">
      <c r="A54">
        <v>53</v>
      </c>
      <c r="B54">
        <f>LoanPool!L54</f>
        <v>780885.5522827286</v>
      </c>
      <c r="C54">
        <f>LoanPool!M54</f>
        <v>1776670.488290939</v>
      </c>
      <c r="D54">
        <f>LoanPool!H54</f>
        <v>55658.203829944228</v>
      </c>
      <c r="E54">
        <f t="shared" si="20"/>
        <v>122312879.16873243</v>
      </c>
      <c r="F54">
        <f t="shared" si="21"/>
        <v>45000000</v>
      </c>
      <c r="G54">
        <f t="shared" si="22"/>
        <v>11175247.067319682</v>
      </c>
      <c r="H54">
        <f t="shared" si="0"/>
        <v>55658.203829944228</v>
      </c>
      <c r="I54">
        <f t="shared" si="1"/>
        <v>0</v>
      </c>
      <c r="J54">
        <f t="shared" si="2"/>
        <v>0</v>
      </c>
      <c r="K54">
        <f t="shared" si="3"/>
        <v>122312879.16873243</v>
      </c>
      <c r="L54">
        <f t="shared" si="4"/>
        <v>45000000</v>
      </c>
      <c r="M54">
        <f t="shared" si="5"/>
        <v>11119588.863489738</v>
      </c>
      <c r="N54">
        <f>K54*Inputs!B6/12</f>
        <v>586082.54601684294</v>
      </c>
      <c r="O54">
        <f t="shared" si="6"/>
        <v>586082.54601684294</v>
      </c>
      <c r="P54">
        <f t="shared" si="7"/>
        <v>0</v>
      </c>
      <c r="Q54">
        <f>L54*Inputs!B6/12</f>
        <v>215625</v>
      </c>
      <c r="R54">
        <f t="shared" si="8"/>
        <v>194803.00626588566</v>
      </c>
      <c r="S54">
        <f t="shared" si="9"/>
        <v>20821.993734114338</v>
      </c>
      <c r="T54">
        <f t="shared" si="10"/>
        <v>0</v>
      </c>
      <c r="U54">
        <f t="shared" si="11"/>
        <v>1776670.488290939</v>
      </c>
      <c r="V54">
        <f t="shared" si="12"/>
        <v>0</v>
      </c>
      <c r="W54">
        <f t="shared" si="13"/>
        <v>0</v>
      </c>
      <c r="X54">
        <f t="shared" si="14"/>
        <v>120536208.6804415</v>
      </c>
      <c r="Y54">
        <f t="shared" si="15"/>
        <v>45000000</v>
      </c>
      <c r="Z54">
        <f t="shared" si="16"/>
        <v>11119588.863489738</v>
      </c>
      <c r="AA54">
        <f t="shared" si="17"/>
        <v>0</v>
      </c>
      <c r="AB54">
        <f t="shared" si="18"/>
        <v>0</v>
      </c>
      <c r="AC54">
        <f t="shared" si="19"/>
        <v>0</v>
      </c>
    </row>
    <row r="55" spans="1:29" x14ac:dyDescent="0.2">
      <c r="A55">
        <v>54</v>
      </c>
      <c r="B55">
        <f>LoanPool!L55</f>
        <v>772869.11425469967</v>
      </c>
      <c r="C55">
        <f>LoanPool!M55</f>
        <v>1760987.192264416</v>
      </c>
      <c r="D55">
        <f>LoanPool!H55</f>
        <v>55086.0212325303</v>
      </c>
      <c r="E55">
        <f t="shared" si="20"/>
        <v>120536208.6804415</v>
      </c>
      <c r="F55">
        <f t="shared" si="21"/>
        <v>45000000</v>
      </c>
      <c r="G55">
        <f t="shared" si="22"/>
        <v>11119588.863489738</v>
      </c>
      <c r="H55">
        <f t="shared" si="0"/>
        <v>55086.0212325303</v>
      </c>
      <c r="I55">
        <f t="shared" si="1"/>
        <v>0</v>
      </c>
      <c r="J55">
        <f t="shared" si="2"/>
        <v>0</v>
      </c>
      <c r="K55">
        <f t="shared" si="3"/>
        <v>120536208.6804415</v>
      </c>
      <c r="L55">
        <f t="shared" si="4"/>
        <v>45000000</v>
      </c>
      <c r="M55">
        <f t="shared" si="5"/>
        <v>11064502.842257207</v>
      </c>
      <c r="N55">
        <f>K55*Inputs!B6/12</f>
        <v>577569.33326044888</v>
      </c>
      <c r="O55">
        <f t="shared" si="6"/>
        <v>577569.33326044888</v>
      </c>
      <c r="P55">
        <f t="shared" si="7"/>
        <v>0</v>
      </c>
      <c r="Q55">
        <f>L55*Inputs!B6/12</f>
        <v>215625</v>
      </c>
      <c r="R55">
        <f t="shared" si="8"/>
        <v>195299.78099425079</v>
      </c>
      <c r="S55">
        <f t="shared" si="9"/>
        <v>20325.219005749212</v>
      </c>
      <c r="T55">
        <f t="shared" si="10"/>
        <v>0</v>
      </c>
      <c r="U55">
        <f t="shared" si="11"/>
        <v>1760987.192264416</v>
      </c>
      <c r="V55">
        <f t="shared" si="12"/>
        <v>0</v>
      </c>
      <c r="W55">
        <f t="shared" si="13"/>
        <v>0</v>
      </c>
      <c r="X55">
        <f t="shared" si="14"/>
        <v>118775221.48817708</v>
      </c>
      <c r="Y55">
        <f t="shared" si="15"/>
        <v>45000000</v>
      </c>
      <c r="Z55">
        <f t="shared" si="16"/>
        <v>11064502.842257207</v>
      </c>
      <c r="AA55">
        <f t="shared" si="17"/>
        <v>0</v>
      </c>
      <c r="AB55">
        <f t="shared" si="18"/>
        <v>0</v>
      </c>
      <c r="AC55">
        <f t="shared" si="19"/>
        <v>0</v>
      </c>
    </row>
    <row r="56" spans="1:29" x14ac:dyDescent="0.2">
      <c r="A56">
        <v>55</v>
      </c>
      <c r="B56">
        <f>LoanPool!L56</f>
        <v>764923.79394565057</v>
      </c>
      <c r="C56">
        <f>LoanPool!M56</f>
        <v>1745436.0668539139</v>
      </c>
      <c r="D56">
        <f>LoanPool!H56</f>
        <v>54518.916938386079</v>
      </c>
      <c r="E56">
        <f t="shared" si="20"/>
        <v>118775221.48817708</v>
      </c>
      <c r="F56">
        <f t="shared" si="21"/>
        <v>45000000</v>
      </c>
      <c r="G56">
        <f t="shared" si="22"/>
        <v>11064502.842257207</v>
      </c>
      <c r="H56">
        <f t="shared" si="0"/>
        <v>54518.916938386079</v>
      </c>
      <c r="I56">
        <f t="shared" si="1"/>
        <v>0</v>
      </c>
      <c r="J56">
        <f t="shared" si="2"/>
        <v>0</v>
      </c>
      <c r="K56">
        <f t="shared" si="3"/>
        <v>118775221.48817708</v>
      </c>
      <c r="L56">
        <f t="shared" si="4"/>
        <v>45000000</v>
      </c>
      <c r="M56">
        <f t="shared" si="5"/>
        <v>11009983.92531882</v>
      </c>
      <c r="N56">
        <f>K56*Inputs!B6/12</f>
        <v>569131.26963084855</v>
      </c>
      <c r="O56">
        <f t="shared" si="6"/>
        <v>569131.26963084855</v>
      </c>
      <c r="P56">
        <f t="shared" si="7"/>
        <v>0</v>
      </c>
      <c r="Q56">
        <f>L56*Inputs!B6/12</f>
        <v>215625</v>
      </c>
      <c r="R56">
        <f t="shared" si="8"/>
        <v>195792.52431480202</v>
      </c>
      <c r="S56">
        <f t="shared" si="9"/>
        <v>19832.475685197976</v>
      </c>
      <c r="T56">
        <f t="shared" si="10"/>
        <v>0</v>
      </c>
      <c r="U56">
        <f t="shared" si="11"/>
        <v>1745436.0668539139</v>
      </c>
      <c r="V56">
        <f t="shared" si="12"/>
        <v>0</v>
      </c>
      <c r="W56">
        <f t="shared" si="13"/>
        <v>0</v>
      </c>
      <c r="X56">
        <f t="shared" si="14"/>
        <v>117029785.42132317</v>
      </c>
      <c r="Y56">
        <f t="shared" si="15"/>
        <v>45000000</v>
      </c>
      <c r="Z56">
        <f t="shared" si="16"/>
        <v>11009983.92531882</v>
      </c>
      <c r="AA56">
        <f t="shared" si="17"/>
        <v>0</v>
      </c>
      <c r="AB56">
        <f t="shared" si="18"/>
        <v>0</v>
      </c>
      <c r="AC56">
        <f t="shared" si="19"/>
        <v>0</v>
      </c>
    </row>
    <row r="57" spans="1:29" x14ac:dyDescent="0.2">
      <c r="A57">
        <v>56</v>
      </c>
      <c r="B57">
        <f>LoanPool!L57</f>
        <v>757048.99089155917</v>
      </c>
      <c r="C57">
        <f>LoanPool!M57</f>
        <v>1730016.0180667546</v>
      </c>
      <c r="D57">
        <f>LoanPool!H57</f>
        <v>53956.848063259225</v>
      </c>
      <c r="E57">
        <f t="shared" si="20"/>
        <v>117029785.42132317</v>
      </c>
      <c r="F57">
        <f t="shared" si="21"/>
        <v>45000000</v>
      </c>
      <c r="G57">
        <f t="shared" si="22"/>
        <v>11009983.92531882</v>
      </c>
      <c r="H57">
        <f t="shared" si="0"/>
        <v>53956.848063259225</v>
      </c>
      <c r="I57">
        <f t="shared" si="1"/>
        <v>0</v>
      </c>
      <c r="J57">
        <f t="shared" si="2"/>
        <v>0</v>
      </c>
      <c r="K57">
        <f t="shared" si="3"/>
        <v>117029785.42132317</v>
      </c>
      <c r="L57">
        <f t="shared" si="4"/>
        <v>45000000</v>
      </c>
      <c r="M57">
        <f t="shared" si="5"/>
        <v>10956027.077255562</v>
      </c>
      <c r="N57">
        <f>K57*Inputs!B6/12</f>
        <v>560767.72181050689</v>
      </c>
      <c r="O57">
        <f t="shared" si="6"/>
        <v>560767.72181050689</v>
      </c>
      <c r="P57">
        <f t="shared" si="7"/>
        <v>0</v>
      </c>
      <c r="Q57">
        <f>L57*Inputs!B6/12</f>
        <v>215625</v>
      </c>
      <c r="R57">
        <f t="shared" si="8"/>
        <v>196281.26908105228</v>
      </c>
      <c r="S57">
        <f t="shared" si="9"/>
        <v>19343.730918947724</v>
      </c>
      <c r="T57">
        <f t="shared" si="10"/>
        <v>0</v>
      </c>
      <c r="U57">
        <f t="shared" si="11"/>
        <v>1730016.0180667546</v>
      </c>
      <c r="V57">
        <f t="shared" si="12"/>
        <v>0</v>
      </c>
      <c r="W57">
        <f t="shared" si="13"/>
        <v>0</v>
      </c>
      <c r="X57">
        <f t="shared" si="14"/>
        <v>115299769.40325642</v>
      </c>
      <c r="Y57">
        <f t="shared" si="15"/>
        <v>45000000</v>
      </c>
      <c r="Z57">
        <f t="shared" si="16"/>
        <v>10956027.077255562</v>
      </c>
      <c r="AA57">
        <f t="shared" si="17"/>
        <v>0</v>
      </c>
      <c r="AB57">
        <f t="shared" si="18"/>
        <v>0</v>
      </c>
      <c r="AC57">
        <f t="shared" si="19"/>
        <v>0</v>
      </c>
    </row>
    <row r="58" spans="1:29" x14ac:dyDescent="0.2">
      <c r="A58">
        <v>57</v>
      </c>
      <c r="B58">
        <f>LoanPool!L58</f>
        <v>749244.10960224038</v>
      </c>
      <c r="C58">
        <f>LoanPool!M58</f>
        <v>1714725.9608994154</v>
      </c>
      <c r="D58">
        <f>LoanPool!H58</f>
        <v>53399.772078144371</v>
      </c>
      <c r="E58">
        <f t="shared" si="20"/>
        <v>115299769.40325642</v>
      </c>
      <c r="F58">
        <f t="shared" si="21"/>
        <v>45000000</v>
      </c>
      <c r="G58">
        <f t="shared" si="22"/>
        <v>10956027.077255562</v>
      </c>
      <c r="H58">
        <f t="shared" si="0"/>
        <v>53399.772078144371</v>
      </c>
      <c r="I58">
        <f t="shared" si="1"/>
        <v>0</v>
      </c>
      <c r="J58">
        <f t="shared" si="2"/>
        <v>0</v>
      </c>
      <c r="K58">
        <f t="shared" si="3"/>
        <v>115299769.40325642</v>
      </c>
      <c r="L58">
        <f t="shared" si="4"/>
        <v>45000000</v>
      </c>
      <c r="M58">
        <f t="shared" si="5"/>
        <v>10902627.305177417</v>
      </c>
      <c r="N58">
        <f>K58*Inputs!B6/12</f>
        <v>552478.06172393705</v>
      </c>
      <c r="O58">
        <f t="shared" si="6"/>
        <v>552478.06172393705</v>
      </c>
      <c r="P58">
        <f t="shared" si="7"/>
        <v>0</v>
      </c>
      <c r="Q58">
        <f>L58*Inputs!B6/12</f>
        <v>215625</v>
      </c>
      <c r="R58">
        <f t="shared" si="8"/>
        <v>196766.04787830333</v>
      </c>
      <c r="S58">
        <f t="shared" si="9"/>
        <v>18858.952121696668</v>
      </c>
      <c r="T58">
        <f t="shared" si="10"/>
        <v>0</v>
      </c>
      <c r="U58">
        <f t="shared" si="11"/>
        <v>1714725.9608994154</v>
      </c>
      <c r="V58">
        <f t="shared" si="12"/>
        <v>0</v>
      </c>
      <c r="W58">
        <f t="shared" si="13"/>
        <v>0</v>
      </c>
      <c r="X58">
        <f t="shared" si="14"/>
        <v>113585043.442357</v>
      </c>
      <c r="Y58">
        <f t="shared" si="15"/>
        <v>45000000</v>
      </c>
      <c r="Z58">
        <f t="shared" si="16"/>
        <v>10902627.305177417</v>
      </c>
      <c r="AA58">
        <f t="shared" si="17"/>
        <v>0</v>
      </c>
      <c r="AB58">
        <f t="shared" si="18"/>
        <v>0</v>
      </c>
      <c r="AC58">
        <f t="shared" si="19"/>
        <v>0</v>
      </c>
    </row>
    <row r="59" spans="1:29" x14ac:dyDescent="0.2">
      <c r="A59">
        <v>58</v>
      </c>
      <c r="B59">
        <f>LoanPool!L59</f>
        <v>741508.55952046346</v>
      </c>
      <c r="C59">
        <f>LoanPool!M59</f>
        <v>1699564.8192638936</v>
      </c>
      <c r="D59">
        <f>LoanPool!H59</f>
        <v>52847.64680636314</v>
      </c>
      <c r="E59">
        <f t="shared" si="20"/>
        <v>113585043.442357</v>
      </c>
      <c r="F59">
        <f t="shared" si="21"/>
        <v>45000000</v>
      </c>
      <c r="G59">
        <f t="shared" si="22"/>
        <v>10902627.305177417</v>
      </c>
      <c r="H59">
        <f t="shared" si="0"/>
        <v>52847.64680636314</v>
      </c>
      <c r="I59">
        <f t="shared" si="1"/>
        <v>0</v>
      </c>
      <c r="J59">
        <f t="shared" si="2"/>
        <v>0</v>
      </c>
      <c r="K59">
        <f t="shared" si="3"/>
        <v>113585043.442357</v>
      </c>
      <c r="L59">
        <f t="shared" si="4"/>
        <v>45000000</v>
      </c>
      <c r="M59">
        <f t="shared" si="5"/>
        <v>10849779.658371054</v>
      </c>
      <c r="N59">
        <f>K59*Inputs!B6/12</f>
        <v>544261.66649462737</v>
      </c>
      <c r="O59">
        <f t="shared" si="6"/>
        <v>544261.66649462737</v>
      </c>
      <c r="P59">
        <f t="shared" si="7"/>
        <v>0</v>
      </c>
      <c r="Q59">
        <f>L59*Inputs!B6/12</f>
        <v>215625</v>
      </c>
      <c r="R59">
        <f t="shared" si="8"/>
        <v>197246.89302583609</v>
      </c>
      <c r="S59">
        <f t="shared" si="9"/>
        <v>18378.106974163908</v>
      </c>
      <c r="T59">
        <f t="shared" si="10"/>
        <v>0</v>
      </c>
      <c r="U59">
        <f t="shared" si="11"/>
        <v>1699564.8192638936</v>
      </c>
      <c r="V59">
        <f t="shared" si="12"/>
        <v>0</v>
      </c>
      <c r="W59">
        <f t="shared" si="13"/>
        <v>0</v>
      </c>
      <c r="X59">
        <f t="shared" si="14"/>
        <v>111885478.62309311</v>
      </c>
      <c r="Y59">
        <f t="shared" si="15"/>
        <v>45000000</v>
      </c>
      <c r="Z59">
        <f t="shared" si="16"/>
        <v>10849779.658371054</v>
      </c>
      <c r="AA59">
        <f t="shared" si="17"/>
        <v>0</v>
      </c>
      <c r="AB59">
        <f t="shared" si="18"/>
        <v>0</v>
      </c>
      <c r="AC59">
        <f t="shared" si="19"/>
        <v>0</v>
      </c>
    </row>
    <row r="60" spans="1:29" x14ac:dyDescent="0.2">
      <c r="A60">
        <v>59</v>
      </c>
      <c r="B60">
        <f>LoanPool!L60</f>
        <v>733841.75498140615</v>
      </c>
      <c r="C60">
        <f>LoanPool!M60</f>
        <v>1684531.5259146641</v>
      </c>
      <c r="D60">
        <f>LoanPool!H60</f>
        <v>52300.430420668054</v>
      </c>
      <c r="E60">
        <f t="shared" si="20"/>
        <v>111885478.62309311</v>
      </c>
      <c r="F60">
        <f t="shared" si="21"/>
        <v>45000000</v>
      </c>
      <c r="G60">
        <f t="shared" si="22"/>
        <v>10849779.658371054</v>
      </c>
      <c r="H60">
        <f t="shared" si="0"/>
        <v>52300.430420668054</v>
      </c>
      <c r="I60">
        <f t="shared" si="1"/>
        <v>0</v>
      </c>
      <c r="J60">
        <f t="shared" si="2"/>
        <v>0</v>
      </c>
      <c r="K60">
        <f t="shared" si="3"/>
        <v>111885478.62309311</v>
      </c>
      <c r="L60">
        <f t="shared" si="4"/>
        <v>45000000</v>
      </c>
      <c r="M60">
        <f t="shared" si="5"/>
        <v>10797479.227950385</v>
      </c>
      <c r="N60">
        <f>K60*Inputs!B6/12</f>
        <v>536117.91840232117</v>
      </c>
      <c r="O60">
        <f t="shared" si="6"/>
        <v>536117.91840232117</v>
      </c>
      <c r="P60">
        <f t="shared" si="7"/>
        <v>0</v>
      </c>
      <c r="Q60">
        <f>L60*Inputs!B6/12</f>
        <v>215625</v>
      </c>
      <c r="R60">
        <f t="shared" si="8"/>
        <v>197723.83657908498</v>
      </c>
      <c r="S60">
        <f t="shared" si="9"/>
        <v>17901.163420915022</v>
      </c>
      <c r="T60">
        <f t="shared" si="10"/>
        <v>0</v>
      </c>
      <c r="U60">
        <f t="shared" si="11"/>
        <v>1684531.5259146641</v>
      </c>
      <c r="V60">
        <f t="shared" si="12"/>
        <v>0</v>
      </c>
      <c r="W60">
        <f t="shared" si="13"/>
        <v>0</v>
      </c>
      <c r="X60">
        <f t="shared" si="14"/>
        <v>110200947.09717844</v>
      </c>
      <c r="Y60">
        <f t="shared" si="15"/>
        <v>45000000</v>
      </c>
      <c r="Z60">
        <f t="shared" si="16"/>
        <v>10797479.227950385</v>
      </c>
      <c r="AA60">
        <f t="shared" si="17"/>
        <v>0</v>
      </c>
      <c r="AB60">
        <f t="shared" si="18"/>
        <v>0</v>
      </c>
      <c r="AC60">
        <f t="shared" si="19"/>
        <v>0</v>
      </c>
    </row>
    <row r="61" spans="1:29" x14ac:dyDescent="0.2">
      <c r="A61">
        <v>60</v>
      </c>
      <c r="B61">
        <f>LoanPool!L61</f>
        <v>726243.11517243902</v>
      </c>
      <c r="C61">
        <f>LoanPool!M61</f>
        <v>1669625.0223762454</v>
      </c>
      <c r="D61">
        <f>LoanPool!H61</f>
        <v>51758.081440370246</v>
      </c>
      <c r="E61">
        <f t="shared" si="20"/>
        <v>110200947.09717844</v>
      </c>
      <c r="F61">
        <f t="shared" si="21"/>
        <v>45000000</v>
      </c>
      <c r="G61">
        <f t="shared" si="22"/>
        <v>10797479.227950385</v>
      </c>
      <c r="H61">
        <f t="shared" si="0"/>
        <v>51758.081440370246</v>
      </c>
      <c r="I61">
        <f t="shared" si="1"/>
        <v>0</v>
      </c>
      <c r="J61">
        <f t="shared" si="2"/>
        <v>0</v>
      </c>
      <c r="K61">
        <f t="shared" si="3"/>
        <v>110200947.09717844</v>
      </c>
      <c r="L61">
        <f t="shared" si="4"/>
        <v>45000000</v>
      </c>
      <c r="M61">
        <f t="shared" si="5"/>
        <v>10745721.146510014</v>
      </c>
      <c r="N61">
        <f>K61*Inputs!B6/12</f>
        <v>528046.20484064671</v>
      </c>
      <c r="O61">
        <f t="shared" si="6"/>
        <v>528046.20484064671</v>
      </c>
      <c r="P61">
        <f t="shared" si="7"/>
        <v>0</v>
      </c>
      <c r="Q61">
        <f>L61*Inputs!B6/12</f>
        <v>215625</v>
      </c>
      <c r="R61">
        <f t="shared" si="8"/>
        <v>198196.91033179231</v>
      </c>
      <c r="S61">
        <f t="shared" si="9"/>
        <v>17428.089668207685</v>
      </c>
      <c r="T61">
        <f t="shared" si="10"/>
        <v>0</v>
      </c>
      <c r="U61">
        <f t="shared" si="11"/>
        <v>1669625.0223762454</v>
      </c>
      <c r="V61">
        <f t="shared" si="12"/>
        <v>0</v>
      </c>
      <c r="W61">
        <f t="shared" si="13"/>
        <v>0</v>
      </c>
      <c r="X61">
        <f t="shared" si="14"/>
        <v>108531322.0748022</v>
      </c>
      <c r="Y61">
        <f t="shared" si="15"/>
        <v>45000000</v>
      </c>
      <c r="Z61">
        <f t="shared" si="16"/>
        <v>10745721.146510014</v>
      </c>
      <c r="AA61">
        <f t="shared" si="17"/>
        <v>0</v>
      </c>
      <c r="AB61">
        <f t="shared" si="18"/>
        <v>0</v>
      </c>
      <c r="AC61">
        <f t="shared" si="19"/>
        <v>0</v>
      </c>
    </row>
    <row r="62" spans="1:29" x14ac:dyDescent="0.2">
      <c r="A62">
        <v>61</v>
      </c>
      <c r="B62">
        <f>LoanPool!L62</f>
        <v>718712.06409324135</v>
      </c>
      <c r="C62">
        <f>LoanPool!M62</f>
        <v>1654844.2588713476</v>
      </c>
      <c r="D62">
        <f>LoanPool!H62</f>
        <v>51220.558728490643</v>
      </c>
      <c r="E62">
        <f t="shared" si="20"/>
        <v>108531322.0748022</v>
      </c>
      <c r="F62">
        <f t="shared" si="21"/>
        <v>45000000</v>
      </c>
      <c r="G62">
        <f t="shared" si="22"/>
        <v>10745721.146510014</v>
      </c>
      <c r="H62">
        <f t="shared" si="0"/>
        <v>51220.558728490643</v>
      </c>
      <c r="I62">
        <f t="shared" si="1"/>
        <v>0</v>
      </c>
      <c r="J62">
        <f t="shared" si="2"/>
        <v>0</v>
      </c>
      <c r="K62">
        <f t="shared" si="3"/>
        <v>108531322.0748022</v>
      </c>
      <c r="L62">
        <f t="shared" si="4"/>
        <v>45000000</v>
      </c>
      <c r="M62">
        <f t="shared" si="5"/>
        <v>10694500.587781524</v>
      </c>
      <c r="N62">
        <f>K62*Inputs!B6/12</f>
        <v>520045.91827509389</v>
      </c>
      <c r="O62">
        <f t="shared" si="6"/>
        <v>520045.91827509389</v>
      </c>
      <c r="P62">
        <f t="shared" si="7"/>
        <v>0</v>
      </c>
      <c r="Q62">
        <f>L62*Inputs!B6/12</f>
        <v>215625</v>
      </c>
      <c r="R62">
        <f t="shared" si="8"/>
        <v>198666.14581814746</v>
      </c>
      <c r="S62">
        <f t="shared" si="9"/>
        <v>16958.854181852541</v>
      </c>
      <c r="T62">
        <f t="shared" si="10"/>
        <v>0</v>
      </c>
      <c r="U62">
        <f t="shared" si="11"/>
        <v>1654844.2588713476</v>
      </c>
      <c r="V62">
        <f t="shared" si="12"/>
        <v>0</v>
      </c>
      <c r="W62">
        <f t="shared" si="13"/>
        <v>0</v>
      </c>
      <c r="X62">
        <f t="shared" si="14"/>
        <v>106876477.81593086</v>
      </c>
      <c r="Y62">
        <f t="shared" si="15"/>
        <v>45000000</v>
      </c>
      <c r="Z62">
        <f t="shared" si="16"/>
        <v>10694500.587781524</v>
      </c>
      <c r="AA62">
        <f t="shared" si="17"/>
        <v>0</v>
      </c>
      <c r="AB62">
        <f t="shared" si="18"/>
        <v>0</v>
      </c>
      <c r="AC62">
        <f t="shared" si="19"/>
        <v>0</v>
      </c>
    </row>
    <row r="63" spans="1:29" x14ac:dyDescent="0.2">
      <c r="A63">
        <v>62</v>
      </c>
      <c r="B63">
        <f>LoanPool!L63</f>
        <v>711248.03051624203</v>
      </c>
      <c r="C63">
        <f>LoanPool!M63</f>
        <v>1640188.1942496183</v>
      </c>
      <c r="D63">
        <f>LoanPool!H63</f>
        <v>50687.821488934511</v>
      </c>
      <c r="E63">
        <f t="shared" si="20"/>
        <v>106876477.81593086</v>
      </c>
      <c r="F63">
        <f t="shared" si="21"/>
        <v>45000000</v>
      </c>
      <c r="G63">
        <f t="shared" si="22"/>
        <v>10694500.587781524</v>
      </c>
      <c r="H63">
        <f t="shared" si="0"/>
        <v>50687.821488934511</v>
      </c>
      <c r="I63">
        <f t="shared" si="1"/>
        <v>0</v>
      </c>
      <c r="J63">
        <f t="shared" si="2"/>
        <v>0</v>
      </c>
      <c r="K63">
        <f t="shared" si="3"/>
        <v>106876477.81593086</v>
      </c>
      <c r="L63">
        <f t="shared" si="4"/>
        <v>45000000</v>
      </c>
      <c r="M63">
        <f t="shared" si="5"/>
        <v>10643812.766292591</v>
      </c>
      <c r="N63">
        <f>K63*Inputs!B6/12</f>
        <v>512116.45620133542</v>
      </c>
      <c r="O63">
        <f t="shared" si="6"/>
        <v>512116.45620133542</v>
      </c>
      <c r="P63">
        <f t="shared" si="7"/>
        <v>0</v>
      </c>
      <c r="Q63">
        <f>L63*Inputs!B6/12</f>
        <v>215625</v>
      </c>
      <c r="R63">
        <f t="shared" si="8"/>
        <v>199131.57431490661</v>
      </c>
      <c r="S63">
        <f t="shared" si="9"/>
        <v>16493.425685093389</v>
      </c>
      <c r="T63">
        <f t="shared" si="10"/>
        <v>0</v>
      </c>
      <c r="U63">
        <f t="shared" si="11"/>
        <v>1640188.1942496183</v>
      </c>
      <c r="V63">
        <f t="shared" si="12"/>
        <v>0</v>
      </c>
      <c r="W63">
        <f t="shared" si="13"/>
        <v>0</v>
      </c>
      <c r="X63">
        <f t="shared" si="14"/>
        <v>105236289.62168124</v>
      </c>
      <c r="Y63">
        <f t="shared" si="15"/>
        <v>45000000</v>
      </c>
      <c r="Z63">
        <f t="shared" si="16"/>
        <v>10643812.766292591</v>
      </c>
      <c r="AA63">
        <f t="shared" si="17"/>
        <v>0</v>
      </c>
      <c r="AB63">
        <f t="shared" si="18"/>
        <v>0</v>
      </c>
      <c r="AC63">
        <f t="shared" si="19"/>
        <v>0</v>
      </c>
    </row>
    <row r="64" spans="1:29" x14ac:dyDescent="0.2">
      <c r="A64">
        <v>63</v>
      </c>
      <c r="B64">
        <f>LoanPool!L64</f>
        <v>703850.44794738595</v>
      </c>
      <c r="C64">
        <f>LoanPool!M64</f>
        <v>1625655.7959169629</v>
      </c>
      <c r="D64">
        <f>LoanPool!H64</f>
        <v>50159.829263689178</v>
      </c>
      <c r="E64">
        <f t="shared" si="20"/>
        <v>105236289.62168124</v>
      </c>
      <c r="F64">
        <f t="shared" si="21"/>
        <v>45000000</v>
      </c>
      <c r="G64">
        <f t="shared" si="22"/>
        <v>10643812.766292591</v>
      </c>
      <c r="H64">
        <f t="shared" si="0"/>
        <v>50159.829263689178</v>
      </c>
      <c r="I64">
        <f t="shared" si="1"/>
        <v>0</v>
      </c>
      <c r="J64">
        <f t="shared" si="2"/>
        <v>0</v>
      </c>
      <c r="K64">
        <f t="shared" si="3"/>
        <v>105236289.62168124</v>
      </c>
      <c r="L64">
        <f t="shared" si="4"/>
        <v>45000000</v>
      </c>
      <c r="M64">
        <f t="shared" si="5"/>
        <v>10593652.937028902</v>
      </c>
      <c r="N64">
        <f>K64*Inputs!B6/12</f>
        <v>504257.22110388934</v>
      </c>
      <c r="O64">
        <f t="shared" si="6"/>
        <v>504257.22110388934</v>
      </c>
      <c r="P64">
        <f t="shared" si="7"/>
        <v>0</v>
      </c>
      <c r="Q64">
        <f>L64*Inputs!B6/12</f>
        <v>215625</v>
      </c>
      <c r="R64">
        <f t="shared" si="8"/>
        <v>199593.22684349661</v>
      </c>
      <c r="S64">
        <f t="shared" si="9"/>
        <v>16031.77315650339</v>
      </c>
      <c r="T64">
        <f t="shared" si="10"/>
        <v>0</v>
      </c>
      <c r="U64">
        <f t="shared" si="11"/>
        <v>1625655.7959169629</v>
      </c>
      <c r="V64">
        <f t="shared" si="12"/>
        <v>0</v>
      </c>
      <c r="W64">
        <f t="shared" si="13"/>
        <v>0</v>
      </c>
      <c r="X64">
        <f t="shared" si="14"/>
        <v>103610633.82576428</v>
      </c>
      <c r="Y64">
        <f t="shared" si="15"/>
        <v>45000000</v>
      </c>
      <c r="Z64">
        <f t="shared" si="16"/>
        <v>10593652.937028902</v>
      </c>
      <c r="AA64">
        <f t="shared" si="17"/>
        <v>0</v>
      </c>
      <c r="AB64">
        <f t="shared" si="18"/>
        <v>0</v>
      </c>
      <c r="AC64">
        <f t="shared" si="19"/>
        <v>0</v>
      </c>
    </row>
    <row r="65" spans="1:29" x14ac:dyDescent="0.2">
      <c r="A65">
        <v>64</v>
      </c>
      <c r="B65">
        <f>LoanPool!L65</f>
        <v>696518.75458722049</v>
      </c>
      <c r="C65">
        <f>LoanPool!M65</f>
        <v>1611246.0397654492</v>
      </c>
      <c r="D65">
        <f>LoanPool!H65</f>
        <v>49636.541930044637</v>
      </c>
      <c r="E65">
        <f t="shared" si="20"/>
        <v>103610633.82576428</v>
      </c>
      <c r="F65">
        <f t="shared" si="21"/>
        <v>45000000</v>
      </c>
      <c r="G65">
        <f t="shared" si="22"/>
        <v>10593652.937028902</v>
      </c>
      <c r="H65">
        <f t="shared" si="0"/>
        <v>49636.541930044637</v>
      </c>
      <c r="I65">
        <f t="shared" si="1"/>
        <v>0</v>
      </c>
      <c r="J65">
        <f t="shared" si="2"/>
        <v>0</v>
      </c>
      <c r="K65">
        <f t="shared" si="3"/>
        <v>103610633.82576428</v>
      </c>
      <c r="L65">
        <f t="shared" si="4"/>
        <v>45000000</v>
      </c>
      <c r="M65">
        <f t="shared" si="5"/>
        <v>10544016.395098858</v>
      </c>
      <c r="N65">
        <f>K65*Inputs!B6/12</f>
        <v>496467.62041512056</v>
      </c>
      <c r="O65">
        <f t="shared" si="6"/>
        <v>496467.62041512056</v>
      </c>
      <c r="P65">
        <f t="shared" si="7"/>
        <v>0</v>
      </c>
      <c r="Q65">
        <f>L65*Inputs!B6/12</f>
        <v>215625</v>
      </c>
      <c r="R65">
        <f t="shared" si="8"/>
        <v>200051.13417209993</v>
      </c>
      <c r="S65">
        <f t="shared" si="9"/>
        <v>15573.865827900067</v>
      </c>
      <c r="T65">
        <f t="shared" si="10"/>
        <v>0</v>
      </c>
      <c r="U65">
        <f t="shared" si="11"/>
        <v>1611246.0397654492</v>
      </c>
      <c r="V65">
        <f t="shared" si="12"/>
        <v>0</v>
      </c>
      <c r="W65">
        <f t="shared" si="13"/>
        <v>0</v>
      </c>
      <c r="X65">
        <f t="shared" si="14"/>
        <v>101999387.78599884</v>
      </c>
      <c r="Y65">
        <f t="shared" si="15"/>
        <v>45000000</v>
      </c>
      <c r="Z65">
        <f t="shared" si="16"/>
        <v>10544016.395098858</v>
      </c>
      <c r="AA65">
        <f t="shared" si="17"/>
        <v>0</v>
      </c>
      <c r="AB65">
        <f t="shared" si="18"/>
        <v>0</v>
      </c>
      <c r="AC65">
        <f t="shared" si="19"/>
        <v>0</v>
      </c>
    </row>
    <row r="66" spans="1:29" x14ac:dyDescent="0.2">
      <c r="A66">
        <v>65</v>
      </c>
      <c r="B66">
        <f>LoanPool!L66</f>
        <v>689252.39329230262</v>
      </c>
      <c r="C66">
        <f>LoanPool!M66</f>
        <v>1596957.910103783</v>
      </c>
      <c r="D66">
        <f>LoanPool!H66</f>
        <v>49117.91969783706</v>
      </c>
      <c r="E66">
        <f t="shared" si="20"/>
        <v>101999387.78599884</v>
      </c>
      <c r="F66">
        <f t="shared" si="21"/>
        <v>45000000</v>
      </c>
      <c r="G66">
        <f t="shared" si="22"/>
        <v>10544016.395098858</v>
      </c>
      <c r="H66">
        <f t="shared" ref="H66:H129" si="23">MIN(D66,G66)</f>
        <v>49117.91969783706</v>
      </c>
      <c r="I66">
        <f t="shared" ref="I66:I129" si="24">MIN(MAX(D66-H66,0),F66)</f>
        <v>0</v>
      </c>
      <c r="J66">
        <f t="shared" ref="J66:J129" si="25">MIN(MAX(D66-H66-I66,0),E66)</f>
        <v>0</v>
      </c>
      <c r="K66">
        <f t="shared" ref="K66:K129" si="26">MAX(E66-J66,0)</f>
        <v>101999387.78599884</v>
      </c>
      <c r="L66">
        <f t="shared" ref="L66:L129" si="27">MAX(F66-I66,0)</f>
        <v>45000000</v>
      </c>
      <c r="M66">
        <f t="shared" ref="M66:M129" si="28">MAX(G66-H66,0)</f>
        <v>10494898.47540102</v>
      </c>
      <c r="N66">
        <f>K66*Inputs!B6/12</f>
        <v>488747.06647457782</v>
      </c>
      <c r="O66">
        <f t="shared" ref="O66:O129" si="29">MIN(B66,N66)</f>
        <v>488747.06647457782</v>
      </c>
      <c r="P66">
        <f t="shared" ref="P66:P129" si="30">N66-O66</f>
        <v>0</v>
      </c>
      <c r="Q66">
        <f>L66*Inputs!B6/12</f>
        <v>215625</v>
      </c>
      <c r="R66">
        <f t="shared" ref="R66:R129" si="31">MIN(MAX(B66-O66,0),Q66)</f>
        <v>200505.3268177248</v>
      </c>
      <c r="S66">
        <f t="shared" ref="S66:S129" si="32">Q66-R66</f>
        <v>15119.673182275204</v>
      </c>
      <c r="T66">
        <f t="shared" ref="T66:T129" si="33">MAX(B66-O66-R66,0)</f>
        <v>0</v>
      </c>
      <c r="U66">
        <f t="shared" ref="U66:U129" si="34">MIN(C66,K66)</f>
        <v>1596957.910103783</v>
      </c>
      <c r="V66">
        <f t="shared" ref="V66:V129" si="35">MIN(MAX(C66-U66,0),L66)</f>
        <v>0</v>
      </c>
      <c r="W66">
        <f t="shared" ref="W66:W129" si="36">MIN(MAX(C66-U66-V66,0),M66)</f>
        <v>0</v>
      </c>
      <c r="X66">
        <f t="shared" ref="X66:X129" si="37">MAX(K66-U66,0)</f>
        <v>100402429.87589505</v>
      </c>
      <c r="Y66">
        <f t="shared" ref="Y66:Y129" si="38">MAX(L66-V66,0)</f>
        <v>45000000</v>
      </c>
      <c r="Z66">
        <f t="shared" ref="Z66:Z129" si="39">MAX(M66-W66,0)</f>
        <v>10494898.47540102</v>
      </c>
      <c r="AA66">
        <f t="shared" ref="AA66:AA129" si="40">C66-(U66+V66+W66)</f>
        <v>0</v>
      </c>
      <c r="AB66">
        <f t="shared" ref="AB66:AB129" si="41">B66-(O66+R66+T66)</f>
        <v>0</v>
      </c>
      <c r="AC66">
        <f t="shared" ref="AC66:AC129" si="42">D66-(H66+I66+J66)</f>
        <v>0</v>
      </c>
    </row>
    <row r="67" spans="1:29" x14ac:dyDescent="0.2">
      <c r="A67">
        <v>66</v>
      </c>
      <c r="B67">
        <f>LoanPool!L67</f>
        <v>682050.81153692061</v>
      </c>
      <c r="C67">
        <f>LoanPool!M67</f>
        <v>1582790.39958835</v>
      </c>
      <c r="D67">
        <f>LoanPool!H67</f>
        <v>48603.923106714741</v>
      </c>
      <c r="E67">
        <f t="shared" ref="E67:E130" si="43">X66</f>
        <v>100402429.87589505</v>
      </c>
      <c r="F67">
        <f t="shared" ref="F67:F130" si="44">Y66</f>
        <v>45000000</v>
      </c>
      <c r="G67">
        <f t="shared" ref="G67:G130" si="45">Z66</f>
        <v>10494898.47540102</v>
      </c>
      <c r="H67">
        <f t="shared" si="23"/>
        <v>48603.923106714741</v>
      </c>
      <c r="I67">
        <f t="shared" si="24"/>
        <v>0</v>
      </c>
      <c r="J67">
        <f t="shared" si="25"/>
        <v>0</v>
      </c>
      <c r="K67">
        <f t="shared" si="26"/>
        <v>100402429.87589505</v>
      </c>
      <c r="L67">
        <f t="shared" si="27"/>
        <v>45000000</v>
      </c>
      <c r="M67">
        <f t="shared" si="28"/>
        <v>10446294.552294305</v>
      </c>
      <c r="N67">
        <f>K67*Inputs!B6/12</f>
        <v>481094.97648866381</v>
      </c>
      <c r="O67">
        <f t="shared" si="29"/>
        <v>481094.97648866381</v>
      </c>
      <c r="P67">
        <f t="shared" si="30"/>
        <v>0</v>
      </c>
      <c r="Q67">
        <f>L67*Inputs!B6/12</f>
        <v>215625</v>
      </c>
      <c r="R67">
        <f t="shared" si="31"/>
        <v>200955.83504825679</v>
      </c>
      <c r="S67">
        <f t="shared" si="32"/>
        <v>14669.164951743209</v>
      </c>
      <c r="T67">
        <f t="shared" si="33"/>
        <v>0</v>
      </c>
      <c r="U67">
        <f t="shared" si="34"/>
        <v>1582790.39958835</v>
      </c>
      <c r="V67">
        <f t="shared" si="35"/>
        <v>0</v>
      </c>
      <c r="W67">
        <f t="shared" si="36"/>
        <v>0</v>
      </c>
      <c r="X67">
        <f t="shared" si="37"/>
        <v>98819639.476306707</v>
      </c>
      <c r="Y67">
        <f t="shared" si="38"/>
        <v>45000000</v>
      </c>
      <c r="Z67">
        <f t="shared" si="39"/>
        <v>10446294.552294305</v>
      </c>
      <c r="AA67">
        <f t="shared" si="40"/>
        <v>0</v>
      </c>
      <c r="AB67">
        <f t="shared" si="41"/>
        <v>0</v>
      </c>
      <c r="AC67">
        <f t="shared" si="42"/>
        <v>0</v>
      </c>
    </row>
    <row r="68" spans="1:29" x14ac:dyDescent="0.2">
      <c r="A68">
        <v>67</v>
      </c>
      <c r="B68">
        <f>LoanPool!L68</f>
        <v>674913.46137512964</v>
      </c>
      <c r="C68">
        <f>LoanPool!M68</f>
        <v>1568742.5091548313</v>
      </c>
      <c r="D68">
        <f>LoanPool!H68</f>
        <v>48094.513023426538</v>
      </c>
      <c r="E68">
        <f t="shared" si="43"/>
        <v>98819639.476306707</v>
      </c>
      <c r="F68">
        <f t="shared" si="44"/>
        <v>45000000</v>
      </c>
      <c r="G68">
        <f t="shared" si="45"/>
        <v>10446294.552294305</v>
      </c>
      <c r="H68">
        <f t="shared" si="23"/>
        <v>48094.513023426538</v>
      </c>
      <c r="I68">
        <f t="shared" si="24"/>
        <v>0</v>
      </c>
      <c r="J68">
        <f t="shared" si="25"/>
        <v>0</v>
      </c>
      <c r="K68">
        <f t="shared" si="26"/>
        <v>98819639.476306707</v>
      </c>
      <c r="L68">
        <f t="shared" si="27"/>
        <v>45000000</v>
      </c>
      <c r="M68">
        <f t="shared" si="28"/>
        <v>10398200.039270878</v>
      </c>
      <c r="N68">
        <f>K68*Inputs!B6/12</f>
        <v>473510.77249063627</v>
      </c>
      <c r="O68">
        <f t="shared" si="29"/>
        <v>473510.77249063627</v>
      </c>
      <c r="P68">
        <f t="shared" si="30"/>
        <v>0</v>
      </c>
      <c r="Q68">
        <f>L68*Inputs!B6/12</f>
        <v>215625</v>
      </c>
      <c r="R68">
        <f t="shared" si="31"/>
        <v>201402.68888449337</v>
      </c>
      <c r="S68">
        <f t="shared" si="32"/>
        <v>14222.311115506629</v>
      </c>
      <c r="T68">
        <f t="shared" si="33"/>
        <v>0</v>
      </c>
      <c r="U68">
        <f t="shared" si="34"/>
        <v>1568742.5091548313</v>
      </c>
      <c r="V68">
        <f t="shared" si="35"/>
        <v>0</v>
      </c>
      <c r="W68">
        <f t="shared" si="36"/>
        <v>0</v>
      </c>
      <c r="X68">
        <f t="shared" si="37"/>
        <v>97250896.96715188</v>
      </c>
      <c r="Y68">
        <f t="shared" si="38"/>
        <v>45000000</v>
      </c>
      <c r="Z68">
        <f t="shared" si="39"/>
        <v>10398200.039270878</v>
      </c>
      <c r="AA68">
        <f t="shared" si="40"/>
        <v>0</v>
      </c>
      <c r="AB68">
        <f t="shared" si="41"/>
        <v>0</v>
      </c>
      <c r="AC68">
        <f t="shared" si="42"/>
        <v>0</v>
      </c>
    </row>
    <row r="69" spans="1:29" x14ac:dyDescent="0.2">
      <c r="A69">
        <v>68</v>
      </c>
      <c r="B69">
        <f>LoanPool!L69</f>
        <v>667839.79940309981</v>
      </c>
      <c r="C69">
        <f>LoanPool!M69</f>
        <v>1554813.2479503646</v>
      </c>
      <c r="D69">
        <f>LoanPool!H69</f>
        <v>47589.650639132524</v>
      </c>
      <c r="E69">
        <f t="shared" si="43"/>
        <v>97250896.96715188</v>
      </c>
      <c r="F69">
        <f t="shared" si="44"/>
        <v>45000000</v>
      </c>
      <c r="G69">
        <f t="shared" si="45"/>
        <v>10398200.039270878</v>
      </c>
      <c r="H69">
        <f t="shared" si="23"/>
        <v>47589.650639132524</v>
      </c>
      <c r="I69">
        <f t="shared" si="24"/>
        <v>0</v>
      </c>
      <c r="J69">
        <f t="shared" si="25"/>
        <v>0</v>
      </c>
      <c r="K69">
        <f t="shared" si="26"/>
        <v>97250896.96715188</v>
      </c>
      <c r="L69">
        <f t="shared" si="27"/>
        <v>45000000</v>
      </c>
      <c r="M69">
        <f t="shared" si="28"/>
        <v>10350610.388631746</v>
      </c>
      <c r="N69">
        <f>K69*Inputs!B6/12</f>
        <v>465993.88130093616</v>
      </c>
      <c r="O69">
        <f t="shared" si="29"/>
        <v>465993.88130093616</v>
      </c>
      <c r="P69">
        <f t="shared" si="30"/>
        <v>0</v>
      </c>
      <c r="Q69">
        <f>L69*Inputs!B6/12</f>
        <v>215625</v>
      </c>
      <c r="R69">
        <f t="shared" si="31"/>
        <v>201845.91810216365</v>
      </c>
      <c r="S69">
        <f t="shared" si="32"/>
        <v>13779.081897836353</v>
      </c>
      <c r="T69">
        <f t="shared" si="33"/>
        <v>0</v>
      </c>
      <c r="U69">
        <f t="shared" si="34"/>
        <v>1554813.2479503646</v>
      </c>
      <c r="V69">
        <f t="shared" si="35"/>
        <v>0</v>
      </c>
      <c r="W69">
        <f t="shared" si="36"/>
        <v>0</v>
      </c>
      <c r="X69">
        <f t="shared" si="37"/>
        <v>95696083.71920152</v>
      </c>
      <c r="Y69">
        <f t="shared" si="38"/>
        <v>45000000</v>
      </c>
      <c r="Z69">
        <f t="shared" si="39"/>
        <v>10350610.388631746</v>
      </c>
      <c r="AA69">
        <f t="shared" si="40"/>
        <v>0</v>
      </c>
      <c r="AB69">
        <f t="shared" si="41"/>
        <v>0</v>
      </c>
      <c r="AC69">
        <f t="shared" si="42"/>
        <v>0</v>
      </c>
    </row>
    <row r="70" spans="1:29" x14ac:dyDescent="0.2">
      <c r="A70">
        <v>69</v>
      </c>
      <c r="B70">
        <f>LoanPool!L70</f>
        <v>660829.28672177077</v>
      </c>
      <c r="C70">
        <f>LoanPool!M70</f>
        <v>1541001.6332662727</v>
      </c>
      <c r="D70">
        <f>LoanPool!H70</f>
        <v>47089.297466736694</v>
      </c>
      <c r="E70">
        <f t="shared" si="43"/>
        <v>95696083.71920152</v>
      </c>
      <c r="F70">
        <f t="shared" si="44"/>
        <v>45000000</v>
      </c>
      <c r="G70">
        <f t="shared" si="45"/>
        <v>10350610.388631746</v>
      </c>
      <c r="H70">
        <f t="shared" si="23"/>
        <v>47089.297466736694</v>
      </c>
      <c r="I70">
        <f t="shared" si="24"/>
        <v>0</v>
      </c>
      <c r="J70">
        <f t="shared" si="25"/>
        <v>0</v>
      </c>
      <c r="K70">
        <f t="shared" si="26"/>
        <v>95696083.71920152</v>
      </c>
      <c r="L70">
        <f t="shared" si="27"/>
        <v>45000000</v>
      </c>
      <c r="M70">
        <f t="shared" si="28"/>
        <v>10303521.09116501</v>
      </c>
      <c r="N70">
        <f>K70*Inputs!B6/12</f>
        <v>458543.73448784067</v>
      </c>
      <c r="O70">
        <f t="shared" si="29"/>
        <v>458543.73448784067</v>
      </c>
      <c r="P70">
        <f t="shared" si="30"/>
        <v>0</v>
      </c>
      <c r="Q70">
        <f>L70*Inputs!B6/12</f>
        <v>215625</v>
      </c>
      <c r="R70">
        <f t="shared" si="31"/>
        <v>202285.5522339301</v>
      </c>
      <c r="S70">
        <f t="shared" si="32"/>
        <v>13339.447766069905</v>
      </c>
      <c r="T70">
        <f t="shared" si="33"/>
        <v>0</v>
      </c>
      <c r="U70">
        <f t="shared" si="34"/>
        <v>1541001.6332662727</v>
      </c>
      <c r="V70">
        <f t="shared" si="35"/>
        <v>0</v>
      </c>
      <c r="W70">
        <f t="shared" si="36"/>
        <v>0</v>
      </c>
      <c r="X70">
        <f t="shared" si="37"/>
        <v>94155082.08593525</v>
      </c>
      <c r="Y70">
        <f t="shared" si="38"/>
        <v>45000000</v>
      </c>
      <c r="Z70">
        <f t="shared" si="39"/>
        <v>10303521.09116501</v>
      </c>
      <c r="AA70">
        <f t="shared" si="40"/>
        <v>0</v>
      </c>
      <c r="AB70">
        <f t="shared" si="41"/>
        <v>0</v>
      </c>
      <c r="AC70">
        <f t="shared" si="42"/>
        <v>0</v>
      </c>
    </row>
    <row r="71" spans="1:29" x14ac:dyDescent="0.2">
      <c r="A71">
        <v>70</v>
      </c>
      <c r="B71">
        <f>LoanPool!L71</f>
        <v>653881.38889981399</v>
      </c>
      <c r="C71">
        <f>LoanPool!M71</f>
        <v>1527306.6904713348</v>
      </c>
      <c r="D71">
        <f>LoanPool!H71</f>
        <v>46593.415338241393</v>
      </c>
      <c r="E71">
        <f t="shared" si="43"/>
        <v>94155082.08593525</v>
      </c>
      <c r="F71">
        <f t="shared" si="44"/>
        <v>45000000</v>
      </c>
      <c r="G71">
        <f t="shared" si="45"/>
        <v>10303521.09116501</v>
      </c>
      <c r="H71">
        <f t="shared" si="23"/>
        <v>46593.415338241393</v>
      </c>
      <c r="I71">
        <f t="shared" si="24"/>
        <v>0</v>
      </c>
      <c r="J71">
        <f t="shared" si="25"/>
        <v>0</v>
      </c>
      <c r="K71">
        <f t="shared" si="26"/>
        <v>94155082.08593525</v>
      </c>
      <c r="L71">
        <f t="shared" si="27"/>
        <v>45000000</v>
      </c>
      <c r="M71">
        <f t="shared" si="28"/>
        <v>10256927.675826769</v>
      </c>
      <c r="N71">
        <f>K71*Inputs!B6/12</f>
        <v>451159.76832843974</v>
      </c>
      <c r="O71">
        <f t="shared" si="29"/>
        <v>451159.76832843974</v>
      </c>
      <c r="P71">
        <f t="shared" si="30"/>
        <v>0</v>
      </c>
      <c r="Q71">
        <f>L71*Inputs!B6/12</f>
        <v>215625</v>
      </c>
      <c r="R71">
        <f t="shared" si="31"/>
        <v>202721.62057137425</v>
      </c>
      <c r="S71">
        <f t="shared" si="32"/>
        <v>12903.379428625747</v>
      </c>
      <c r="T71">
        <f t="shared" si="33"/>
        <v>0</v>
      </c>
      <c r="U71">
        <f t="shared" si="34"/>
        <v>1527306.6904713348</v>
      </c>
      <c r="V71">
        <f t="shared" si="35"/>
        <v>0</v>
      </c>
      <c r="W71">
        <f t="shared" si="36"/>
        <v>0</v>
      </c>
      <c r="X71">
        <f t="shared" si="37"/>
        <v>92627775.395463914</v>
      </c>
      <c r="Y71">
        <f t="shared" si="38"/>
        <v>45000000</v>
      </c>
      <c r="Z71">
        <f t="shared" si="39"/>
        <v>10256927.675826769</v>
      </c>
      <c r="AA71">
        <f t="shared" si="40"/>
        <v>0</v>
      </c>
      <c r="AB71">
        <f t="shared" si="41"/>
        <v>0</v>
      </c>
      <c r="AC71">
        <f t="shared" si="42"/>
        <v>0</v>
      </c>
    </row>
    <row r="72" spans="1:29" x14ac:dyDescent="0.2">
      <c r="A72">
        <v>71</v>
      </c>
      <c r="B72">
        <f>LoanPool!L72</f>
        <v>646995.57593689696</v>
      </c>
      <c r="C72">
        <f>LoanPool!M72</f>
        <v>1513727.4529456079</v>
      </c>
      <c r="D72">
        <f>LoanPool!H72</f>
        <v>46101.966402123646</v>
      </c>
      <c r="E72">
        <f t="shared" si="43"/>
        <v>92627775.395463914</v>
      </c>
      <c r="F72">
        <f t="shared" si="44"/>
        <v>45000000</v>
      </c>
      <c r="G72">
        <f t="shared" si="45"/>
        <v>10256927.675826769</v>
      </c>
      <c r="H72">
        <f t="shared" si="23"/>
        <v>46101.966402123646</v>
      </c>
      <c r="I72">
        <f t="shared" si="24"/>
        <v>0</v>
      </c>
      <c r="J72">
        <f t="shared" si="25"/>
        <v>0</v>
      </c>
      <c r="K72">
        <f t="shared" si="26"/>
        <v>92627775.395463914</v>
      </c>
      <c r="L72">
        <f t="shared" si="27"/>
        <v>45000000</v>
      </c>
      <c r="M72">
        <f t="shared" si="28"/>
        <v>10210825.709424647</v>
      </c>
      <c r="N72">
        <f>K72*Inputs!B6/12</f>
        <v>443841.42376993131</v>
      </c>
      <c r="O72">
        <f t="shared" si="29"/>
        <v>443841.42376993131</v>
      </c>
      <c r="P72">
        <f t="shared" si="30"/>
        <v>0</v>
      </c>
      <c r="Q72">
        <f>L72*Inputs!B6/12</f>
        <v>215625</v>
      </c>
      <c r="R72">
        <f t="shared" si="31"/>
        <v>203154.15216696565</v>
      </c>
      <c r="S72">
        <f t="shared" si="32"/>
        <v>12470.84783303435</v>
      </c>
      <c r="T72">
        <f t="shared" si="33"/>
        <v>0</v>
      </c>
      <c r="U72">
        <f t="shared" si="34"/>
        <v>1513727.4529456079</v>
      </c>
      <c r="V72">
        <f t="shared" si="35"/>
        <v>0</v>
      </c>
      <c r="W72">
        <f t="shared" si="36"/>
        <v>0</v>
      </c>
      <c r="X72">
        <f t="shared" si="37"/>
        <v>91114047.942518309</v>
      </c>
      <c r="Y72">
        <f t="shared" si="38"/>
        <v>45000000</v>
      </c>
      <c r="Z72">
        <f t="shared" si="39"/>
        <v>10210825.709424647</v>
      </c>
      <c r="AA72">
        <f t="shared" si="40"/>
        <v>0</v>
      </c>
      <c r="AB72">
        <f t="shared" si="41"/>
        <v>0</v>
      </c>
      <c r="AC72">
        <f t="shared" si="42"/>
        <v>0</v>
      </c>
    </row>
    <row r="73" spans="1:29" x14ac:dyDescent="0.2">
      <c r="A73">
        <v>72</v>
      </c>
      <c r="B73">
        <f>LoanPool!L73</f>
        <v>640171.32222725067</v>
      </c>
      <c r="C73">
        <f>LoanPool!M73</f>
        <v>1500262.9620147869</v>
      </c>
      <c r="D73">
        <f>LoanPool!H73</f>
        <v>45614.913120732759</v>
      </c>
      <c r="E73">
        <f t="shared" si="43"/>
        <v>91114047.942518309</v>
      </c>
      <c r="F73">
        <f t="shared" si="44"/>
        <v>45000000</v>
      </c>
      <c r="G73">
        <f t="shared" si="45"/>
        <v>10210825.709424647</v>
      </c>
      <c r="H73">
        <f t="shared" si="23"/>
        <v>45614.913120732759</v>
      </c>
      <c r="I73">
        <f t="shared" si="24"/>
        <v>0</v>
      </c>
      <c r="J73">
        <f t="shared" si="25"/>
        <v>0</v>
      </c>
      <c r="K73">
        <f t="shared" si="26"/>
        <v>91114047.942518309</v>
      </c>
      <c r="L73">
        <f t="shared" si="27"/>
        <v>45000000</v>
      </c>
      <c r="M73">
        <f t="shared" si="28"/>
        <v>10165210.796303913</v>
      </c>
      <c r="N73">
        <f>K73*Inputs!B6/12</f>
        <v>436588.1463912336</v>
      </c>
      <c r="O73">
        <f t="shared" si="29"/>
        <v>436588.1463912336</v>
      </c>
      <c r="P73">
        <f t="shared" si="30"/>
        <v>0</v>
      </c>
      <c r="Q73">
        <f>L73*Inputs!B6/12</f>
        <v>215625</v>
      </c>
      <c r="R73">
        <f t="shared" si="31"/>
        <v>203583.17583601706</v>
      </c>
      <c r="S73">
        <f t="shared" si="32"/>
        <v>12041.824163982936</v>
      </c>
      <c r="T73">
        <f t="shared" si="33"/>
        <v>0</v>
      </c>
      <c r="U73">
        <f t="shared" si="34"/>
        <v>1500262.9620147869</v>
      </c>
      <c r="V73">
        <f t="shared" si="35"/>
        <v>0</v>
      </c>
      <c r="W73">
        <f t="shared" si="36"/>
        <v>0</v>
      </c>
      <c r="X73">
        <f t="shared" si="37"/>
        <v>89613784.980503529</v>
      </c>
      <c r="Y73">
        <f t="shared" si="38"/>
        <v>45000000</v>
      </c>
      <c r="Z73">
        <f t="shared" si="39"/>
        <v>10165210.796303913</v>
      </c>
      <c r="AA73">
        <f t="shared" si="40"/>
        <v>0</v>
      </c>
      <c r="AB73">
        <f t="shared" si="41"/>
        <v>0</v>
      </c>
      <c r="AC73">
        <f t="shared" si="42"/>
        <v>0</v>
      </c>
    </row>
    <row r="74" spans="1:29" x14ac:dyDescent="0.2">
      <c r="A74">
        <v>73</v>
      </c>
      <c r="B74">
        <f>LoanPool!L74</f>
        <v>633408.10652353277</v>
      </c>
      <c r="C74">
        <f>LoanPool!M74</f>
        <v>1486912.2668851048</v>
      </c>
      <c r="D74">
        <f>LoanPool!H74</f>
        <v>45132.21826770949</v>
      </c>
      <c r="E74">
        <f t="shared" si="43"/>
        <v>89613784.980503529</v>
      </c>
      <c r="F74">
        <f t="shared" si="44"/>
        <v>45000000</v>
      </c>
      <c r="G74">
        <f t="shared" si="45"/>
        <v>10165210.796303913</v>
      </c>
      <c r="H74">
        <f t="shared" si="23"/>
        <v>45132.21826770949</v>
      </c>
      <c r="I74">
        <f t="shared" si="24"/>
        <v>0</v>
      </c>
      <c r="J74">
        <f t="shared" si="25"/>
        <v>0</v>
      </c>
      <c r="K74">
        <f t="shared" si="26"/>
        <v>89613784.980503529</v>
      </c>
      <c r="L74">
        <f t="shared" si="27"/>
        <v>45000000</v>
      </c>
      <c r="M74">
        <f t="shared" si="28"/>
        <v>10120078.578036204</v>
      </c>
      <c r="N74">
        <f>K74*Inputs!B6/12</f>
        <v>429399.38636491279</v>
      </c>
      <c r="O74">
        <f t="shared" si="29"/>
        <v>429399.38636491279</v>
      </c>
      <c r="P74">
        <f t="shared" si="30"/>
        <v>0</v>
      </c>
      <c r="Q74">
        <f>L74*Inputs!B6/12</f>
        <v>215625</v>
      </c>
      <c r="R74">
        <f t="shared" si="31"/>
        <v>204008.72015861998</v>
      </c>
      <c r="S74">
        <f t="shared" si="32"/>
        <v>11616.279841380019</v>
      </c>
      <c r="T74">
        <f t="shared" si="33"/>
        <v>0</v>
      </c>
      <c r="U74">
        <f t="shared" si="34"/>
        <v>1486912.2668851048</v>
      </c>
      <c r="V74">
        <f t="shared" si="35"/>
        <v>0</v>
      </c>
      <c r="W74">
        <f t="shared" si="36"/>
        <v>0</v>
      </c>
      <c r="X74">
        <f t="shared" si="37"/>
        <v>88126872.713618428</v>
      </c>
      <c r="Y74">
        <f t="shared" si="38"/>
        <v>45000000</v>
      </c>
      <c r="Z74">
        <f t="shared" si="39"/>
        <v>10120078.578036204</v>
      </c>
      <c r="AA74">
        <f t="shared" si="40"/>
        <v>0</v>
      </c>
      <c r="AB74">
        <f t="shared" si="41"/>
        <v>0</v>
      </c>
      <c r="AC74">
        <f t="shared" si="42"/>
        <v>0</v>
      </c>
    </row>
    <row r="75" spans="1:29" x14ac:dyDescent="0.2">
      <c r="A75">
        <v>74</v>
      </c>
      <c r="B75">
        <f>LoanPool!L75</f>
        <v>626705.41190098925</v>
      </c>
      <c r="C75">
        <f>LoanPool!M75</f>
        <v>1473674.4245787631</v>
      </c>
      <c r="D75">
        <f>LoanPool!H75</f>
        <v>44653.844925426085</v>
      </c>
      <c r="E75">
        <f t="shared" si="43"/>
        <v>88126872.713618428</v>
      </c>
      <c r="F75">
        <f t="shared" si="44"/>
        <v>45000000</v>
      </c>
      <c r="G75">
        <f t="shared" si="45"/>
        <v>10120078.578036204</v>
      </c>
      <c r="H75">
        <f t="shared" si="23"/>
        <v>44653.844925426085</v>
      </c>
      <c r="I75">
        <f t="shared" si="24"/>
        <v>0</v>
      </c>
      <c r="J75">
        <f t="shared" si="25"/>
        <v>0</v>
      </c>
      <c r="K75">
        <f t="shared" si="26"/>
        <v>88126872.713618428</v>
      </c>
      <c r="L75">
        <f t="shared" si="27"/>
        <v>45000000</v>
      </c>
      <c r="M75">
        <f t="shared" si="28"/>
        <v>10075424.733110778</v>
      </c>
      <c r="N75">
        <f>K75*Inputs!B6/12</f>
        <v>422274.59841942164</v>
      </c>
      <c r="O75">
        <f t="shared" si="29"/>
        <v>422274.59841942164</v>
      </c>
      <c r="P75">
        <f t="shared" si="30"/>
        <v>0</v>
      </c>
      <c r="Q75">
        <f>L75*Inputs!B6/12</f>
        <v>215625</v>
      </c>
      <c r="R75">
        <f t="shared" si="31"/>
        <v>204430.8134815676</v>
      </c>
      <c r="S75">
        <f t="shared" si="32"/>
        <v>11194.186518432398</v>
      </c>
      <c r="T75">
        <f t="shared" si="33"/>
        <v>0</v>
      </c>
      <c r="U75">
        <f t="shared" si="34"/>
        <v>1473674.4245787631</v>
      </c>
      <c r="V75">
        <f t="shared" si="35"/>
        <v>0</v>
      </c>
      <c r="W75">
        <f t="shared" si="36"/>
        <v>0</v>
      </c>
      <c r="X75">
        <f t="shared" si="37"/>
        <v>86653198.289039671</v>
      </c>
      <c r="Y75">
        <f t="shared" si="38"/>
        <v>45000000</v>
      </c>
      <c r="Z75">
        <f t="shared" si="39"/>
        <v>10075424.733110778</v>
      </c>
      <c r="AA75">
        <f t="shared" si="40"/>
        <v>0</v>
      </c>
      <c r="AB75">
        <f t="shared" si="41"/>
        <v>0</v>
      </c>
      <c r="AC75">
        <f t="shared" si="42"/>
        <v>0</v>
      </c>
    </row>
    <row r="76" spans="1:29" x14ac:dyDescent="0.2">
      <c r="A76">
        <v>75</v>
      </c>
      <c r="B76">
        <f>LoanPool!L76</f>
        <v>620062.72572190838</v>
      </c>
      <c r="C76">
        <f>LoanPool!M76</f>
        <v>1460548.4998698912</v>
      </c>
      <c r="D76">
        <f>LoanPool!H76</f>
        <v>44179.756482447541</v>
      </c>
      <c r="E76">
        <f t="shared" si="43"/>
        <v>86653198.289039671</v>
      </c>
      <c r="F76">
        <f t="shared" si="44"/>
        <v>45000000</v>
      </c>
      <c r="G76">
        <f t="shared" si="45"/>
        <v>10075424.733110778</v>
      </c>
      <c r="H76">
        <f t="shared" si="23"/>
        <v>44179.756482447541</v>
      </c>
      <c r="I76">
        <f t="shared" si="24"/>
        <v>0</v>
      </c>
      <c r="J76">
        <f t="shared" si="25"/>
        <v>0</v>
      </c>
      <c r="K76">
        <f t="shared" si="26"/>
        <v>86653198.289039671</v>
      </c>
      <c r="L76">
        <f t="shared" si="27"/>
        <v>45000000</v>
      </c>
      <c r="M76">
        <f t="shared" si="28"/>
        <v>10031244.97662833</v>
      </c>
      <c r="N76">
        <f>K76*Inputs!B6/12</f>
        <v>415213.24180164846</v>
      </c>
      <c r="O76">
        <f t="shared" si="29"/>
        <v>415213.24180164846</v>
      </c>
      <c r="P76">
        <f t="shared" si="30"/>
        <v>0</v>
      </c>
      <c r="Q76">
        <f>L76*Inputs!B6/12</f>
        <v>215625</v>
      </c>
      <c r="R76">
        <f t="shared" si="31"/>
        <v>204849.48392025993</v>
      </c>
      <c r="S76">
        <f t="shared" si="32"/>
        <v>10775.516079740075</v>
      </c>
      <c r="T76">
        <f t="shared" si="33"/>
        <v>0</v>
      </c>
      <c r="U76">
        <f t="shared" si="34"/>
        <v>1460548.4998698912</v>
      </c>
      <c r="V76">
        <f t="shared" si="35"/>
        <v>0</v>
      </c>
      <c r="W76">
        <f t="shared" si="36"/>
        <v>0</v>
      </c>
      <c r="X76">
        <f t="shared" si="37"/>
        <v>85192649.789169773</v>
      </c>
      <c r="Y76">
        <f t="shared" si="38"/>
        <v>45000000</v>
      </c>
      <c r="Z76">
        <f t="shared" si="39"/>
        <v>10031244.97662833</v>
      </c>
      <c r="AA76">
        <f t="shared" si="40"/>
        <v>0</v>
      </c>
      <c r="AB76">
        <f t="shared" si="41"/>
        <v>0</v>
      </c>
      <c r="AC76">
        <f t="shared" si="42"/>
        <v>0</v>
      </c>
    </row>
    <row r="77" spans="1:29" x14ac:dyDescent="0.2">
      <c r="A77">
        <v>76</v>
      </c>
      <c r="B77">
        <f>LoanPool!L77</f>
        <v>613479.53960036696</v>
      </c>
      <c r="C77">
        <f>LoanPool!M77</f>
        <v>1447533.5652210293</v>
      </c>
      <c r="D77">
        <f>LoanPool!H77</f>
        <v>43709.916631013533</v>
      </c>
      <c r="E77">
        <f t="shared" si="43"/>
        <v>85192649.789169773</v>
      </c>
      <c r="F77">
        <f t="shared" si="44"/>
        <v>45000000</v>
      </c>
      <c r="G77">
        <f t="shared" si="45"/>
        <v>10031244.97662833</v>
      </c>
      <c r="H77">
        <f t="shared" si="23"/>
        <v>43709.916631013533</v>
      </c>
      <c r="I77">
        <f t="shared" si="24"/>
        <v>0</v>
      </c>
      <c r="J77">
        <f t="shared" si="25"/>
        <v>0</v>
      </c>
      <c r="K77">
        <f t="shared" si="26"/>
        <v>85192649.789169773</v>
      </c>
      <c r="L77">
        <f t="shared" si="27"/>
        <v>45000000</v>
      </c>
      <c r="M77">
        <f t="shared" si="28"/>
        <v>9987535.0599973164</v>
      </c>
      <c r="N77">
        <f>K77*Inputs!B6/12</f>
        <v>408214.78023977182</v>
      </c>
      <c r="O77">
        <f t="shared" si="29"/>
        <v>408214.78023977182</v>
      </c>
      <c r="P77">
        <f t="shared" si="30"/>
        <v>0</v>
      </c>
      <c r="Q77">
        <f>L77*Inputs!B6/12</f>
        <v>215625</v>
      </c>
      <c r="R77">
        <f t="shared" si="31"/>
        <v>205264.75936059514</v>
      </c>
      <c r="S77">
        <f t="shared" si="32"/>
        <v>10360.240639404859</v>
      </c>
      <c r="T77">
        <f t="shared" si="33"/>
        <v>0</v>
      </c>
      <c r="U77">
        <f t="shared" si="34"/>
        <v>1447533.5652210293</v>
      </c>
      <c r="V77">
        <f t="shared" si="35"/>
        <v>0</v>
      </c>
      <c r="W77">
        <f t="shared" si="36"/>
        <v>0</v>
      </c>
      <c r="X77">
        <f t="shared" si="37"/>
        <v>83745116.223948747</v>
      </c>
      <c r="Y77">
        <f t="shared" si="38"/>
        <v>45000000</v>
      </c>
      <c r="Z77">
        <f t="shared" si="39"/>
        <v>9987535.0599973164</v>
      </c>
      <c r="AA77">
        <f t="shared" si="40"/>
        <v>0</v>
      </c>
      <c r="AB77">
        <f t="shared" si="41"/>
        <v>0</v>
      </c>
      <c r="AC77">
        <f t="shared" si="42"/>
        <v>0</v>
      </c>
    </row>
    <row r="78" spans="1:29" x14ac:dyDescent="0.2">
      <c r="A78">
        <v>77</v>
      </c>
      <c r="B78">
        <f>LoanPool!L78</f>
        <v>606955.34936726419</v>
      </c>
      <c r="C78">
        <f>LoanPool!M78</f>
        <v>1434628.700720134</v>
      </c>
      <c r="D78">
        <f>LoanPool!H78</f>
        <v>43244.289364541029</v>
      </c>
      <c r="E78">
        <f t="shared" si="43"/>
        <v>83745116.223948747</v>
      </c>
      <c r="F78">
        <f t="shared" si="44"/>
        <v>45000000</v>
      </c>
      <c r="G78">
        <f t="shared" si="45"/>
        <v>9987535.0599973164</v>
      </c>
      <c r="H78">
        <f t="shared" si="23"/>
        <v>43244.289364541029</v>
      </c>
      <c r="I78">
        <f t="shared" si="24"/>
        <v>0</v>
      </c>
      <c r="J78">
        <f t="shared" si="25"/>
        <v>0</v>
      </c>
      <c r="K78">
        <f t="shared" si="26"/>
        <v>83745116.223948747</v>
      </c>
      <c r="L78">
        <f t="shared" si="27"/>
        <v>45000000</v>
      </c>
      <c r="M78">
        <f t="shared" si="28"/>
        <v>9944290.7706327755</v>
      </c>
      <c r="N78">
        <f>K78*Inputs!B6/12</f>
        <v>401278.68190642114</v>
      </c>
      <c r="O78">
        <f t="shared" si="29"/>
        <v>401278.68190642114</v>
      </c>
      <c r="P78">
        <f t="shared" si="30"/>
        <v>0</v>
      </c>
      <c r="Q78">
        <f>L78*Inputs!B6/12</f>
        <v>215625</v>
      </c>
      <c r="R78">
        <f t="shared" si="31"/>
        <v>205676.66746084305</v>
      </c>
      <c r="S78">
        <f t="shared" si="32"/>
        <v>9948.3325391569524</v>
      </c>
      <c r="T78">
        <f t="shared" si="33"/>
        <v>0</v>
      </c>
      <c r="U78">
        <f t="shared" si="34"/>
        <v>1434628.700720134</v>
      </c>
      <c r="V78">
        <f t="shared" si="35"/>
        <v>0</v>
      </c>
      <c r="W78">
        <f t="shared" si="36"/>
        <v>0</v>
      </c>
      <c r="X78">
        <f t="shared" si="37"/>
        <v>82310487.523228616</v>
      </c>
      <c r="Y78">
        <f t="shared" si="38"/>
        <v>45000000</v>
      </c>
      <c r="Z78">
        <f t="shared" si="39"/>
        <v>9944290.7706327755</v>
      </c>
      <c r="AA78">
        <f t="shared" si="40"/>
        <v>0</v>
      </c>
      <c r="AB78">
        <f t="shared" si="41"/>
        <v>0</v>
      </c>
      <c r="AC78">
        <f t="shared" si="42"/>
        <v>0</v>
      </c>
    </row>
    <row r="79" spans="1:29" x14ac:dyDescent="0.2">
      <c r="A79">
        <v>78</v>
      </c>
      <c r="B79">
        <f>LoanPool!L79</f>
        <v>600489.65503564372</v>
      </c>
      <c r="C79">
        <f>LoanPool!M79</f>
        <v>1421832.9940180934</v>
      </c>
      <c r="D79">
        <f>LoanPool!H79</f>
        <v>42782.838975147322</v>
      </c>
      <c r="E79">
        <f t="shared" si="43"/>
        <v>82310487.523228616</v>
      </c>
      <c r="F79">
        <f t="shared" si="44"/>
        <v>45000000</v>
      </c>
      <c r="G79">
        <f t="shared" si="45"/>
        <v>9944290.7706327755</v>
      </c>
      <c r="H79">
        <f t="shared" si="23"/>
        <v>42782.838975147322</v>
      </c>
      <c r="I79">
        <f t="shared" si="24"/>
        <v>0</v>
      </c>
      <c r="J79">
        <f t="shared" si="25"/>
        <v>0</v>
      </c>
      <c r="K79">
        <f t="shared" si="26"/>
        <v>82310487.523228616</v>
      </c>
      <c r="L79">
        <f t="shared" si="27"/>
        <v>45000000</v>
      </c>
      <c r="M79">
        <f t="shared" si="28"/>
        <v>9901507.9316576291</v>
      </c>
      <c r="N79">
        <f>K79*Inputs!B6/12</f>
        <v>394404.41938213719</v>
      </c>
      <c r="O79">
        <f t="shared" si="29"/>
        <v>394404.41938213719</v>
      </c>
      <c r="P79">
        <f t="shared" si="30"/>
        <v>0</v>
      </c>
      <c r="Q79">
        <f>L79*Inputs!B6/12</f>
        <v>215625</v>
      </c>
      <c r="R79">
        <f t="shared" si="31"/>
        <v>206085.23565350653</v>
      </c>
      <c r="S79">
        <f t="shared" si="32"/>
        <v>9539.7643464934663</v>
      </c>
      <c r="T79">
        <f t="shared" si="33"/>
        <v>0</v>
      </c>
      <c r="U79">
        <f t="shared" si="34"/>
        <v>1421832.9940180934</v>
      </c>
      <c r="V79">
        <f t="shared" si="35"/>
        <v>0</v>
      </c>
      <c r="W79">
        <f t="shared" si="36"/>
        <v>0</v>
      </c>
      <c r="X79">
        <f t="shared" si="37"/>
        <v>80888654.529210523</v>
      </c>
      <c r="Y79">
        <f t="shared" si="38"/>
        <v>45000000</v>
      </c>
      <c r="Z79">
        <f t="shared" si="39"/>
        <v>9901507.9316576291</v>
      </c>
      <c r="AA79">
        <f t="shared" si="40"/>
        <v>0</v>
      </c>
      <c r="AB79">
        <f t="shared" si="41"/>
        <v>0</v>
      </c>
      <c r="AC79">
        <f t="shared" si="42"/>
        <v>0</v>
      </c>
    </row>
    <row r="80" spans="1:29" x14ac:dyDescent="0.2">
      <c r="A80">
        <v>79</v>
      </c>
      <c r="B80">
        <f>LoanPool!L80</f>
        <v>594081.96076629835</v>
      </c>
      <c r="C80">
        <f>LoanPool!M80</f>
        <v>1409145.5402667609</v>
      </c>
      <c r="D80">
        <f>LoanPool!H80</f>
        <v>42325.530051193477</v>
      </c>
      <c r="E80">
        <f t="shared" si="43"/>
        <v>80888654.529210523</v>
      </c>
      <c r="F80">
        <f t="shared" si="44"/>
        <v>45000000</v>
      </c>
      <c r="G80">
        <f t="shared" si="45"/>
        <v>9901507.9316576291</v>
      </c>
      <c r="H80">
        <f t="shared" si="23"/>
        <v>42325.530051193477</v>
      </c>
      <c r="I80">
        <f t="shared" si="24"/>
        <v>0</v>
      </c>
      <c r="J80">
        <f t="shared" si="25"/>
        <v>0</v>
      </c>
      <c r="K80">
        <f t="shared" si="26"/>
        <v>80888654.529210523</v>
      </c>
      <c r="L80">
        <f t="shared" si="27"/>
        <v>45000000</v>
      </c>
      <c r="M80">
        <f t="shared" si="28"/>
        <v>9859182.401606435</v>
      </c>
      <c r="N80">
        <f>K80*Inputs!B6/12</f>
        <v>387591.46961913374</v>
      </c>
      <c r="O80">
        <f t="shared" si="29"/>
        <v>387591.46961913374</v>
      </c>
      <c r="P80">
        <f t="shared" si="30"/>
        <v>0</v>
      </c>
      <c r="Q80">
        <f>L80*Inputs!B6/12</f>
        <v>215625</v>
      </c>
      <c r="R80">
        <f t="shared" si="31"/>
        <v>206490.4911471646</v>
      </c>
      <c r="S80">
        <f t="shared" si="32"/>
        <v>9134.5088528353954</v>
      </c>
      <c r="T80">
        <f t="shared" si="33"/>
        <v>0</v>
      </c>
      <c r="U80">
        <f t="shared" si="34"/>
        <v>1409145.5402667609</v>
      </c>
      <c r="V80">
        <f t="shared" si="35"/>
        <v>0</v>
      </c>
      <c r="W80">
        <f t="shared" si="36"/>
        <v>0</v>
      </c>
      <c r="X80">
        <f t="shared" si="37"/>
        <v>79479508.988943756</v>
      </c>
      <c r="Y80">
        <f t="shared" si="38"/>
        <v>45000000</v>
      </c>
      <c r="Z80">
        <f t="shared" si="39"/>
        <v>9859182.401606435</v>
      </c>
      <c r="AA80">
        <f t="shared" si="40"/>
        <v>0</v>
      </c>
      <c r="AB80">
        <f t="shared" si="41"/>
        <v>0</v>
      </c>
      <c r="AC80">
        <f t="shared" si="42"/>
        <v>0</v>
      </c>
    </row>
    <row r="81" spans="1:29" x14ac:dyDescent="0.2">
      <c r="A81">
        <v>80</v>
      </c>
      <c r="B81">
        <f>LoanPool!L81</f>
        <v>587731.7748336572</v>
      </c>
      <c r="C81">
        <f>LoanPool!M81</f>
        <v>1396565.442057489</v>
      </c>
      <c r="D81">
        <f>LoanPool!H81</f>
        <v>41872.327474847742</v>
      </c>
      <c r="E81">
        <f t="shared" si="43"/>
        <v>79479508.988943756</v>
      </c>
      <c r="F81">
        <f t="shared" si="44"/>
        <v>45000000</v>
      </c>
      <c r="G81">
        <f t="shared" si="45"/>
        <v>9859182.401606435</v>
      </c>
      <c r="H81">
        <f t="shared" si="23"/>
        <v>41872.327474847742</v>
      </c>
      <c r="I81">
        <f t="shared" si="24"/>
        <v>0</v>
      </c>
      <c r="J81">
        <f t="shared" si="25"/>
        <v>0</v>
      </c>
      <c r="K81">
        <f t="shared" si="26"/>
        <v>79479508.988943756</v>
      </c>
      <c r="L81">
        <f t="shared" si="27"/>
        <v>45000000</v>
      </c>
      <c r="M81">
        <f t="shared" si="28"/>
        <v>9817310.0741315875</v>
      </c>
      <c r="N81">
        <f>K81*Inputs!B6/12</f>
        <v>380839.31390535552</v>
      </c>
      <c r="O81">
        <f t="shared" si="29"/>
        <v>380839.31390535552</v>
      </c>
      <c r="P81">
        <f t="shared" si="30"/>
        <v>0</v>
      </c>
      <c r="Q81">
        <f>L81*Inputs!B6/12</f>
        <v>215625</v>
      </c>
      <c r="R81">
        <f t="shared" si="31"/>
        <v>206892.46092830168</v>
      </c>
      <c r="S81">
        <f t="shared" si="32"/>
        <v>8732.5390716983238</v>
      </c>
      <c r="T81">
        <f t="shared" si="33"/>
        <v>0</v>
      </c>
      <c r="U81">
        <f t="shared" si="34"/>
        <v>1396565.442057489</v>
      </c>
      <c r="V81">
        <f t="shared" si="35"/>
        <v>0</v>
      </c>
      <c r="W81">
        <f t="shared" si="36"/>
        <v>0</v>
      </c>
      <c r="X81">
        <f t="shared" si="37"/>
        <v>78082943.546886265</v>
      </c>
      <c r="Y81">
        <f t="shared" si="38"/>
        <v>45000000</v>
      </c>
      <c r="Z81">
        <f t="shared" si="39"/>
        <v>9817310.0741315875</v>
      </c>
      <c r="AA81">
        <f t="shared" si="40"/>
        <v>0</v>
      </c>
      <c r="AB81">
        <f t="shared" si="41"/>
        <v>0</v>
      </c>
      <c r="AC81">
        <f t="shared" si="42"/>
        <v>0</v>
      </c>
    </row>
    <row r="82" spans="1:29" x14ac:dyDescent="0.2">
      <c r="A82">
        <v>81</v>
      </c>
      <c r="B82">
        <f>LoanPool!L82</f>
        <v>581438.60959195334</v>
      </c>
      <c r="C82">
        <f>LoanPool!M82</f>
        <v>1384091.809360171</v>
      </c>
      <c r="D82">
        <f>LoanPool!H82</f>
        <v>41423.196419669053</v>
      </c>
      <c r="E82">
        <f t="shared" si="43"/>
        <v>78082943.546886265</v>
      </c>
      <c r="F82">
        <f t="shared" si="44"/>
        <v>45000000</v>
      </c>
      <c r="G82">
        <f t="shared" si="45"/>
        <v>9817310.0741315875</v>
      </c>
      <c r="H82">
        <f t="shared" si="23"/>
        <v>41423.196419669053</v>
      </c>
      <c r="I82">
        <f t="shared" si="24"/>
        <v>0</v>
      </c>
      <c r="J82">
        <f t="shared" si="25"/>
        <v>0</v>
      </c>
      <c r="K82">
        <f t="shared" si="26"/>
        <v>78082943.546886265</v>
      </c>
      <c r="L82">
        <f t="shared" si="27"/>
        <v>45000000</v>
      </c>
      <c r="M82">
        <f t="shared" si="28"/>
        <v>9775886.8777119182</v>
      </c>
      <c r="N82">
        <f>K82*Inputs!B6/12</f>
        <v>374147.43782883004</v>
      </c>
      <c r="O82">
        <f t="shared" si="29"/>
        <v>374147.43782883004</v>
      </c>
      <c r="P82">
        <f t="shared" si="30"/>
        <v>0</v>
      </c>
      <c r="Q82">
        <f>L82*Inputs!B6/12</f>
        <v>215625</v>
      </c>
      <c r="R82">
        <f t="shared" si="31"/>
        <v>207291.1717631233</v>
      </c>
      <c r="S82">
        <f t="shared" si="32"/>
        <v>8333.8282368766959</v>
      </c>
      <c r="T82">
        <f t="shared" si="33"/>
        <v>0</v>
      </c>
      <c r="U82">
        <f t="shared" si="34"/>
        <v>1384091.809360171</v>
      </c>
      <c r="V82">
        <f t="shared" si="35"/>
        <v>0</v>
      </c>
      <c r="W82">
        <f t="shared" si="36"/>
        <v>0</v>
      </c>
      <c r="X82">
        <f t="shared" si="37"/>
        <v>76698851.737526089</v>
      </c>
      <c r="Y82">
        <f t="shared" si="38"/>
        <v>45000000</v>
      </c>
      <c r="Z82">
        <f t="shared" si="39"/>
        <v>9775886.8777119182</v>
      </c>
      <c r="AA82">
        <f t="shared" si="40"/>
        <v>0</v>
      </c>
      <c r="AB82">
        <f t="shared" si="41"/>
        <v>0</v>
      </c>
      <c r="AC82">
        <f t="shared" si="42"/>
        <v>0</v>
      </c>
    </row>
    <row r="83" spans="1:29" x14ac:dyDescent="0.2">
      <c r="A83">
        <v>82</v>
      </c>
      <c r="B83">
        <f>LoanPool!L83</f>
        <v>575201.98144166649</v>
      </c>
      <c r="C83">
        <f>LoanPool!M83</f>
        <v>1371723.7594627803</v>
      </c>
      <c r="D83">
        <f>LoanPool!H83</f>
        <v>40978.102348210319</v>
      </c>
      <c r="E83">
        <f t="shared" si="43"/>
        <v>76698851.737526089</v>
      </c>
      <c r="F83">
        <f t="shared" si="44"/>
        <v>45000000</v>
      </c>
      <c r="G83">
        <f t="shared" si="45"/>
        <v>9775886.8777119182</v>
      </c>
      <c r="H83">
        <f t="shared" si="23"/>
        <v>40978.102348210319</v>
      </c>
      <c r="I83">
        <f t="shared" si="24"/>
        <v>0</v>
      </c>
      <c r="J83">
        <f t="shared" si="25"/>
        <v>0</v>
      </c>
      <c r="K83">
        <f t="shared" si="26"/>
        <v>76698851.737526089</v>
      </c>
      <c r="L83">
        <f t="shared" si="27"/>
        <v>45000000</v>
      </c>
      <c r="M83">
        <f t="shared" si="28"/>
        <v>9734908.7753637079</v>
      </c>
      <c r="N83">
        <f>K83*Inputs!B6/12</f>
        <v>367515.3312423125</v>
      </c>
      <c r="O83">
        <f t="shared" si="29"/>
        <v>367515.3312423125</v>
      </c>
      <c r="P83">
        <f t="shared" si="30"/>
        <v>0</v>
      </c>
      <c r="Q83">
        <f>L83*Inputs!B6/12</f>
        <v>215625</v>
      </c>
      <c r="R83">
        <f t="shared" si="31"/>
        <v>207686.65019935399</v>
      </c>
      <c r="S83">
        <f t="shared" si="32"/>
        <v>7938.349800646014</v>
      </c>
      <c r="T83">
        <f t="shared" si="33"/>
        <v>0</v>
      </c>
      <c r="U83">
        <f t="shared" si="34"/>
        <v>1371723.7594627803</v>
      </c>
      <c r="V83">
        <f t="shared" si="35"/>
        <v>0</v>
      </c>
      <c r="W83">
        <f t="shared" si="36"/>
        <v>0</v>
      </c>
      <c r="X83">
        <f t="shared" si="37"/>
        <v>75327127.978063315</v>
      </c>
      <c r="Y83">
        <f t="shared" si="38"/>
        <v>45000000</v>
      </c>
      <c r="Z83">
        <f t="shared" si="39"/>
        <v>9734908.7753637079</v>
      </c>
      <c r="AA83">
        <f t="shared" si="40"/>
        <v>0</v>
      </c>
      <c r="AB83">
        <f t="shared" si="41"/>
        <v>0</v>
      </c>
      <c r="AC83">
        <f t="shared" si="42"/>
        <v>0</v>
      </c>
    </row>
    <row r="84" spans="1:29" x14ac:dyDescent="0.2">
      <c r="A84">
        <v>83</v>
      </c>
      <c r="B84">
        <f>LoanPool!L84</f>
        <v>569021.41079624335</v>
      </c>
      <c r="C84">
        <f>LoanPool!M84</f>
        <v>1359460.416911402</v>
      </c>
      <c r="D84">
        <f>LoanPool!H84</f>
        <v>40537.011009641312</v>
      </c>
      <c r="E84">
        <f t="shared" si="43"/>
        <v>75327127.978063315</v>
      </c>
      <c r="F84">
        <f t="shared" si="44"/>
        <v>45000000</v>
      </c>
      <c r="G84">
        <f t="shared" si="45"/>
        <v>9734908.7753637079</v>
      </c>
      <c r="H84">
        <f t="shared" si="23"/>
        <v>40537.011009641312</v>
      </c>
      <c r="I84">
        <f t="shared" si="24"/>
        <v>0</v>
      </c>
      <c r="J84">
        <f t="shared" si="25"/>
        <v>0</v>
      </c>
      <c r="K84">
        <f t="shared" si="26"/>
        <v>75327127.978063315</v>
      </c>
      <c r="L84">
        <f t="shared" si="27"/>
        <v>45000000</v>
      </c>
      <c r="M84">
        <f t="shared" si="28"/>
        <v>9694371.7643540669</v>
      </c>
      <c r="N84">
        <f>K84*Inputs!B6/12</f>
        <v>360942.48822822009</v>
      </c>
      <c r="O84">
        <f t="shared" si="29"/>
        <v>360942.48822822009</v>
      </c>
      <c r="P84">
        <f t="shared" si="30"/>
        <v>0</v>
      </c>
      <c r="Q84">
        <f>L84*Inputs!B6/12</f>
        <v>215625</v>
      </c>
      <c r="R84">
        <f t="shared" si="31"/>
        <v>208078.92256802326</v>
      </c>
      <c r="S84">
        <f t="shared" si="32"/>
        <v>7546.077431976737</v>
      </c>
      <c r="T84">
        <f t="shared" si="33"/>
        <v>0</v>
      </c>
      <c r="U84">
        <f t="shared" si="34"/>
        <v>1359460.416911402</v>
      </c>
      <c r="V84">
        <f t="shared" si="35"/>
        <v>0</v>
      </c>
      <c r="W84">
        <f t="shared" si="36"/>
        <v>0</v>
      </c>
      <c r="X84">
        <f t="shared" si="37"/>
        <v>73967667.561151907</v>
      </c>
      <c r="Y84">
        <f t="shared" si="38"/>
        <v>45000000</v>
      </c>
      <c r="Z84">
        <f t="shared" si="39"/>
        <v>9694371.7643540669</v>
      </c>
      <c r="AA84">
        <f t="shared" si="40"/>
        <v>0</v>
      </c>
      <c r="AB84">
        <f t="shared" si="41"/>
        <v>0</v>
      </c>
      <c r="AC84">
        <f t="shared" si="42"/>
        <v>0</v>
      </c>
    </row>
    <row r="85" spans="1:29" x14ac:dyDescent="0.2">
      <c r="A85">
        <v>84</v>
      </c>
      <c r="B85">
        <f>LoanPool!L85</f>
        <v>562896.42204908875</v>
      </c>
      <c r="C85">
        <f>LoanPool!M85</f>
        <v>1347300.913450758</v>
      </c>
      <c r="D85">
        <f>LoanPool!H85</f>
        <v>40099.888437391084</v>
      </c>
      <c r="E85">
        <f t="shared" si="43"/>
        <v>73967667.561151907</v>
      </c>
      <c r="F85">
        <f t="shared" si="44"/>
        <v>45000000</v>
      </c>
      <c r="G85">
        <f t="shared" si="45"/>
        <v>9694371.7643540669</v>
      </c>
      <c r="H85">
        <f t="shared" si="23"/>
        <v>40099.888437391084</v>
      </c>
      <c r="I85">
        <f t="shared" si="24"/>
        <v>0</v>
      </c>
      <c r="J85">
        <f t="shared" si="25"/>
        <v>0</v>
      </c>
      <c r="K85">
        <f t="shared" si="26"/>
        <v>73967667.561151907</v>
      </c>
      <c r="L85">
        <f t="shared" si="27"/>
        <v>45000000</v>
      </c>
      <c r="M85">
        <f t="shared" si="28"/>
        <v>9654271.8759166766</v>
      </c>
      <c r="N85">
        <f>K85*Inputs!B6/12</f>
        <v>354428.40706385294</v>
      </c>
      <c r="O85">
        <f t="shared" si="29"/>
        <v>354428.40706385294</v>
      </c>
      <c r="P85">
        <f t="shared" si="30"/>
        <v>0</v>
      </c>
      <c r="Q85">
        <f>L85*Inputs!B6/12</f>
        <v>215625</v>
      </c>
      <c r="R85">
        <f t="shared" si="31"/>
        <v>208468.01498523582</v>
      </c>
      <c r="S85">
        <f t="shared" si="32"/>
        <v>7156.9850147641846</v>
      </c>
      <c r="T85">
        <f t="shared" si="33"/>
        <v>0</v>
      </c>
      <c r="U85">
        <f t="shared" si="34"/>
        <v>1347300.913450758</v>
      </c>
      <c r="V85">
        <f t="shared" si="35"/>
        <v>0</v>
      </c>
      <c r="W85">
        <f t="shared" si="36"/>
        <v>0</v>
      </c>
      <c r="X85">
        <f t="shared" si="37"/>
        <v>72620366.647701144</v>
      </c>
      <c r="Y85">
        <f t="shared" si="38"/>
        <v>45000000</v>
      </c>
      <c r="Z85">
        <f t="shared" si="39"/>
        <v>9654271.8759166766</v>
      </c>
      <c r="AA85">
        <f t="shared" si="40"/>
        <v>0</v>
      </c>
      <c r="AB85">
        <f t="shared" si="41"/>
        <v>0</v>
      </c>
      <c r="AC85">
        <f t="shared" si="42"/>
        <v>0</v>
      </c>
    </row>
    <row r="86" spans="1:29" x14ac:dyDescent="0.2">
      <c r="A86">
        <v>85</v>
      </c>
      <c r="B86">
        <f>LoanPool!L86</f>
        <v>556826.54354082805</v>
      </c>
      <c r="C86">
        <f>LoanPool!M86</f>
        <v>1335244.3879652193</v>
      </c>
      <c r="D86">
        <f>LoanPool!H86</f>
        <v>39666.700946809658</v>
      </c>
      <c r="E86">
        <f t="shared" si="43"/>
        <v>72620366.647701144</v>
      </c>
      <c r="F86">
        <f t="shared" si="44"/>
        <v>45000000</v>
      </c>
      <c r="G86">
        <f t="shared" si="45"/>
        <v>9654271.8759166766</v>
      </c>
      <c r="H86">
        <f t="shared" si="23"/>
        <v>39666.700946809658</v>
      </c>
      <c r="I86">
        <f t="shared" si="24"/>
        <v>0</v>
      </c>
      <c r="J86">
        <f t="shared" si="25"/>
        <v>0</v>
      </c>
      <c r="K86">
        <f t="shared" si="26"/>
        <v>72620366.647701144</v>
      </c>
      <c r="L86">
        <f t="shared" si="27"/>
        <v>45000000</v>
      </c>
      <c r="M86">
        <f t="shared" si="28"/>
        <v>9614605.1749698669</v>
      </c>
      <c r="N86">
        <f>K86*Inputs!B6/12</f>
        <v>347972.59018690133</v>
      </c>
      <c r="O86">
        <f t="shared" si="29"/>
        <v>347972.59018690133</v>
      </c>
      <c r="P86">
        <f t="shared" si="30"/>
        <v>0</v>
      </c>
      <c r="Q86">
        <f>L86*Inputs!B6/12</f>
        <v>215625</v>
      </c>
      <c r="R86">
        <f t="shared" si="31"/>
        <v>208853.95335392671</v>
      </c>
      <c r="S86">
        <f t="shared" si="32"/>
        <v>6771.046646073286</v>
      </c>
      <c r="T86">
        <f t="shared" si="33"/>
        <v>0</v>
      </c>
      <c r="U86">
        <f t="shared" si="34"/>
        <v>1335244.3879652193</v>
      </c>
      <c r="V86">
        <f t="shared" si="35"/>
        <v>0</v>
      </c>
      <c r="W86">
        <f t="shared" si="36"/>
        <v>0</v>
      </c>
      <c r="X86">
        <f t="shared" si="37"/>
        <v>71285122.259735927</v>
      </c>
      <c r="Y86">
        <f t="shared" si="38"/>
        <v>45000000</v>
      </c>
      <c r="Z86">
        <f t="shared" si="39"/>
        <v>9614605.1749698669</v>
      </c>
      <c r="AA86">
        <f t="shared" si="40"/>
        <v>0</v>
      </c>
      <c r="AB86">
        <f t="shared" si="41"/>
        <v>0</v>
      </c>
      <c r="AC86">
        <f t="shared" si="42"/>
        <v>0</v>
      </c>
    </row>
    <row r="87" spans="1:29" x14ac:dyDescent="0.2">
      <c r="A87">
        <v>86</v>
      </c>
      <c r="B87">
        <f>LoanPool!L87</f>
        <v>550811.30752683792</v>
      </c>
      <c r="C87">
        <f>LoanPool!M87</f>
        <v>1323289.9864202966</v>
      </c>
      <c r="D87">
        <f>LoanPool!H87</f>
        <v>39237.415132848924</v>
      </c>
      <c r="E87">
        <f t="shared" si="43"/>
        <v>71285122.259735927</v>
      </c>
      <c r="F87">
        <f t="shared" si="44"/>
        <v>45000000</v>
      </c>
      <c r="G87">
        <f t="shared" si="45"/>
        <v>9614605.1749698669</v>
      </c>
      <c r="H87">
        <f t="shared" si="23"/>
        <v>39237.415132848924</v>
      </c>
      <c r="I87">
        <f t="shared" si="24"/>
        <v>0</v>
      </c>
      <c r="J87">
        <f t="shared" si="25"/>
        <v>0</v>
      </c>
      <c r="K87">
        <f t="shared" si="26"/>
        <v>71285122.259735927</v>
      </c>
      <c r="L87">
        <f t="shared" si="27"/>
        <v>45000000</v>
      </c>
      <c r="M87">
        <f t="shared" si="28"/>
        <v>9575367.7598370183</v>
      </c>
      <c r="N87">
        <f>K87*Inputs!B6/12</f>
        <v>341574.54416123469</v>
      </c>
      <c r="O87">
        <f t="shared" si="29"/>
        <v>341574.54416123469</v>
      </c>
      <c r="P87">
        <f t="shared" si="30"/>
        <v>0</v>
      </c>
      <c r="Q87">
        <f>L87*Inputs!B6/12</f>
        <v>215625</v>
      </c>
      <c r="R87">
        <f t="shared" si="31"/>
        <v>209236.76336560323</v>
      </c>
      <c r="S87">
        <f t="shared" si="32"/>
        <v>6388.2366343967733</v>
      </c>
      <c r="T87">
        <f t="shared" si="33"/>
        <v>0</v>
      </c>
      <c r="U87">
        <f t="shared" si="34"/>
        <v>1323289.9864202966</v>
      </c>
      <c r="V87">
        <f t="shared" si="35"/>
        <v>0</v>
      </c>
      <c r="W87">
        <f t="shared" si="36"/>
        <v>0</v>
      </c>
      <c r="X87">
        <f t="shared" si="37"/>
        <v>69961832.273315623</v>
      </c>
      <c r="Y87">
        <f t="shared" si="38"/>
        <v>45000000</v>
      </c>
      <c r="Z87">
        <f t="shared" si="39"/>
        <v>9575367.7598370183</v>
      </c>
      <c r="AA87">
        <f t="shared" si="40"/>
        <v>0</v>
      </c>
      <c r="AB87">
        <f t="shared" si="41"/>
        <v>0</v>
      </c>
      <c r="AC87">
        <f t="shared" si="42"/>
        <v>0</v>
      </c>
    </row>
    <row r="88" spans="1:29" x14ac:dyDescent="0.2">
      <c r="A88">
        <v>87</v>
      </c>
      <c r="B88">
        <f>LoanPool!L88</f>
        <v>544850.25014504301</v>
      </c>
      <c r="C88">
        <f>LoanPool!M88</f>
        <v>1311436.8618046157</v>
      </c>
      <c r="D88">
        <f>LoanPool!H88</f>
        <v>38811.997867762533</v>
      </c>
      <c r="E88">
        <f t="shared" si="43"/>
        <v>69961832.273315623</v>
      </c>
      <c r="F88">
        <f t="shared" si="44"/>
        <v>45000000</v>
      </c>
      <c r="G88">
        <f t="shared" si="45"/>
        <v>9575367.7598370183</v>
      </c>
      <c r="H88">
        <f t="shared" si="23"/>
        <v>38811.997867762533</v>
      </c>
      <c r="I88">
        <f t="shared" si="24"/>
        <v>0</v>
      </c>
      <c r="J88">
        <f t="shared" si="25"/>
        <v>0</v>
      </c>
      <c r="K88">
        <f t="shared" si="26"/>
        <v>69961832.273315623</v>
      </c>
      <c r="L88">
        <f t="shared" si="27"/>
        <v>45000000</v>
      </c>
      <c r="M88">
        <f t="shared" si="28"/>
        <v>9536555.7619692553</v>
      </c>
      <c r="N88">
        <f>K88*Inputs!B6/12</f>
        <v>335233.77964297071</v>
      </c>
      <c r="O88">
        <f t="shared" si="29"/>
        <v>335233.77964297071</v>
      </c>
      <c r="P88">
        <f t="shared" si="30"/>
        <v>0</v>
      </c>
      <c r="Q88">
        <f>L88*Inputs!B6/12</f>
        <v>215625</v>
      </c>
      <c r="R88">
        <f t="shared" si="31"/>
        <v>209616.4705020723</v>
      </c>
      <c r="S88">
        <f t="shared" si="32"/>
        <v>6008.529497927695</v>
      </c>
      <c r="T88">
        <f t="shared" si="33"/>
        <v>0</v>
      </c>
      <c r="U88">
        <f t="shared" si="34"/>
        <v>1311436.8618046157</v>
      </c>
      <c r="V88">
        <f t="shared" si="35"/>
        <v>0</v>
      </c>
      <c r="W88">
        <f t="shared" si="36"/>
        <v>0</v>
      </c>
      <c r="X88">
        <f t="shared" si="37"/>
        <v>68650395.411511004</v>
      </c>
      <c r="Y88">
        <f t="shared" si="38"/>
        <v>45000000</v>
      </c>
      <c r="Z88">
        <f t="shared" si="39"/>
        <v>9536555.7619692553</v>
      </c>
      <c r="AA88">
        <f t="shared" si="40"/>
        <v>0</v>
      </c>
      <c r="AB88">
        <f t="shared" si="41"/>
        <v>0</v>
      </c>
      <c r="AC88">
        <f t="shared" si="42"/>
        <v>0</v>
      </c>
    </row>
    <row r="89" spans="1:29" x14ac:dyDescent="0.2">
      <c r="A89">
        <v>88</v>
      </c>
      <c r="B89">
        <f>LoanPool!L89</f>
        <v>538942.91138397634</v>
      </c>
      <c r="C89">
        <f>LoanPool!M89</f>
        <v>1299684.1740723618</v>
      </c>
      <c r="D89">
        <f>LoanPool!H89</f>
        <v>38390.416298824624</v>
      </c>
      <c r="E89">
        <f t="shared" si="43"/>
        <v>68650395.411511004</v>
      </c>
      <c r="F89">
        <f t="shared" si="44"/>
        <v>45000000</v>
      </c>
      <c r="G89">
        <f t="shared" si="45"/>
        <v>9536555.7619692553</v>
      </c>
      <c r="H89">
        <f t="shared" si="23"/>
        <v>38390.416298824624</v>
      </c>
      <c r="I89">
        <f t="shared" si="24"/>
        <v>0</v>
      </c>
      <c r="J89">
        <f t="shared" si="25"/>
        <v>0</v>
      </c>
      <c r="K89">
        <f t="shared" si="26"/>
        <v>68650395.411511004</v>
      </c>
      <c r="L89">
        <f t="shared" si="27"/>
        <v>45000000</v>
      </c>
      <c r="M89">
        <f t="shared" si="28"/>
        <v>9498165.34567043</v>
      </c>
      <c r="N89">
        <f>K89*Inputs!B6/12</f>
        <v>328949.81134682358</v>
      </c>
      <c r="O89">
        <f t="shared" si="29"/>
        <v>328949.81134682358</v>
      </c>
      <c r="P89">
        <f t="shared" si="30"/>
        <v>0</v>
      </c>
      <c r="Q89">
        <f>L89*Inputs!B6/12</f>
        <v>215625</v>
      </c>
      <c r="R89">
        <f t="shared" si="31"/>
        <v>209993.10003715276</v>
      </c>
      <c r="S89">
        <f t="shared" si="32"/>
        <v>5631.8999628472375</v>
      </c>
      <c r="T89">
        <f t="shared" si="33"/>
        <v>0</v>
      </c>
      <c r="U89">
        <f t="shared" si="34"/>
        <v>1299684.1740723618</v>
      </c>
      <c r="V89">
        <f t="shared" si="35"/>
        <v>0</v>
      </c>
      <c r="W89">
        <f t="shared" si="36"/>
        <v>0</v>
      </c>
      <c r="X89">
        <f t="shared" si="37"/>
        <v>67350711.237438649</v>
      </c>
      <c r="Y89">
        <f t="shared" si="38"/>
        <v>45000000</v>
      </c>
      <c r="Z89">
        <f t="shared" si="39"/>
        <v>9498165.34567043</v>
      </c>
      <c r="AA89">
        <f t="shared" si="40"/>
        <v>0</v>
      </c>
      <c r="AB89">
        <f t="shared" si="41"/>
        <v>0</v>
      </c>
      <c r="AC89">
        <f t="shared" si="42"/>
        <v>0</v>
      </c>
    </row>
    <row r="90" spans="1:29" x14ac:dyDescent="0.2">
      <c r="A90">
        <v>89</v>
      </c>
      <c r="B90">
        <f>LoanPool!L90</f>
        <v>533088.83505110233</v>
      </c>
      <c r="C90">
        <f>LoanPool!M90</f>
        <v>1288031.0900862003</v>
      </c>
      <c r="D90">
        <f>LoanPool!H90</f>
        <v>37972.637846067264</v>
      </c>
      <c r="E90">
        <f t="shared" si="43"/>
        <v>67350711.237438649</v>
      </c>
      <c r="F90">
        <f t="shared" si="44"/>
        <v>45000000</v>
      </c>
      <c r="G90">
        <f t="shared" si="45"/>
        <v>9498165.34567043</v>
      </c>
      <c r="H90">
        <f t="shared" si="23"/>
        <v>37972.637846067264</v>
      </c>
      <c r="I90">
        <f t="shared" si="24"/>
        <v>0</v>
      </c>
      <c r="J90">
        <f t="shared" si="25"/>
        <v>0</v>
      </c>
      <c r="K90">
        <f t="shared" si="26"/>
        <v>67350711.237438649</v>
      </c>
      <c r="L90">
        <f t="shared" si="27"/>
        <v>45000000</v>
      </c>
      <c r="M90">
        <f t="shared" si="28"/>
        <v>9460192.7078243624</v>
      </c>
      <c r="N90">
        <f>K90*Inputs!B6/12</f>
        <v>322722.15801272687</v>
      </c>
      <c r="O90">
        <f t="shared" si="29"/>
        <v>322722.15801272687</v>
      </c>
      <c r="P90">
        <f t="shared" si="30"/>
        <v>0</v>
      </c>
      <c r="Q90">
        <f>L90*Inputs!B6/12</f>
        <v>215625</v>
      </c>
      <c r="R90">
        <f t="shared" si="31"/>
        <v>210366.67703837546</v>
      </c>
      <c r="S90">
        <f t="shared" si="32"/>
        <v>5258.3229616245371</v>
      </c>
      <c r="T90">
        <f t="shared" si="33"/>
        <v>0</v>
      </c>
      <c r="U90">
        <f t="shared" si="34"/>
        <v>1288031.0900862003</v>
      </c>
      <c r="V90">
        <f t="shared" si="35"/>
        <v>0</v>
      </c>
      <c r="W90">
        <f t="shared" si="36"/>
        <v>0</v>
      </c>
      <c r="X90">
        <f t="shared" si="37"/>
        <v>66062680.14735245</v>
      </c>
      <c r="Y90">
        <f t="shared" si="38"/>
        <v>45000000</v>
      </c>
      <c r="Z90">
        <f t="shared" si="39"/>
        <v>9460192.7078243624</v>
      </c>
      <c r="AA90">
        <f t="shared" si="40"/>
        <v>0</v>
      </c>
      <c r="AB90">
        <f t="shared" si="41"/>
        <v>0</v>
      </c>
      <c r="AC90">
        <f t="shared" si="42"/>
        <v>0</v>
      </c>
    </row>
    <row r="91" spans="1:29" x14ac:dyDescent="0.2">
      <c r="A91">
        <v>90</v>
      </c>
      <c r="B91">
        <f>LoanPool!L91</f>
        <v>527287.56874139863</v>
      </c>
      <c r="C91">
        <f>LoanPool!M91</f>
        <v>1276476.783560659</v>
      </c>
      <c r="D91">
        <f>LoanPool!H91</f>
        <v>37558.630200036459</v>
      </c>
      <c r="E91">
        <f t="shared" si="43"/>
        <v>66062680.14735245</v>
      </c>
      <c r="F91">
        <f t="shared" si="44"/>
        <v>45000000</v>
      </c>
      <c r="G91">
        <f t="shared" si="45"/>
        <v>9460192.7078243624</v>
      </c>
      <c r="H91">
        <f t="shared" si="23"/>
        <v>37558.630200036459</v>
      </c>
      <c r="I91">
        <f t="shared" si="24"/>
        <v>0</v>
      </c>
      <c r="J91">
        <f t="shared" si="25"/>
        <v>0</v>
      </c>
      <c r="K91">
        <f t="shared" si="26"/>
        <v>66062680.14735245</v>
      </c>
      <c r="L91">
        <f t="shared" si="27"/>
        <v>45000000</v>
      </c>
      <c r="M91">
        <f t="shared" si="28"/>
        <v>9422634.0776243266</v>
      </c>
      <c r="N91">
        <f>K91*Inputs!B6/12</f>
        <v>316550.34237273049</v>
      </c>
      <c r="O91">
        <f t="shared" si="29"/>
        <v>316550.34237273049</v>
      </c>
      <c r="P91">
        <f t="shared" si="30"/>
        <v>0</v>
      </c>
      <c r="Q91">
        <f>L91*Inputs!B6/12</f>
        <v>215625</v>
      </c>
      <c r="R91">
        <f t="shared" si="31"/>
        <v>210737.22636866814</v>
      </c>
      <c r="S91">
        <f t="shared" si="32"/>
        <v>4887.7736313318601</v>
      </c>
      <c r="T91">
        <f t="shared" si="33"/>
        <v>0</v>
      </c>
      <c r="U91">
        <f t="shared" si="34"/>
        <v>1276476.783560659</v>
      </c>
      <c r="V91">
        <f t="shared" si="35"/>
        <v>0</v>
      </c>
      <c r="W91">
        <f t="shared" si="36"/>
        <v>0</v>
      </c>
      <c r="X91">
        <f t="shared" si="37"/>
        <v>64786203.363791794</v>
      </c>
      <c r="Y91">
        <f t="shared" si="38"/>
        <v>45000000</v>
      </c>
      <c r="Z91">
        <f t="shared" si="39"/>
        <v>9422634.0776243266</v>
      </c>
      <c r="AA91">
        <f t="shared" si="40"/>
        <v>0</v>
      </c>
      <c r="AB91">
        <f t="shared" si="41"/>
        <v>0</v>
      </c>
      <c r="AC91">
        <f t="shared" si="42"/>
        <v>0</v>
      </c>
    </row>
    <row r="92" spans="1:29" x14ac:dyDescent="0.2">
      <c r="A92">
        <v>91</v>
      </c>
      <c r="B92">
        <f>LoanPool!L92</f>
        <v>521538.6638061956</v>
      </c>
      <c r="C92">
        <f>LoanPool!M92</f>
        <v>1265020.4350059803</v>
      </c>
      <c r="D92">
        <f>LoanPool!H92</f>
        <v>37148.361319566473</v>
      </c>
      <c r="E92">
        <f t="shared" si="43"/>
        <v>64786203.363791794</v>
      </c>
      <c r="F92">
        <f t="shared" si="44"/>
        <v>45000000</v>
      </c>
      <c r="G92">
        <f t="shared" si="45"/>
        <v>9422634.0776243266</v>
      </c>
      <c r="H92">
        <f t="shared" si="23"/>
        <v>37148.361319566473</v>
      </c>
      <c r="I92">
        <f t="shared" si="24"/>
        <v>0</v>
      </c>
      <c r="J92">
        <f t="shared" si="25"/>
        <v>0</v>
      </c>
      <c r="K92">
        <f t="shared" si="26"/>
        <v>64786203.363791794</v>
      </c>
      <c r="L92">
        <f t="shared" si="27"/>
        <v>45000000</v>
      </c>
      <c r="M92">
        <f t="shared" si="28"/>
        <v>9385485.7163047604</v>
      </c>
      <c r="N92">
        <f>K92*Inputs!B6/12</f>
        <v>310433.89111816901</v>
      </c>
      <c r="O92">
        <f t="shared" si="29"/>
        <v>310433.89111816901</v>
      </c>
      <c r="P92">
        <f t="shared" si="30"/>
        <v>0</v>
      </c>
      <c r="Q92">
        <f>L92*Inputs!B6/12</f>
        <v>215625</v>
      </c>
      <c r="R92">
        <f t="shared" si="31"/>
        <v>211104.7726880266</v>
      </c>
      <c r="S92">
        <f t="shared" si="32"/>
        <v>4520.2273119734018</v>
      </c>
      <c r="T92">
        <f t="shared" si="33"/>
        <v>0</v>
      </c>
      <c r="U92">
        <f t="shared" si="34"/>
        <v>1265020.4350059803</v>
      </c>
      <c r="V92">
        <f t="shared" si="35"/>
        <v>0</v>
      </c>
      <c r="W92">
        <f t="shared" si="36"/>
        <v>0</v>
      </c>
      <c r="X92">
        <f t="shared" si="37"/>
        <v>63521182.928785816</v>
      </c>
      <c r="Y92">
        <f t="shared" si="38"/>
        <v>45000000</v>
      </c>
      <c r="Z92">
        <f t="shared" si="39"/>
        <v>9385485.7163047604</v>
      </c>
      <c r="AA92">
        <f t="shared" si="40"/>
        <v>0</v>
      </c>
      <c r="AB92">
        <f t="shared" si="41"/>
        <v>0</v>
      </c>
      <c r="AC92">
        <f t="shared" si="42"/>
        <v>0</v>
      </c>
    </row>
    <row r="93" spans="1:29" x14ac:dyDescent="0.2">
      <c r="A93">
        <v>92</v>
      </c>
      <c r="B93">
        <f>LoanPool!L93</f>
        <v>515841.67532227142</v>
      </c>
      <c r="C93">
        <f>LoanPool!M93</f>
        <v>1253661.2316724251</v>
      </c>
      <c r="D93">
        <f>LoanPool!H93</f>
        <v>36741.799429572508</v>
      </c>
      <c r="E93">
        <f t="shared" si="43"/>
        <v>63521182.928785816</v>
      </c>
      <c r="F93">
        <f t="shared" si="44"/>
        <v>45000000</v>
      </c>
      <c r="G93">
        <f t="shared" si="45"/>
        <v>9385485.7163047604</v>
      </c>
      <c r="H93">
        <f t="shared" si="23"/>
        <v>36741.799429572508</v>
      </c>
      <c r="I93">
        <f t="shared" si="24"/>
        <v>0</v>
      </c>
      <c r="J93">
        <f t="shared" si="25"/>
        <v>0</v>
      </c>
      <c r="K93">
        <f t="shared" si="26"/>
        <v>63521182.928785816</v>
      </c>
      <c r="L93">
        <f t="shared" si="27"/>
        <v>45000000</v>
      </c>
      <c r="M93">
        <f t="shared" si="28"/>
        <v>9348743.9168751873</v>
      </c>
      <c r="N93">
        <f>K93*Inputs!B6/12</f>
        <v>304372.33486709872</v>
      </c>
      <c r="O93">
        <f t="shared" si="29"/>
        <v>304372.33486709872</v>
      </c>
      <c r="P93">
        <f t="shared" si="30"/>
        <v>0</v>
      </c>
      <c r="Q93">
        <f>L93*Inputs!B6/12</f>
        <v>215625</v>
      </c>
      <c r="R93">
        <f t="shared" si="31"/>
        <v>211469.3404551727</v>
      </c>
      <c r="S93">
        <f t="shared" si="32"/>
        <v>4155.6595448273001</v>
      </c>
      <c r="T93">
        <f t="shared" si="33"/>
        <v>0</v>
      </c>
      <c r="U93">
        <f t="shared" si="34"/>
        <v>1253661.2316724251</v>
      </c>
      <c r="V93">
        <f t="shared" si="35"/>
        <v>0</v>
      </c>
      <c r="W93">
        <f t="shared" si="36"/>
        <v>0</v>
      </c>
      <c r="X93">
        <f t="shared" si="37"/>
        <v>62267521.697113387</v>
      </c>
      <c r="Y93">
        <f t="shared" si="38"/>
        <v>45000000</v>
      </c>
      <c r="Z93">
        <f t="shared" si="39"/>
        <v>9348743.9168751873</v>
      </c>
      <c r="AA93">
        <f t="shared" si="40"/>
        <v>0</v>
      </c>
      <c r="AB93">
        <f t="shared" si="41"/>
        <v>0</v>
      </c>
      <c r="AC93">
        <f t="shared" si="42"/>
        <v>0</v>
      </c>
    </row>
    <row r="94" spans="1:29" x14ac:dyDescent="0.2">
      <c r="A94">
        <v>93</v>
      </c>
      <c r="B94">
        <f>LoanPool!L94</f>
        <v>510196.16206120007</v>
      </c>
      <c r="C94">
        <f>LoanPool!M94</f>
        <v>1242398.367495039</v>
      </c>
      <c r="D94">
        <f>LoanPool!H94</f>
        <v>36338.913018861349</v>
      </c>
      <c r="E94">
        <f t="shared" si="43"/>
        <v>62267521.697113387</v>
      </c>
      <c r="F94">
        <f t="shared" si="44"/>
        <v>45000000</v>
      </c>
      <c r="G94">
        <f t="shared" si="45"/>
        <v>9348743.9168751873</v>
      </c>
      <c r="H94">
        <f t="shared" si="23"/>
        <v>36338.913018861349</v>
      </c>
      <c r="I94">
        <f t="shared" si="24"/>
        <v>0</v>
      </c>
      <c r="J94">
        <f t="shared" si="25"/>
        <v>0</v>
      </c>
      <c r="K94">
        <f t="shared" si="26"/>
        <v>62267521.697113387</v>
      </c>
      <c r="L94">
        <f t="shared" si="27"/>
        <v>45000000</v>
      </c>
      <c r="M94">
        <f t="shared" si="28"/>
        <v>9312405.0038563255</v>
      </c>
      <c r="N94">
        <f>K94*Inputs!B6/12</f>
        <v>298365.20813200163</v>
      </c>
      <c r="O94">
        <f t="shared" si="29"/>
        <v>298365.20813200163</v>
      </c>
      <c r="P94">
        <f t="shared" si="30"/>
        <v>0</v>
      </c>
      <c r="Q94">
        <f>L94*Inputs!B6/12</f>
        <v>215625</v>
      </c>
      <c r="R94">
        <f t="shared" si="31"/>
        <v>211830.95392919844</v>
      </c>
      <c r="S94">
        <f t="shared" si="32"/>
        <v>3794.0460708015598</v>
      </c>
      <c r="T94">
        <f t="shared" si="33"/>
        <v>0</v>
      </c>
      <c r="U94">
        <f t="shared" si="34"/>
        <v>1242398.367495039</v>
      </c>
      <c r="V94">
        <f t="shared" si="35"/>
        <v>0</v>
      </c>
      <c r="W94">
        <f t="shared" si="36"/>
        <v>0</v>
      </c>
      <c r="X94">
        <f t="shared" si="37"/>
        <v>61025123.32961835</v>
      </c>
      <c r="Y94">
        <f t="shared" si="38"/>
        <v>45000000</v>
      </c>
      <c r="Z94">
        <f t="shared" si="39"/>
        <v>9312405.0038563255</v>
      </c>
      <c r="AA94">
        <f t="shared" si="40"/>
        <v>0</v>
      </c>
      <c r="AB94">
        <f t="shared" si="41"/>
        <v>0</v>
      </c>
      <c r="AC94">
        <f t="shared" si="42"/>
        <v>0</v>
      </c>
    </row>
    <row r="95" spans="1:29" x14ac:dyDescent="0.2">
      <c r="A95">
        <v>94</v>
      </c>
      <c r="B95">
        <f>LoanPool!L95</f>
        <v>504601.68645895174</v>
      </c>
      <c r="C95">
        <f>LoanPool!M95</f>
        <v>1231231.0430388681</v>
      </c>
      <c r="D95">
        <f>LoanPool!H95</f>
        <v>35939.670837960082</v>
      </c>
      <c r="E95">
        <f t="shared" si="43"/>
        <v>61025123.32961835</v>
      </c>
      <c r="F95">
        <f t="shared" si="44"/>
        <v>45000000</v>
      </c>
      <c r="G95">
        <f t="shared" si="45"/>
        <v>9312405.0038563255</v>
      </c>
      <c r="H95">
        <f t="shared" si="23"/>
        <v>35939.670837960082</v>
      </c>
      <c r="I95">
        <f t="shared" si="24"/>
        <v>0</v>
      </c>
      <c r="J95">
        <f t="shared" si="25"/>
        <v>0</v>
      </c>
      <c r="K95">
        <f t="shared" si="26"/>
        <v>61025123.32961835</v>
      </c>
      <c r="L95">
        <f t="shared" si="27"/>
        <v>45000000</v>
      </c>
      <c r="M95">
        <f t="shared" si="28"/>
        <v>9276465.3330183662</v>
      </c>
      <c r="N95">
        <f>K95*Inputs!B6/12</f>
        <v>292412.04928775463</v>
      </c>
      <c r="O95">
        <f t="shared" si="29"/>
        <v>292412.04928775463</v>
      </c>
      <c r="P95">
        <f t="shared" si="30"/>
        <v>0</v>
      </c>
      <c r="Q95">
        <f>L95*Inputs!B6/12</f>
        <v>215625</v>
      </c>
      <c r="R95">
        <f t="shared" si="31"/>
        <v>212189.6371711971</v>
      </c>
      <c r="S95">
        <f t="shared" si="32"/>
        <v>3435.3628288028995</v>
      </c>
      <c r="T95">
        <f t="shared" si="33"/>
        <v>0</v>
      </c>
      <c r="U95">
        <f t="shared" si="34"/>
        <v>1231231.0430388681</v>
      </c>
      <c r="V95">
        <f t="shared" si="35"/>
        <v>0</v>
      </c>
      <c r="W95">
        <f t="shared" si="36"/>
        <v>0</v>
      </c>
      <c r="X95">
        <f t="shared" si="37"/>
        <v>59793892.286579482</v>
      </c>
      <c r="Y95">
        <f t="shared" si="38"/>
        <v>45000000</v>
      </c>
      <c r="Z95">
        <f t="shared" si="39"/>
        <v>9276465.3330183662</v>
      </c>
      <c r="AA95">
        <f t="shared" si="40"/>
        <v>0</v>
      </c>
      <c r="AB95">
        <f t="shared" si="41"/>
        <v>0</v>
      </c>
      <c r="AC95">
        <f t="shared" si="42"/>
        <v>0</v>
      </c>
    </row>
    <row r="96" spans="1:29" x14ac:dyDescent="0.2">
      <c r="A96">
        <v>95</v>
      </c>
      <c r="B96">
        <f>LoanPool!L96</f>
        <v>499057.81458574068</v>
      </c>
      <c r="C96">
        <f>LoanPool!M96</f>
        <v>1220158.4654446214</v>
      </c>
      <c r="D96">
        <f>LoanPool!H96</f>
        <v>35544.041896962488</v>
      </c>
      <c r="E96">
        <f t="shared" si="43"/>
        <v>59793892.286579482</v>
      </c>
      <c r="F96">
        <f t="shared" si="44"/>
        <v>45000000</v>
      </c>
      <c r="G96">
        <f t="shared" si="45"/>
        <v>9276465.3330183662</v>
      </c>
      <c r="H96">
        <f t="shared" si="23"/>
        <v>35544.041896962488</v>
      </c>
      <c r="I96">
        <f t="shared" si="24"/>
        <v>0</v>
      </c>
      <c r="J96">
        <f t="shared" si="25"/>
        <v>0</v>
      </c>
      <c r="K96">
        <f t="shared" si="26"/>
        <v>59793892.286579482</v>
      </c>
      <c r="L96">
        <f t="shared" si="27"/>
        <v>45000000</v>
      </c>
      <c r="M96">
        <f t="shared" si="28"/>
        <v>9240921.2911214046</v>
      </c>
      <c r="N96">
        <f>K96*Inputs!B6/12</f>
        <v>286512.40053986001</v>
      </c>
      <c r="O96">
        <f t="shared" si="29"/>
        <v>286512.40053986001</v>
      </c>
      <c r="P96">
        <f t="shared" si="30"/>
        <v>0</v>
      </c>
      <c r="Q96">
        <f>L96*Inputs!B6/12</f>
        <v>215625</v>
      </c>
      <c r="R96">
        <f t="shared" si="31"/>
        <v>212545.41404588067</v>
      </c>
      <c r="S96">
        <f t="shared" si="32"/>
        <v>3079.5859541193349</v>
      </c>
      <c r="T96">
        <f t="shared" si="33"/>
        <v>0</v>
      </c>
      <c r="U96">
        <f t="shared" si="34"/>
        <v>1220158.4654446214</v>
      </c>
      <c r="V96">
        <f t="shared" si="35"/>
        <v>0</v>
      </c>
      <c r="W96">
        <f t="shared" si="36"/>
        <v>0</v>
      </c>
      <c r="X96">
        <f t="shared" si="37"/>
        <v>58573733.821134858</v>
      </c>
      <c r="Y96">
        <f t="shared" si="38"/>
        <v>45000000</v>
      </c>
      <c r="Z96">
        <f t="shared" si="39"/>
        <v>9240921.2911214046</v>
      </c>
      <c r="AA96">
        <f t="shared" si="40"/>
        <v>0</v>
      </c>
      <c r="AB96">
        <f t="shared" si="41"/>
        <v>0</v>
      </c>
      <c r="AC96">
        <f t="shared" si="42"/>
        <v>0</v>
      </c>
    </row>
    <row r="97" spans="1:29" x14ac:dyDescent="0.2">
      <c r="A97">
        <v>96</v>
      </c>
      <c r="B97">
        <f>LoanPool!L97</f>
        <v>493564.11611612124</v>
      </c>
      <c r="C97">
        <f>LoanPool!M97</f>
        <v>1209179.8483747807</v>
      </c>
      <c r="D97">
        <f>LoanPool!H97</f>
        <v>35151.995463393207</v>
      </c>
      <c r="E97">
        <f t="shared" si="43"/>
        <v>58573733.821134858</v>
      </c>
      <c r="F97">
        <f t="shared" si="44"/>
        <v>45000000</v>
      </c>
      <c r="G97">
        <f t="shared" si="45"/>
        <v>9240921.2911214046</v>
      </c>
      <c r="H97">
        <f t="shared" si="23"/>
        <v>35151.995463393207</v>
      </c>
      <c r="I97">
        <f t="shared" si="24"/>
        <v>0</v>
      </c>
      <c r="J97">
        <f t="shared" si="25"/>
        <v>0</v>
      </c>
      <c r="K97">
        <f t="shared" si="26"/>
        <v>58573733.821134858</v>
      </c>
      <c r="L97">
        <f t="shared" si="27"/>
        <v>45000000</v>
      </c>
      <c r="M97">
        <f t="shared" si="28"/>
        <v>9205769.295658011</v>
      </c>
      <c r="N97">
        <f>K97*Inputs!B6/12</f>
        <v>280665.80789293785</v>
      </c>
      <c r="O97">
        <f t="shared" si="29"/>
        <v>280665.80789293785</v>
      </c>
      <c r="P97">
        <f t="shared" si="30"/>
        <v>0</v>
      </c>
      <c r="Q97">
        <f>L97*Inputs!B6/12</f>
        <v>215625</v>
      </c>
      <c r="R97">
        <f t="shared" si="31"/>
        <v>212898.30822318338</v>
      </c>
      <c r="S97">
        <f t="shared" si="32"/>
        <v>2726.6917768166168</v>
      </c>
      <c r="T97">
        <f t="shared" si="33"/>
        <v>0</v>
      </c>
      <c r="U97">
        <f t="shared" si="34"/>
        <v>1209179.8483747807</v>
      </c>
      <c r="V97">
        <f t="shared" si="35"/>
        <v>0</v>
      </c>
      <c r="W97">
        <f t="shared" si="36"/>
        <v>0</v>
      </c>
      <c r="X97">
        <f t="shared" si="37"/>
        <v>57364553.972760074</v>
      </c>
      <c r="Y97">
        <f t="shared" si="38"/>
        <v>45000000</v>
      </c>
      <c r="Z97">
        <f t="shared" si="39"/>
        <v>9205769.295658011</v>
      </c>
      <c r="AA97">
        <f t="shared" si="40"/>
        <v>0</v>
      </c>
      <c r="AB97">
        <f t="shared" si="41"/>
        <v>0</v>
      </c>
      <c r="AC97">
        <f t="shared" si="42"/>
        <v>0</v>
      </c>
    </row>
    <row r="98" spans="1:29" x14ac:dyDescent="0.2">
      <c r="A98">
        <v>97</v>
      </c>
      <c r="B98">
        <f>LoanPool!L98</f>
        <v>488120.16429932934</v>
      </c>
      <c r="C98">
        <f>LoanPool!M98</f>
        <v>1198294.4119601494</v>
      </c>
      <c r="D98">
        <f>LoanPool!H98</f>
        <v>34763.5010600893</v>
      </c>
      <c r="E98">
        <f t="shared" si="43"/>
        <v>57364553.972760074</v>
      </c>
      <c r="F98">
        <f t="shared" si="44"/>
        <v>45000000</v>
      </c>
      <c r="G98">
        <f t="shared" si="45"/>
        <v>9205769.295658011</v>
      </c>
      <c r="H98">
        <f t="shared" si="23"/>
        <v>34763.5010600893</v>
      </c>
      <c r="I98">
        <f t="shared" si="24"/>
        <v>0</v>
      </c>
      <c r="J98">
        <f t="shared" si="25"/>
        <v>0</v>
      </c>
      <c r="K98">
        <f t="shared" si="26"/>
        <v>57364553.972760074</v>
      </c>
      <c r="L98">
        <f t="shared" si="27"/>
        <v>45000000</v>
      </c>
      <c r="M98">
        <f t="shared" si="28"/>
        <v>9171005.7945979219</v>
      </c>
      <c r="N98">
        <f>K98*Inputs!B6/12</f>
        <v>274871.82111947535</v>
      </c>
      <c r="O98">
        <f t="shared" si="29"/>
        <v>274871.82111947535</v>
      </c>
      <c r="P98">
        <f t="shared" si="30"/>
        <v>0</v>
      </c>
      <c r="Q98">
        <f>L98*Inputs!B6/12</f>
        <v>215625</v>
      </c>
      <c r="R98">
        <f t="shared" si="31"/>
        <v>213248.34317985398</v>
      </c>
      <c r="S98">
        <f t="shared" si="32"/>
        <v>2376.6568201460177</v>
      </c>
      <c r="T98">
        <f t="shared" si="33"/>
        <v>0</v>
      </c>
      <c r="U98">
        <f t="shared" si="34"/>
        <v>1198294.4119601494</v>
      </c>
      <c r="V98">
        <f t="shared" si="35"/>
        <v>0</v>
      </c>
      <c r="W98">
        <f t="shared" si="36"/>
        <v>0</v>
      </c>
      <c r="X98">
        <f t="shared" si="37"/>
        <v>56166259.560799927</v>
      </c>
      <c r="Y98">
        <f t="shared" si="38"/>
        <v>45000000</v>
      </c>
      <c r="Z98">
        <f t="shared" si="39"/>
        <v>9171005.7945979219</v>
      </c>
      <c r="AA98">
        <f t="shared" si="40"/>
        <v>0</v>
      </c>
      <c r="AB98">
        <f t="shared" si="41"/>
        <v>0</v>
      </c>
      <c r="AC98">
        <f t="shared" si="42"/>
        <v>0</v>
      </c>
    </row>
    <row r="99" spans="1:29" x14ac:dyDescent="0.2">
      <c r="A99">
        <v>98</v>
      </c>
      <c r="B99">
        <f>LoanPool!L99</f>
        <v>482725.53592986579</v>
      </c>
      <c r="C99">
        <f>LoanPool!M99</f>
        <v>1187501.3827468413</v>
      </c>
      <c r="D99">
        <f>LoanPool!H99</f>
        <v>34378.528463099246</v>
      </c>
      <c r="E99">
        <f t="shared" si="43"/>
        <v>56166259.560799927</v>
      </c>
      <c r="F99">
        <f t="shared" si="44"/>
        <v>45000000</v>
      </c>
      <c r="G99">
        <f t="shared" si="45"/>
        <v>9171005.7945979219</v>
      </c>
      <c r="H99">
        <f t="shared" si="23"/>
        <v>34378.528463099246</v>
      </c>
      <c r="I99">
        <f t="shared" si="24"/>
        <v>0</v>
      </c>
      <c r="J99">
        <f t="shared" si="25"/>
        <v>0</v>
      </c>
      <c r="K99">
        <f t="shared" si="26"/>
        <v>56166259.560799927</v>
      </c>
      <c r="L99">
        <f t="shared" si="27"/>
        <v>45000000</v>
      </c>
      <c r="M99">
        <f t="shared" si="28"/>
        <v>9136627.2661348227</v>
      </c>
      <c r="N99">
        <f>K99*Inputs!B6/12</f>
        <v>269129.99372883298</v>
      </c>
      <c r="O99">
        <f t="shared" si="29"/>
        <v>269129.99372883298</v>
      </c>
      <c r="P99">
        <f t="shared" si="30"/>
        <v>0</v>
      </c>
      <c r="Q99">
        <f>L99*Inputs!B6/12</f>
        <v>215625</v>
      </c>
      <c r="R99">
        <f t="shared" si="31"/>
        <v>213595.5422010328</v>
      </c>
      <c r="S99">
        <f t="shared" si="32"/>
        <v>2029.4577989671961</v>
      </c>
      <c r="T99">
        <f t="shared" si="33"/>
        <v>0</v>
      </c>
      <c r="U99">
        <f t="shared" si="34"/>
        <v>1187501.3827468413</v>
      </c>
      <c r="V99">
        <f t="shared" si="35"/>
        <v>0</v>
      </c>
      <c r="W99">
        <f t="shared" si="36"/>
        <v>0</v>
      </c>
      <c r="X99">
        <f t="shared" si="37"/>
        <v>54978758.178053088</v>
      </c>
      <c r="Y99">
        <f t="shared" si="38"/>
        <v>45000000</v>
      </c>
      <c r="Z99">
        <f t="shared" si="39"/>
        <v>9136627.2661348227</v>
      </c>
      <c r="AA99">
        <f t="shared" si="40"/>
        <v>0</v>
      </c>
      <c r="AB99">
        <f t="shared" si="41"/>
        <v>0</v>
      </c>
      <c r="AC99">
        <f t="shared" si="42"/>
        <v>0</v>
      </c>
    </row>
    <row r="100" spans="1:29" x14ac:dyDescent="0.2">
      <c r="A100">
        <v>99</v>
      </c>
      <c r="B100">
        <f>LoanPool!L100</f>
        <v>477379.8113183222</v>
      </c>
      <c r="C100">
        <f>LoanPool!M100</f>
        <v>1176799.9936436974</v>
      </c>
      <c r="D100">
        <f>LoanPool!H100</f>
        <v>33997.047699599141</v>
      </c>
      <c r="E100">
        <f t="shared" si="43"/>
        <v>54978758.178053088</v>
      </c>
      <c r="F100">
        <f t="shared" si="44"/>
        <v>45000000</v>
      </c>
      <c r="G100">
        <f t="shared" si="45"/>
        <v>9136627.2661348227</v>
      </c>
      <c r="H100">
        <f t="shared" si="23"/>
        <v>33997.047699599141</v>
      </c>
      <c r="I100">
        <f t="shared" si="24"/>
        <v>0</v>
      </c>
      <c r="J100">
        <f t="shared" si="25"/>
        <v>0</v>
      </c>
      <c r="K100">
        <f t="shared" si="26"/>
        <v>54978758.178053088</v>
      </c>
      <c r="L100">
        <f t="shared" si="27"/>
        <v>45000000</v>
      </c>
      <c r="M100">
        <f t="shared" si="28"/>
        <v>9102630.2184352241</v>
      </c>
      <c r="N100">
        <f>K100*Inputs!B6/12</f>
        <v>263439.88293650438</v>
      </c>
      <c r="O100">
        <f t="shared" si="29"/>
        <v>263439.88293650438</v>
      </c>
      <c r="P100">
        <f t="shared" si="30"/>
        <v>0</v>
      </c>
      <c r="Q100">
        <f>L100*Inputs!B6/12</f>
        <v>215625</v>
      </c>
      <c r="R100">
        <f t="shared" si="31"/>
        <v>213939.92838181782</v>
      </c>
      <c r="S100">
        <f t="shared" si="32"/>
        <v>1685.0716181821772</v>
      </c>
      <c r="T100">
        <f t="shared" si="33"/>
        <v>0</v>
      </c>
      <c r="U100">
        <f t="shared" si="34"/>
        <v>1176799.9936436974</v>
      </c>
      <c r="V100">
        <f t="shared" si="35"/>
        <v>0</v>
      </c>
      <c r="W100">
        <f t="shared" si="36"/>
        <v>0</v>
      </c>
      <c r="X100">
        <f t="shared" si="37"/>
        <v>53801958.184409395</v>
      </c>
      <c r="Y100">
        <f t="shared" si="38"/>
        <v>45000000</v>
      </c>
      <c r="Z100">
        <f t="shared" si="39"/>
        <v>9102630.2184352241</v>
      </c>
      <c r="AA100">
        <f t="shared" si="40"/>
        <v>0</v>
      </c>
      <c r="AB100">
        <f t="shared" si="41"/>
        <v>0</v>
      </c>
      <c r="AC100">
        <f t="shared" si="42"/>
        <v>0</v>
      </c>
    </row>
    <row r="101" spans="1:29" x14ac:dyDescent="0.2">
      <c r="A101">
        <v>100</v>
      </c>
      <c r="B101">
        <f>LoanPool!L101</f>
        <v>472082.57426244533</v>
      </c>
      <c r="C101">
        <f>LoanPool!M101</f>
        <v>1166189.4838701426</v>
      </c>
      <c r="D101">
        <f>LoanPool!H101</f>
        <v>33619.029045825984</v>
      </c>
      <c r="E101">
        <f t="shared" si="43"/>
        <v>53801958.184409395</v>
      </c>
      <c r="F101">
        <f t="shared" si="44"/>
        <v>45000000</v>
      </c>
      <c r="G101">
        <f t="shared" si="45"/>
        <v>9102630.2184352241</v>
      </c>
      <c r="H101">
        <f t="shared" si="23"/>
        <v>33619.029045825984</v>
      </c>
      <c r="I101">
        <f t="shared" si="24"/>
        <v>0</v>
      </c>
      <c r="J101">
        <f t="shared" si="25"/>
        <v>0</v>
      </c>
      <c r="K101">
        <f t="shared" si="26"/>
        <v>53801958.184409395</v>
      </c>
      <c r="L101">
        <f t="shared" si="27"/>
        <v>45000000</v>
      </c>
      <c r="M101">
        <f t="shared" si="28"/>
        <v>9069011.1893893983</v>
      </c>
      <c r="N101">
        <f>K101*Inputs!B6/12</f>
        <v>257801.04963362837</v>
      </c>
      <c r="O101">
        <f t="shared" si="29"/>
        <v>257801.04963362837</v>
      </c>
      <c r="P101">
        <f t="shared" si="30"/>
        <v>0</v>
      </c>
      <c r="Q101">
        <f>L101*Inputs!B6/12</f>
        <v>215625</v>
      </c>
      <c r="R101">
        <f t="shared" si="31"/>
        <v>214281.52462881696</v>
      </c>
      <c r="S101">
        <f t="shared" si="32"/>
        <v>1343.4753711830417</v>
      </c>
      <c r="T101">
        <f t="shared" si="33"/>
        <v>0</v>
      </c>
      <c r="U101">
        <f t="shared" si="34"/>
        <v>1166189.4838701426</v>
      </c>
      <c r="V101">
        <f t="shared" si="35"/>
        <v>0</v>
      </c>
      <c r="W101">
        <f t="shared" si="36"/>
        <v>0</v>
      </c>
      <c r="X101">
        <f t="shared" si="37"/>
        <v>52635768.700539254</v>
      </c>
      <c r="Y101">
        <f t="shared" si="38"/>
        <v>45000000</v>
      </c>
      <c r="Z101">
        <f t="shared" si="39"/>
        <v>9069011.1893893983</v>
      </c>
      <c r="AA101">
        <f t="shared" si="40"/>
        <v>0</v>
      </c>
      <c r="AB101">
        <f t="shared" si="41"/>
        <v>0</v>
      </c>
      <c r="AC101">
        <f t="shared" si="42"/>
        <v>0</v>
      </c>
    </row>
    <row r="102" spans="1:29" x14ac:dyDescent="0.2">
      <c r="A102">
        <v>101</v>
      </c>
      <c r="B102">
        <f>LoanPool!L102</f>
        <v>466833.41201843799</v>
      </c>
      <c r="C102">
        <f>LoanPool!M102</f>
        <v>1155669.0989044595</v>
      </c>
      <c r="D102">
        <f>LoanPool!H102</f>
        <v>33244.443025027904</v>
      </c>
      <c r="E102">
        <f t="shared" si="43"/>
        <v>52635768.700539254</v>
      </c>
      <c r="F102">
        <f t="shared" si="44"/>
        <v>45000000</v>
      </c>
      <c r="G102">
        <f t="shared" si="45"/>
        <v>9069011.1893893983</v>
      </c>
      <c r="H102">
        <f t="shared" si="23"/>
        <v>33244.443025027904</v>
      </c>
      <c r="I102">
        <f t="shared" si="24"/>
        <v>0</v>
      </c>
      <c r="J102">
        <f t="shared" si="25"/>
        <v>0</v>
      </c>
      <c r="K102">
        <f t="shared" si="26"/>
        <v>52635768.700539254</v>
      </c>
      <c r="L102">
        <f t="shared" si="27"/>
        <v>45000000</v>
      </c>
      <c r="M102">
        <f t="shared" si="28"/>
        <v>9035766.74636437</v>
      </c>
      <c r="N102">
        <f>K102*Inputs!B6/12</f>
        <v>252213.05835675061</v>
      </c>
      <c r="O102">
        <f t="shared" si="29"/>
        <v>252213.05835675061</v>
      </c>
      <c r="P102">
        <f t="shared" si="30"/>
        <v>0</v>
      </c>
      <c r="Q102">
        <f>L102*Inputs!B6/12</f>
        <v>215625</v>
      </c>
      <c r="R102">
        <f t="shared" si="31"/>
        <v>214620.35366168738</v>
      </c>
      <c r="S102">
        <f t="shared" si="32"/>
        <v>1004.6463383126247</v>
      </c>
      <c r="T102">
        <f t="shared" si="33"/>
        <v>0</v>
      </c>
      <c r="U102">
        <f t="shared" si="34"/>
        <v>1155669.0989044595</v>
      </c>
      <c r="V102">
        <f t="shared" si="35"/>
        <v>0</v>
      </c>
      <c r="W102">
        <f t="shared" si="36"/>
        <v>0</v>
      </c>
      <c r="X102">
        <f t="shared" si="37"/>
        <v>51480099.601634793</v>
      </c>
      <c r="Y102">
        <f t="shared" si="38"/>
        <v>45000000</v>
      </c>
      <c r="Z102">
        <f t="shared" si="39"/>
        <v>9035766.74636437</v>
      </c>
      <c r="AA102">
        <f t="shared" si="40"/>
        <v>0</v>
      </c>
      <c r="AB102">
        <f t="shared" si="41"/>
        <v>0</v>
      </c>
      <c r="AC102">
        <f t="shared" si="42"/>
        <v>0</v>
      </c>
    </row>
    <row r="103" spans="1:29" x14ac:dyDescent="0.2">
      <c r="A103">
        <v>102</v>
      </c>
      <c r="B103">
        <f>LoanPool!L103</f>
        <v>461631.91527249641</v>
      </c>
      <c r="C103">
        <f>LoanPool!M103</f>
        <v>1145238.0904324898</v>
      </c>
      <c r="D103">
        <f>LoanPool!H103</f>
        <v>32873.260405431167</v>
      </c>
      <c r="E103">
        <f t="shared" si="43"/>
        <v>51480099.601634793</v>
      </c>
      <c r="F103">
        <f t="shared" si="44"/>
        <v>45000000</v>
      </c>
      <c r="G103">
        <f t="shared" si="45"/>
        <v>9035766.74636437</v>
      </c>
      <c r="H103">
        <f t="shared" si="23"/>
        <v>32873.260405431167</v>
      </c>
      <c r="I103">
        <f t="shared" si="24"/>
        <v>0</v>
      </c>
      <c r="J103">
        <f t="shared" si="25"/>
        <v>0</v>
      </c>
      <c r="K103">
        <f t="shared" si="26"/>
        <v>51480099.601634793</v>
      </c>
      <c r="L103">
        <f t="shared" si="27"/>
        <v>45000000</v>
      </c>
      <c r="M103">
        <f t="shared" si="28"/>
        <v>9002893.4859589394</v>
      </c>
      <c r="N103">
        <f>K103*Inputs!B6/12</f>
        <v>246675.47725783338</v>
      </c>
      <c r="O103">
        <f t="shared" si="29"/>
        <v>246675.47725783338</v>
      </c>
      <c r="P103">
        <f t="shared" si="30"/>
        <v>0</v>
      </c>
      <c r="Q103">
        <f>L103*Inputs!B6/12</f>
        <v>215625</v>
      </c>
      <c r="R103">
        <f t="shared" si="31"/>
        <v>214956.43801466303</v>
      </c>
      <c r="S103">
        <f t="shared" si="32"/>
        <v>668.5619853369717</v>
      </c>
      <c r="T103">
        <f t="shared" si="33"/>
        <v>0</v>
      </c>
      <c r="U103">
        <f t="shared" si="34"/>
        <v>1145238.0904324898</v>
      </c>
      <c r="V103">
        <f t="shared" si="35"/>
        <v>0</v>
      </c>
      <c r="W103">
        <f t="shared" si="36"/>
        <v>0</v>
      </c>
      <c r="X103">
        <f t="shared" si="37"/>
        <v>50334861.511202306</v>
      </c>
      <c r="Y103">
        <f t="shared" si="38"/>
        <v>45000000</v>
      </c>
      <c r="Z103">
        <f t="shared" si="39"/>
        <v>9002893.4859589394</v>
      </c>
      <c r="AA103">
        <f t="shared" si="40"/>
        <v>0</v>
      </c>
      <c r="AB103">
        <f t="shared" si="41"/>
        <v>0</v>
      </c>
      <c r="AC103">
        <f t="shared" si="42"/>
        <v>0</v>
      </c>
    </row>
    <row r="104" spans="1:29" x14ac:dyDescent="0.2">
      <c r="A104">
        <v>103</v>
      </c>
      <c r="B104">
        <f>LoanPool!L104</f>
        <v>456477.67811258056</v>
      </c>
      <c r="C104">
        <f>LoanPool!M104</f>
        <v>1134895.7162967583</v>
      </c>
      <c r="D104">
        <f>LoanPool!H104</f>
        <v>32505.452198223873</v>
      </c>
      <c r="E104">
        <f t="shared" si="43"/>
        <v>50334861.511202306</v>
      </c>
      <c r="F104">
        <f t="shared" si="44"/>
        <v>45000000</v>
      </c>
      <c r="G104">
        <f t="shared" si="45"/>
        <v>9002893.4859589394</v>
      </c>
      <c r="H104">
        <f t="shared" si="23"/>
        <v>32505.452198223873</v>
      </c>
      <c r="I104">
        <f t="shared" si="24"/>
        <v>0</v>
      </c>
      <c r="J104">
        <f t="shared" si="25"/>
        <v>0</v>
      </c>
      <c r="K104">
        <f t="shared" si="26"/>
        <v>50334861.511202306</v>
      </c>
      <c r="L104">
        <f t="shared" si="27"/>
        <v>45000000</v>
      </c>
      <c r="M104">
        <f t="shared" si="28"/>
        <v>8970388.0337607153</v>
      </c>
      <c r="N104">
        <f>K104*Inputs!B6/12</f>
        <v>241187.87807451107</v>
      </c>
      <c r="O104">
        <f t="shared" si="29"/>
        <v>241187.87807451107</v>
      </c>
      <c r="P104">
        <f t="shared" si="30"/>
        <v>0</v>
      </c>
      <c r="Q104">
        <f>L104*Inputs!B6/12</f>
        <v>215625</v>
      </c>
      <c r="R104">
        <f t="shared" si="31"/>
        <v>215289.80003806949</v>
      </c>
      <c r="S104">
        <f t="shared" si="32"/>
        <v>335.19996193051338</v>
      </c>
      <c r="T104">
        <f t="shared" si="33"/>
        <v>0</v>
      </c>
      <c r="U104">
        <f t="shared" si="34"/>
        <v>1134895.7162967583</v>
      </c>
      <c r="V104">
        <f t="shared" si="35"/>
        <v>0</v>
      </c>
      <c r="W104">
        <f t="shared" si="36"/>
        <v>0</v>
      </c>
      <c r="X104">
        <f t="shared" si="37"/>
        <v>49199965.794905551</v>
      </c>
      <c r="Y104">
        <f t="shared" si="38"/>
        <v>45000000</v>
      </c>
      <c r="Z104">
        <f t="shared" si="39"/>
        <v>8970388.0337607153</v>
      </c>
      <c r="AA104">
        <f t="shared" si="40"/>
        <v>0</v>
      </c>
      <c r="AB104">
        <f t="shared" si="41"/>
        <v>0</v>
      </c>
      <c r="AC104">
        <f t="shared" si="42"/>
        <v>0</v>
      </c>
    </row>
    <row r="105" spans="1:29" x14ac:dyDescent="0.2">
      <c r="A105">
        <v>104</v>
      </c>
      <c r="B105">
        <f>LoanPool!L105</f>
        <v>451370.29800041503</v>
      </c>
      <c r="C105">
        <f>LoanPool!M105</f>
        <v>1124641.2404460059</v>
      </c>
      <c r="D105">
        <f>LoanPool!H105</f>
        <v>32140.989655556179</v>
      </c>
      <c r="E105">
        <f t="shared" si="43"/>
        <v>49199965.794905551</v>
      </c>
      <c r="F105">
        <f t="shared" si="44"/>
        <v>45000000</v>
      </c>
      <c r="G105">
        <f t="shared" si="45"/>
        <v>8970388.0337607153</v>
      </c>
      <c r="H105">
        <f t="shared" si="23"/>
        <v>32140.989655556179</v>
      </c>
      <c r="I105">
        <f t="shared" si="24"/>
        <v>0</v>
      </c>
      <c r="J105">
        <f t="shared" si="25"/>
        <v>0</v>
      </c>
      <c r="K105">
        <f t="shared" si="26"/>
        <v>49199965.794905551</v>
      </c>
      <c r="L105">
        <f t="shared" si="27"/>
        <v>45000000</v>
      </c>
      <c r="M105">
        <f t="shared" si="28"/>
        <v>8938247.0441051591</v>
      </c>
      <c r="N105">
        <f>K105*Inputs!B6/12</f>
        <v>235749.83610058911</v>
      </c>
      <c r="O105">
        <f t="shared" si="29"/>
        <v>235749.83610058911</v>
      </c>
      <c r="P105">
        <f t="shared" si="30"/>
        <v>0</v>
      </c>
      <c r="Q105">
        <f>L105*Inputs!B6/12</f>
        <v>215625</v>
      </c>
      <c r="R105">
        <f t="shared" si="31"/>
        <v>215620.46189982592</v>
      </c>
      <c r="S105">
        <f t="shared" si="32"/>
        <v>4.5381001740752254</v>
      </c>
      <c r="T105">
        <f t="shared" si="33"/>
        <v>0</v>
      </c>
      <c r="U105">
        <f t="shared" si="34"/>
        <v>1124641.2404460059</v>
      </c>
      <c r="V105">
        <f t="shared" si="35"/>
        <v>0</v>
      </c>
      <c r="W105">
        <f t="shared" si="36"/>
        <v>0</v>
      </c>
      <c r="X105">
        <f t="shared" si="37"/>
        <v>48075324.554459542</v>
      </c>
      <c r="Y105">
        <f t="shared" si="38"/>
        <v>45000000</v>
      </c>
      <c r="Z105">
        <f t="shared" si="39"/>
        <v>8938247.0441051591</v>
      </c>
      <c r="AA105">
        <f t="shared" si="40"/>
        <v>0</v>
      </c>
      <c r="AB105">
        <f t="shared" si="41"/>
        <v>0</v>
      </c>
      <c r="AC105">
        <f t="shared" si="42"/>
        <v>0</v>
      </c>
    </row>
    <row r="106" spans="1:29" x14ac:dyDescent="0.2">
      <c r="A106">
        <v>105</v>
      </c>
      <c r="B106">
        <f>LoanPool!L106</f>
        <v>446309.37574372074</v>
      </c>
      <c r="C106">
        <f>LoanPool!M106</f>
        <v>1114473.9328851432</v>
      </c>
      <c r="D106">
        <f>LoanPool!H106</f>
        <v>31779.844268556932</v>
      </c>
      <c r="E106">
        <f t="shared" si="43"/>
        <v>48075324.554459542</v>
      </c>
      <c r="F106">
        <f t="shared" si="44"/>
        <v>45000000</v>
      </c>
      <c r="G106">
        <f t="shared" si="45"/>
        <v>8938247.0441051591</v>
      </c>
      <c r="H106">
        <f t="shared" si="23"/>
        <v>31779.844268556932</v>
      </c>
      <c r="I106">
        <f t="shared" si="24"/>
        <v>0</v>
      </c>
      <c r="J106">
        <f t="shared" si="25"/>
        <v>0</v>
      </c>
      <c r="K106">
        <f t="shared" si="26"/>
        <v>48075324.554459542</v>
      </c>
      <c r="L106">
        <f t="shared" si="27"/>
        <v>45000000</v>
      </c>
      <c r="M106">
        <f t="shared" si="28"/>
        <v>8906467.1998366024</v>
      </c>
      <c r="N106">
        <f>K106*Inputs!B6/12</f>
        <v>230360.9301567853</v>
      </c>
      <c r="O106">
        <f t="shared" si="29"/>
        <v>230360.9301567853</v>
      </c>
      <c r="P106">
        <f t="shared" si="30"/>
        <v>0</v>
      </c>
      <c r="Q106">
        <f>L106*Inputs!B6/12</f>
        <v>215625</v>
      </c>
      <c r="R106">
        <f t="shared" si="31"/>
        <v>215625</v>
      </c>
      <c r="S106">
        <f t="shared" si="32"/>
        <v>0</v>
      </c>
      <c r="T106">
        <f t="shared" si="33"/>
        <v>323.44558693544241</v>
      </c>
      <c r="U106">
        <f t="shared" si="34"/>
        <v>1114473.9328851432</v>
      </c>
      <c r="V106">
        <f t="shared" si="35"/>
        <v>0</v>
      </c>
      <c r="W106">
        <f t="shared" si="36"/>
        <v>0</v>
      </c>
      <c r="X106">
        <f t="shared" si="37"/>
        <v>46960850.621574402</v>
      </c>
      <c r="Y106">
        <f t="shared" si="38"/>
        <v>45000000</v>
      </c>
      <c r="Z106">
        <f t="shared" si="39"/>
        <v>8906467.1998366024</v>
      </c>
      <c r="AA106">
        <f t="shared" si="40"/>
        <v>0</v>
      </c>
      <c r="AB106">
        <f t="shared" si="41"/>
        <v>0</v>
      </c>
      <c r="AC106">
        <f t="shared" si="42"/>
        <v>0</v>
      </c>
    </row>
    <row r="107" spans="1:29" x14ac:dyDescent="0.2">
      <c r="A107">
        <v>106</v>
      </c>
      <c r="B107">
        <f>LoanPool!L107</f>
        <v>441294.51546867326</v>
      </c>
      <c r="C107">
        <f>LoanPool!M107</f>
        <v>1104393.0696256098</v>
      </c>
      <c r="D107">
        <f>LoanPool!H107</f>
        <v>31421.98776536651</v>
      </c>
      <c r="E107">
        <f t="shared" si="43"/>
        <v>46960850.621574402</v>
      </c>
      <c r="F107">
        <f t="shared" si="44"/>
        <v>45000000</v>
      </c>
      <c r="G107">
        <f t="shared" si="45"/>
        <v>8906467.1998366024</v>
      </c>
      <c r="H107">
        <f t="shared" si="23"/>
        <v>31421.98776536651</v>
      </c>
      <c r="I107">
        <f t="shared" si="24"/>
        <v>0</v>
      </c>
      <c r="J107">
        <f t="shared" si="25"/>
        <v>0</v>
      </c>
      <c r="K107">
        <f t="shared" si="26"/>
        <v>46960850.621574402</v>
      </c>
      <c r="L107">
        <f t="shared" si="27"/>
        <v>45000000</v>
      </c>
      <c r="M107">
        <f t="shared" si="28"/>
        <v>8875045.2120712362</v>
      </c>
      <c r="N107">
        <f>K107*Inputs!B6/12</f>
        <v>225020.74256171068</v>
      </c>
      <c r="O107">
        <f t="shared" si="29"/>
        <v>225020.74256171068</v>
      </c>
      <c r="P107">
        <f t="shared" si="30"/>
        <v>0</v>
      </c>
      <c r="Q107">
        <f>L107*Inputs!B6/12</f>
        <v>215625</v>
      </c>
      <c r="R107">
        <f t="shared" si="31"/>
        <v>215625</v>
      </c>
      <c r="S107">
        <f t="shared" si="32"/>
        <v>0</v>
      </c>
      <c r="T107">
        <f t="shared" si="33"/>
        <v>648.77290696257842</v>
      </c>
      <c r="U107">
        <f t="shared" si="34"/>
        <v>1104393.0696256098</v>
      </c>
      <c r="V107">
        <f t="shared" si="35"/>
        <v>0</v>
      </c>
      <c r="W107">
        <f t="shared" si="36"/>
        <v>0</v>
      </c>
      <c r="X107">
        <f t="shared" si="37"/>
        <v>45856457.551948793</v>
      </c>
      <c r="Y107">
        <f t="shared" si="38"/>
        <v>45000000</v>
      </c>
      <c r="Z107">
        <f t="shared" si="39"/>
        <v>8875045.2120712362</v>
      </c>
      <c r="AA107">
        <f t="shared" si="40"/>
        <v>0</v>
      </c>
      <c r="AB107">
        <f t="shared" si="41"/>
        <v>0</v>
      </c>
      <c r="AC107">
        <f t="shared" si="42"/>
        <v>0</v>
      </c>
    </row>
    <row r="108" spans="1:29" x14ac:dyDescent="0.2">
      <c r="A108">
        <v>107</v>
      </c>
      <c r="B108">
        <f>LoanPool!L108</f>
        <v>436325.32459258777</v>
      </c>
      <c r="C108">
        <f>LoanPool!M108</f>
        <v>1094397.9326361381</v>
      </c>
      <c r="D108">
        <f>LoanPool!H108</f>
        <v>31067.392109185843</v>
      </c>
      <c r="E108">
        <f t="shared" si="43"/>
        <v>45856457.551948793</v>
      </c>
      <c r="F108">
        <f t="shared" si="44"/>
        <v>45000000</v>
      </c>
      <c r="G108">
        <f t="shared" si="45"/>
        <v>8875045.2120712362</v>
      </c>
      <c r="H108">
        <f t="shared" si="23"/>
        <v>31067.392109185843</v>
      </c>
      <c r="I108">
        <f t="shared" si="24"/>
        <v>0</v>
      </c>
      <c r="J108">
        <f t="shared" si="25"/>
        <v>0</v>
      </c>
      <c r="K108">
        <f t="shared" si="26"/>
        <v>45856457.551948793</v>
      </c>
      <c r="L108">
        <f t="shared" si="27"/>
        <v>45000000</v>
      </c>
      <c r="M108">
        <f t="shared" si="28"/>
        <v>8843977.8199620508</v>
      </c>
      <c r="N108">
        <f>K108*Inputs!B6/12</f>
        <v>219728.85910308801</v>
      </c>
      <c r="O108">
        <f t="shared" si="29"/>
        <v>219728.85910308801</v>
      </c>
      <c r="P108">
        <f t="shared" si="30"/>
        <v>0</v>
      </c>
      <c r="Q108">
        <f>L108*Inputs!B6/12</f>
        <v>215625</v>
      </c>
      <c r="R108">
        <f t="shared" si="31"/>
        <v>215625</v>
      </c>
      <c r="S108">
        <f t="shared" si="32"/>
        <v>0</v>
      </c>
      <c r="T108">
        <f t="shared" si="33"/>
        <v>971.46548949976568</v>
      </c>
      <c r="U108">
        <f t="shared" si="34"/>
        <v>1094397.9326361381</v>
      </c>
      <c r="V108">
        <f t="shared" si="35"/>
        <v>0</v>
      </c>
      <c r="W108">
        <f t="shared" si="36"/>
        <v>0</v>
      </c>
      <c r="X108">
        <f t="shared" si="37"/>
        <v>44762059.619312659</v>
      </c>
      <c r="Y108">
        <f t="shared" si="38"/>
        <v>45000000</v>
      </c>
      <c r="Z108">
        <f t="shared" si="39"/>
        <v>8843977.8199620508</v>
      </c>
      <c r="AA108">
        <f t="shared" si="40"/>
        <v>0</v>
      </c>
      <c r="AB108">
        <f t="shared" si="41"/>
        <v>0</v>
      </c>
      <c r="AC108">
        <f t="shared" si="42"/>
        <v>0</v>
      </c>
    </row>
    <row r="109" spans="1:29" x14ac:dyDescent="0.2">
      <c r="A109">
        <v>108</v>
      </c>
      <c r="B109">
        <f>LoanPool!L109</f>
        <v>431401.41379682696</v>
      </c>
      <c r="C109">
        <f>LoanPool!M109</f>
        <v>1084487.8097939254</v>
      </c>
      <c r="D109">
        <f>LoanPool!H109</f>
        <v>30716.029496341398</v>
      </c>
      <c r="E109">
        <f t="shared" si="43"/>
        <v>44762059.619312659</v>
      </c>
      <c r="F109">
        <f t="shared" si="44"/>
        <v>45000000</v>
      </c>
      <c r="G109">
        <f t="shared" si="45"/>
        <v>8843977.8199620508</v>
      </c>
      <c r="H109">
        <f t="shared" si="23"/>
        <v>30716.029496341398</v>
      </c>
      <c r="I109">
        <f t="shared" si="24"/>
        <v>0</v>
      </c>
      <c r="J109">
        <f t="shared" si="25"/>
        <v>0</v>
      </c>
      <c r="K109">
        <f t="shared" si="26"/>
        <v>44762059.619312659</v>
      </c>
      <c r="L109">
        <f t="shared" si="27"/>
        <v>45000000</v>
      </c>
      <c r="M109">
        <f t="shared" si="28"/>
        <v>8813261.7904657088</v>
      </c>
      <c r="N109">
        <f>K109*Inputs!B6/12</f>
        <v>214484.86900920651</v>
      </c>
      <c r="O109">
        <f t="shared" si="29"/>
        <v>214484.86900920651</v>
      </c>
      <c r="P109">
        <f t="shared" si="30"/>
        <v>0</v>
      </c>
      <c r="Q109">
        <f>L109*Inputs!B6/12</f>
        <v>215625</v>
      </c>
      <c r="R109">
        <f t="shared" si="31"/>
        <v>215625</v>
      </c>
      <c r="S109">
        <f t="shared" si="32"/>
        <v>0</v>
      </c>
      <c r="T109">
        <f t="shared" si="33"/>
        <v>1291.5447876204562</v>
      </c>
      <c r="U109">
        <f t="shared" si="34"/>
        <v>1084487.8097939254</v>
      </c>
      <c r="V109">
        <f t="shared" si="35"/>
        <v>0</v>
      </c>
      <c r="W109">
        <f t="shared" si="36"/>
        <v>0</v>
      </c>
      <c r="X109">
        <f t="shared" si="37"/>
        <v>43677571.809518732</v>
      </c>
      <c r="Y109">
        <f t="shared" si="38"/>
        <v>45000000</v>
      </c>
      <c r="Z109">
        <f t="shared" si="39"/>
        <v>8813261.7904657088</v>
      </c>
      <c r="AA109">
        <f t="shared" si="40"/>
        <v>0</v>
      </c>
      <c r="AB109">
        <f t="shared" si="41"/>
        <v>0</v>
      </c>
      <c r="AC109">
        <f t="shared" si="42"/>
        <v>0</v>
      </c>
    </row>
    <row r="110" spans="1:29" x14ac:dyDescent="0.2">
      <c r="A110">
        <v>109</v>
      </c>
      <c r="B110">
        <f>LoanPool!L110</f>
        <v>426522.39699993207</v>
      </c>
      <c r="C110">
        <f>LoanPool!M110</f>
        <v>1074661.9948362007</v>
      </c>
      <c r="D110">
        <f>LoanPool!H110</f>
        <v>30367.872354366064</v>
      </c>
      <c r="E110">
        <f t="shared" si="43"/>
        <v>43677571.809518732</v>
      </c>
      <c r="F110">
        <f t="shared" si="44"/>
        <v>45000000</v>
      </c>
      <c r="G110">
        <f t="shared" si="45"/>
        <v>8813261.7904657088</v>
      </c>
      <c r="H110">
        <f t="shared" si="23"/>
        <v>30367.872354366064</v>
      </c>
      <c r="I110">
        <f t="shared" si="24"/>
        <v>0</v>
      </c>
      <c r="J110">
        <f t="shared" si="25"/>
        <v>0</v>
      </c>
      <c r="K110">
        <f t="shared" si="26"/>
        <v>43677571.809518732</v>
      </c>
      <c r="L110">
        <f t="shared" si="27"/>
        <v>45000000</v>
      </c>
      <c r="M110">
        <f t="shared" si="28"/>
        <v>8782893.9181113429</v>
      </c>
      <c r="N110">
        <f>K110*Inputs!B6/12</f>
        <v>209288.36492061059</v>
      </c>
      <c r="O110">
        <f t="shared" si="29"/>
        <v>209288.36492061059</v>
      </c>
      <c r="P110">
        <f t="shared" si="30"/>
        <v>0</v>
      </c>
      <c r="Q110">
        <f>L110*Inputs!B6/12</f>
        <v>215625</v>
      </c>
      <c r="R110">
        <f t="shared" si="31"/>
        <v>215625</v>
      </c>
      <c r="S110">
        <f t="shared" si="32"/>
        <v>0</v>
      </c>
      <c r="T110">
        <f t="shared" si="33"/>
        <v>1609.0320793214778</v>
      </c>
      <c r="U110">
        <f t="shared" si="34"/>
        <v>1074661.9948362007</v>
      </c>
      <c r="V110">
        <f t="shared" si="35"/>
        <v>0</v>
      </c>
      <c r="W110">
        <f t="shared" si="36"/>
        <v>0</v>
      </c>
      <c r="X110">
        <f t="shared" si="37"/>
        <v>42602909.814682528</v>
      </c>
      <c r="Y110">
        <f t="shared" si="38"/>
        <v>45000000</v>
      </c>
      <c r="Z110">
        <f t="shared" si="39"/>
        <v>8782893.9181113429</v>
      </c>
      <c r="AA110">
        <f t="shared" si="40"/>
        <v>0</v>
      </c>
      <c r="AB110">
        <f t="shared" si="41"/>
        <v>0</v>
      </c>
      <c r="AC110">
        <f t="shared" si="42"/>
        <v>0</v>
      </c>
    </row>
    <row r="111" spans="1:29" x14ac:dyDescent="0.2">
      <c r="A111">
        <v>110</v>
      </c>
      <c r="B111">
        <f>LoanPool!L111</f>
        <v>421687.89133097336</v>
      </c>
      <c r="C111">
        <f>LoanPool!M111</f>
        <v>1064919.7873121907</v>
      </c>
      <c r="D111">
        <f>LoanPool!H111</f>
        <v>30022.893340095699</v>
      </c>
      <c r="E111">
        <f t="shared" si="43"/>
        <v>42602909.814682528</v>
      </c>
      <c r="F111">
        <f t="shared" si="44"/>
        <v>45000000</v>
      </c>
      <c r="G111">
        <f t="shared" si="45"/>
        <v>8782893.9181113429</v>
      </c>
      <c r="H111">
        <f t="shared" si="23"/>
        <v>30022.893340095699</v>
      </c>
      <c r="I111">
        <f t="shared" si="24"/>
        <v>0</v>
      </c>
      <c r="J111">
        <f t="shared" si="25"/>
        <v>0</v>
      </c>
      <c r="K111">
        <f t="shared" si="26"/>
        <v>42602909.814682528</v>
      </c>
      <c r="L111">
        <f t="shared" si="27"/>
        <v>45000000</v>
      </c>
      <c r="M111">
        <f t="shared" si="28"/>
        <v>8752871.0247712471</v>
      </c>
      <c r="N111">
        <f>K111*Inputs!B6/12</f>
        <v>204138.94286202046</v>
      </c>
      <c r="O111">
        <f t="shared" si="29"/>
        <v>204138.94286202046</v>
      </c>
      <c r="P111">
        <f t="shared" si="30"/>
        <v>0</v>
      </c>
      <c r="Q111">
        <f>L111*Inputs!B6/12</f>
        <v>215625</v>
      </c>
      <c r="R111">
        <f t="shared" si="31"/>
        <v>215625</v>
      </c>
      <c r="S111">
        <f t="shared" si="32"/>
        <v>0</v>
      </c>
      <c r="T111">
        <f t="shared" si="33"/>
        <v>1923.9484689529054</v>
      </c>
      <c r="U111">
        <f t="shared" si="34"/>
        <v>1064919.7873121907</v>
      </c>
      <c r="V111">
        <f t="shared" si="35"/>
        <v>0</v>
      </c>
      <c r="W111">
        <f t="shared" si="36"/>
        <v>0</v>
      </c>
      <c r="X111">
        <f t="shared" si="37"/>
        <v>41537990.027370341</v>
      </c>
      <c r="Y111">
        <f t="shared" si="38"/>
        <v>45000000</v>
      </c>
      <c r="Z111">
        <f t="shared" si="39"/>
        <v>8752871.0247712471</v>
      </c>
      <c r="AA111">
        <f t="shared" si="40"/>
        <v>0</v>
      </c>
      <c r="AB111">
        <f t="shared" si="41"/>
        <v>0</v>
      </c>
      <c r="AC111">
        <f t="shared" si="42"/>
        <v>0</v>
      </c>
    </row>
    <row r="112" spans="1:29" x14ac:dyDescent="0.2">
      <c r="A112">
        <v>111</v>
      </c>
      <c r="B112">
        <f>LoanPool!L112</f>
        <v>416897.51710311952</v>
      </c>
      <c r="C112">
        <f>LoanPool!M112</f>
        <v>1055260.4925354763</v>
      </c>
      <c r="D112">
        <f>LoanPool!H112</f>
        <v>29681.065337781365</v>
      </c>
      <c r="E112">
        <f t="shared" si="43"/>
        <v>41537990.027370341</v>
      </c>
      <c r="F112">
        <f t="shared" si="44"/>
        <v>45000000</v>
      </c>
      <c r="G112">
        <f t="shared" si="45"/>
        <v>8752871.0247712471</v>
      </c>
      <c r="H112">
        <f t="shared" si="23"/>
        <v>29681.065337781365</v>
      </c>
      <c r="I112">
        <f t="shared" si="24"/>
        <v>0</v>
      </c>
      <c r="J112">
        <f t="shared" si="25"/>
        <v>0</v>
      </c>
      <c r="K112">
        <f t="shared" si="26"/>
        <v>41537990.027370341</v>
      </c>
      <c r="L112">
        <f t="shared" si="27"/>
        <v>45000000</v>
      </c>
      <c r="M112">
        <f t="shared" si="28"/>
        <v>8723189.9594334662</v>
      </c>
      <c r="N112">
        <f>K112*Inputs!B6/12</f>
        <v>199036.20221448291</v>
      </c>
      <c r="O112">
        <f t="shared" si="29"/>
        <v>199036.20221448291</v>
      </c>
      <c r="P112">
        <f t="shared" si="30"/>
        <v>0</v>
      </c>
      <c r="Q112">
        <f>L112*Inputs!B6/12</f>
        <v>215625</v>
      </c>
      <c r="R112">
        <f t="shared" si="31"/>
        <v>215625</v>
      </c>
      <c r="S112">
        <f t="shared" si="32"/>
        <v>0</v>
      </c>
      <c r="T112">
        <f t="shared" si="33"/>
        <v>2236.3148886366107</v>
      </c>
      <c r="U112">
        <f t="shared" si="34"/>
        <v>1055260.4925354763</v>
      </c>
      <c r="V112">
        <f t="shared" si="35"/>
        <v>0</v>
      </c>
      <c r="W112">
        <f t="shared" si="36"/>
        <v>0</v>
      </c>
      <c r="X112">
        <f t="shared" si="37"/>
        <v>40482729.534834862</v>
      </c>
      <c r="Y112">
        <f t="shared" si="38"/>
        <v>45000000</v>
      </c>
      <c r="Z112">
        <f t="shared" si="39"/>
        <v>8723189.9594334662</v>
      </c>
      <c r="AA112">
        <f t="shared" si="40"/>
        <v>0</v>
      </c>
      <c r="AB112">
        <f t="shared" si="41"/>
        <v>0</v>
      </c>
      <c r="AC112">
        <f t="shared" si="42"/>
        <v>0</v>
      </c>
    </row>
    <row r="113" spans="1:29" x14ac:dyDescent="0.2">
      <c r="A113">
        <v>112</v>
      </c>
      <c r="B113">
        <f>LoanPool!L113</f>
        <v>412150.89778742398</v>
      </c>
      <c r="C113">
        <f>LoanPool!M113</f>
        <v>1045683.4215367429</v>
      </c>
      <c r="D113">
        <f>LoanPool!H113</f>
        <v>29342.361457216997</v>
      </c>
      <c r="E113">
        <f t="shared" si="43"/>
        <v>40482729.534834862</v>
      </c>
      <c r="F113">
        <f t="shared" si="44"/>
        <v>45000000</v>
      </c>
      <c r="G113">
        <f t="shared" si="45"/>
        <v>8723189.9594334662</v>
      </c>
      <c r="H113">
        <f t="shared" si="23"/>
        <v>29342.361457216997</v>
      </c>
      <c r="I113">
        <f t="shared" si="24"/>
        <v>0</v>
      </c>
      <c r="J113">
        <f t="shared" si="25"/>
        <v>0</v>
      </c>
      <c r="K113">
        <f t="shared" si="26"/>
        <v>40482729.534834862</v>
      </c>
      <c r="L113">
        <f t="shared" si="27"/>
        <v>45000000</v>
      </c>
      <c r="M113">
        <f t="shared" si="28"/>
        <v>8693847.5979762487</v>
      </c>
      <c r="N113">
        <f>K113*Inputs!B6/12</f>
        <v>193979.7456877504</v>
      </c>
      <c r="O113">
        <f t="shared" si="29"/>
        <v>193979.7456877504</v>
      </c>
      <c r="P113">
        <f t="shared" si="30"/>
        <v>0</v>
      </c>
      <c r="Q113">
        <f>L113*Inputs!B6/12</f>
        <v>215625</v>
      </c>
      <c r="R113">
        <f t="shared" si="31"/>
        <v>215625</v>
      </c>
      <c r="S113">
        <f t="shared" si="32"/>
        <v>0</v>
      </c>
      <c r="T113">
        <f t="shared" si="33"/>
        <v>2546.152099673578</v>
      </c>
      <c r="U113">
        <f t="shared" si="34"/>
        <v>1045683.4215367429</v>
      </c>
      <c r="V113">
        <f t="shared" si="35"/>
        <v>0</v>
      </c>
      <c r="W113">
        <f t="shared" si="36"/>
        <v>0</v>
      </c>
      <c r="X113">
        <f t="shared" si="37"/>
        <v>39437046.113298118</v>
      </c>
      <c r="Y113">
        <f t="shared" si="38"/>
        <v>45000000</v>
      </c>
      <c r="Z113">
        <f t="shared" si="39"/>
        <v>8693847.5979762487</v>
      </c>
      <c r="AA113">
        <f t="shared" si="40"/>
        <v>0</v>
      </c>
      <c r="AB113">
        <f t="shared" si="41"/>
        <v>0</v>
      </c>
      <c r="AC113">
        <f t="shared" si="42"/>
        <v>0</v>
      </c>
    </row>
    <row r="114" spans="1:29" x14ac:dyDescent="0.2">
      <c r="A114">
        <v>113</v>
      </c>
      <c r="B114">
        <f>LoanPool!L114</f>
        <v>407447.65998682549</v>
      </c>
      <c r="C114">
        <f>LoanPool!M114</f>
        <v>1036187.8910169128</v>
      </c>
      <c r="D114">
        <f>LoanPool!H114</f>
        <v>29006.755031882411</v>
      </c>
      <c r="E114">
        <f t="shared" si="43"/>
        <v>39437046.113298118</v>
      </c>
      <c r="F114">
        <f t="shared" si="44"/>
        <v>45000000</v>
      </c>
      <c r="G114">
        <f t="shared" si="45"/>
        <v>8693847.5979762487</v>
      </c>
      <c r="H114">
        <f t="shared" si="23"/>
        <v>29006.755031882411</v>
      </c>
      <c r="I114">
        <f t="shared" si="24"/>
        <v>0</v>
      </c>
      <c r="J114">
        <f t="shared" si="25"/>
        <v>0</v>
      </c>
      <c r="K114">
        <f t="shared" si="26"/>
        <v>39437046.113298118</v>
      </c>
      <c r="L114">
        <f t="shared" si="27"/>
        <v>45000000</v>
      </c>
      <c r="M114">
        <f t="shared" si="28"/>
        <v>8664840.8429443669</v>
      </c>
      <c r="N114">
        <f>K114*Inputs!B6/12</f>
        <v>188969.17929288684</v>
      </c>
      <c r="O114">
        <f t="shared" si="29"/>
        <v>188969.17929288684</v>
      </c>
      <c r="P114">
        <f t="shared" si="30"/>
        <v>0</v>
      </c>
      <c r="Q114">
        <f>L114*Inputs!B6/12</f>
        <v>215625</v>
      </c>
      <c r="R114">
        <f t="shared" si="31"/>
        <v>215625</v>
      </c>
      <c r="S114">
        <f t="shared" si="32"/>
        <v>0</v>
      </c>
      <c r="T114">
        <f t="shared" si="33"/>
        <v>2853.4806939386472</v>
      </c>
      <c r="U114">
        <f t="shared" si="34"/>
        <v>1036187.8910169128</v>
      </c>
      <c r="V114">
        <f t="shared" si="35"/>
        <v>0</v>
      </c>
      <c r="W114">
        <f t="shared" si="36"/>
        <v>0</v>
      </c>
      <c r="X114">
        <f t="shared" si="37"/>
        <v>38400858.222281203</v>
      </c>
      <c r="Y114">
        <f t="shared" si="38"/>
        <v>45000000</v>
      </c>
      <c r="Z114">
        <f t="shared" si="39"/>
        <v>8664840.8429443669</v>
      </c>
      <c r="AA114">
        <f t="shared" si="40"/>
        <v>0</v>
      </c>
      <c r="AB114">
        <f t="shared" si="41"/>
        <v>0</v>
      </c>
      <c r="AC114">
        <f t="shared" si="42"/>
        <v>0</v>
      </c>
    </row>
    <row r="115" spans="1:29" x14ac:dyDescent="0.2">
      <c r="A115">
        <v>114</v>
      </c>
      <c r="B115">
        <f>LoanPool!L115</f>
        <v>402787.43341036199</v>
      </c>
      <c r="C115">
        <f>LoanPool!M115</f>
        <v>1026773.2233006649</v>
      </c>
      <c r="D115">
        <f>LoanPool!H115</f>
        <v>28674.219617101571</v>
      </c>
      <c r="E115">
        <f t="shared" si="43"/>
        <v>38400858.222281203</v>
      </c>
      <c r="F115">
        <f t="shared" si="44"/>
        <v>45000000</v>
      </c>
      <c r="G115">
        <f t="shared" si="45"/>
        <v>8664840.8429443669</v>
      </c>
      <c r="H115">
        <f t="shared" si="23"/>
        <v>28674.219617101571</v>
      </c>
      <c r="I115">
        <f t="shared" si="24"/>
        <v>0</v>
      </c>
      <c r="J115">
        <f t="shared" si="25"/>
        <v>0</v>
      </c>
      <c r="K115">
        <f t="shared" si="26"/>
        <v>38400858.222281203</v>
      </c>
      <c r="L115">
        <f t="shared" si="27"/>
        <v>45000000</v>
      </c>
      <c r="M115">
        <f t="shared" si="28"/>
        <v>8636166.6233272646</v>
      </c>
      <c r="N115">
        <f>K115*Inputs!B6/12</f>
        <v>184004.11231509745</v>
      </c>
      <c r="O115">
        <f t="shared" si="29"/>
        <v>184004.11231509745</v>
      </c>
      <c r="P115">
        <f t="shared" si="30"/>
        <v>0</v>
      </c>
      <c r="Q115">
        <f>L115*Inputs!B6/12</f>
        <v>215625</v>
      </c>
      <c r="R115">
        <f t="shared" si="31"/>
        <v>215625</v>
      </c>
      <c r="S115">
        <f t="shared" si="32"/>
        <v>0</v>
      </c>
      <c r="T115">
        <f t="shared" si="33"/>
        <v>3158.3210952645459</v>
      </c>
      <c r="U115">
        <f t="shared" si="34"/>
        <v>1026773.2233006649</v>
      </c>
      <c r="V115">
        <f t="shared" si="35"/>
        <v>0</v>
      </c>
      <c r="W115">
        <f t="shared" si="36"/>
        <v>0</v>
      </c>
      <c r="X115">
        <f t="shared" si="37"/>
        <v>37374084.998980537</v>
      </c>
      <c r="Y115">
        <f t="shared" si="38"/>
        <v>45000000</v>
      </c>
      <c r="Z115">
        <f t="shared" si="39"/>
        <v>8636166.6233272646</v>
      </c>
      <c r="AA115">
        <f t="shared" si="40"/>
        <v>0</v>
      </c>
      <c r="AB115">
        <f t="shared" si="41"/>
        <v>0</v>
      </c>
      <c r="AC115">
        <f t="shared" si="42"/>
        <v>0</v>
      </c>
    </row>
    <row r="116" spans="1:29" x14ac:dyDescent="0.2">
      <c r="A116">
        <v>115</v>
      </c>
      <c r="B116">
        <f>LoanPool!L116</f>
        <v>398169.85084759671</v>
      </c>
      <c r="C116">
        <f>LoanPool!M116</f>
        <v>1017438.7462903335</v>
      </c>
      <c r="D116">
        <f>LoanPool!H116</f>
        <v>28344.728988215957</v>
      </c>
      <c r="E116">
        <f t="shared" si="43"/>
        <v>37374084.998980537</v>
      </c>
      <c r="F116">
        <f t="shared" si="44"/>
        <v>45000000</v>
      </c>
      <c r="G116">
        <f t="shared" si="45"/>
        <v>8636166.6233272646</v>
      </c>
      <c r="H116">
        <f t="shared" si="23"/>
        <v>28344.728988215957</v>
      </c>
      <c r="I116">
        <f t="shared" si="24"/>
        <v>0</v>
      </c>
      <c r="J116">
        <f t="shared" si="25"/>
        <v>0</v>
      </c>
      <c r="K116">
        <f t="shared" si="26"/>
        <v>37374084.998980537</v>
      </c>
      <c r="L116">
        <f t="shared" si="27"/>
        <v>45000000</v>
      </c>
      <c r="M116">
        <f t="shared" si="28"/>
        <v>8607821.8943390492</v>
      </c>
      <c r="N116">
        <f>K116*Inputs!B6/12</f>
        <v>179084.15728678173</v>
      </c>
      <c r="O116">
        <f t="shared" si="29"/>
        <v>179084.15728678173</v>
      </c>
      <c r="P116">
        <f t="shared" si="30"/>
        <v>0</v>
      </c>
      <c r="Q116">
        <f>L116*Inputs!B6/12</f>
        <v>215625</v>
      </c>
      <c r="R116">
        <f t="shared" si="31"/>
        <v>215625</v>
      </c>
      <c r="S116">
        <f t="shared" si="32"/>
        <v>0</v>
      </c>
      <c r="T116">
        <f t="shared" si="33"/>
        <v>3460.6935608149797</v>
      </c>
      <c r="U116">
        <f t="shared" si="34"/>
        <v>1017438.7462903335</v>
      </c>
      <c r="V116">
        <f t="shared" si="35"/>
        <v>0</v>
      </c>
      <c r="W116">
        <f t="shared" si="36"/>
        <v>0</v>
      </c>
      <c r="X116">
        <f t="shared" si="37"/>
        <v>36356646.252690203</v>
      </c>
      <c r="Y116">
        <f t="shared" si="38"/>
        <v>45000000</v>
      </c>
      <c r="Z116">
        <f t="shared" si="39"/>
        <v>8607821.8943390492</v>
      </c>
      <c r="AA116">
        <f t="shared" si="40"/>
        <v>0</v>
      </c>
      <c r="AB116">
        <f t="shared" si="41"/>
        <v>0</v>
      </c>
      <c r="AC116">
        <f t="shared" si="42"/>
        <v>0</v>
      </c>
    </row>
    <row r="117" spans="1:29" x14ac:dyDescent="0.2">
      <c r="A117">
        <v>116</v>
      </c>
      <c r="B117">
        <f>LoanPool!L117</f>
        <v>393594.54814325308</v>
      </c>
      <c r="C117">
        <f>LoanPool!M117</f>
        <v>1008183.7934201824</v>
      </c>
      <c r="D117">
        <f>LoanPool!H117</f>
        <v>28018.257138772831</v>
      </c>
      <c r="E117">
        <f t="shared" si="43"/>
        <v>36356646.252690203</v>
      </c>
      <c r="F117">
        <f t="shared" si="44"/>
        <v>45000000</v>
      </c>
      <c r="G117">
        <f t="shared" si="45"/>
        <v>8607821.8943390492</v>
      </c>
      <c r="H117">
        <f t="shared" si="23"/>
        <v>28018.257138772831</v>
      </c>
      <c r="I117">
        <f t="shared" si="24"/>
        <v>0</v>
      </c>
      <c r="J117">
        <f t="shared" si="25"/>
        <v>0</v>
      </c>
      <c r="K117">
        <f t="shared" si="26"/>
        <v>36356646.252690203</v>
      </c>
      <c r="L117">
        <f t="shared" si="27"/>
        <v>45000000</v>
      </c>
      <c r="M117">
        <f t="shared" si="28"/>
        <v>8579803.6372002773</v>
      </c>
      <c r="N117">
        <f>K117*Inputs!B6/12</f>
        <v>174208.92996080723</v>
      </c>
      <c r="O117">
        <f t="shared" si="29"/>
        <v>174208.92996080723</v>
      </c>
      <c r="P117">
        <f t="shared" si="30"/>
        <v>0</v>
      </c>
      <c r="Q117">
        <f>L117*Inputs!B6/12</f>
        <v>215625</v>
      </c>
      <c r="R117">
        <f t="shared" si="31"/>
        <v>215625</v>
      </c>
      <c r="S117">
        <f t="shared" si="32"/>
        <v>0</v>
      </c>
      <c r="T117">
        <f t="shared" si="33"/>
        <v>3760.6181824458472</v>
      </c>
      <c r="U117">
        <f t="shared" si="34"/>
        <v>1008183.7934201824</v>
      </c>
      <c r="V117">
        <f t="shared" si="35"/>
        <v>0</v>
      </c>
      <c r="W117">
        <f t="shared" si="36"/>
        <v>0</v>
      </c>
      <c r="X117">
        <f t="shared" si="37"/>
        <v>35348462.459270023</v>
      </c>
      <c r="Y117">
        <f t="shared" si="38"/>
        <v>45000000</v>
      </c>
      <c r="Z117">
        <f t="shared" si="39"/>
        <v>8579803.6372002773</v>
      </c>
      <c r="AA117">
        <f t="shared" si="40"/>
        <v>0</v>
      </c>
      <c r="AB117">
        <f t="shared" si="41"/>
        <v>0</v>
      </c>
      <c r="AC117">
        <f t="shared" si="42"/>
        <v>0</v>
      </c>
    </row>
    <row r="118" spans="1:29" x14ac:dyDescent="0.2">
      <c r="A118">
        <v>117</v>
      </c>
      <c r="B118">
        <f>LoanPool!L118</f>
        <v>389061.16417205759</v>
      </c>
      <c r="C118">
        <f>LoanPool!M118</f>
        <v>999007.7036110576</v>
      </c>
      <c r="D118">
        <f>LoanPool!H118</f>
        <v>27694.778278728514</v>
      </c>
      <c r="E118">
        <f t="shared" si="43"/>
        <v>35348462.459270023</v>
      </c>
      <c r="F118">
        <f t="shared" si="44"/>
        <v>45000000</v>
      </c>
      <c r="G118">
        <f t="shared" si="45"/>
        <v>8579803.6372002773</v>
      </c>
      <c r="H118">
        <f t="shared" si="23"/>
        <v>27694.778278728514</v>
      </c>
      <c r="I118">
        <f t="shared" si="24"/>
        <v>0</v>
      </c>
      <c r="J118">
        <f t="shared" si="25"/>
        <v>0</v>
      </c>
      <c r="K118">
        <f t="shared" si="26"/>
        <v>35348462.459270023</v>
      </c>
      <c r="L118">
        <f t="shared" si="27"/>
        <v>45000000</v>
      </c>
      <c r="M118">
        <f t="shared" si="28"/>
        <v>8552108.8589215484</v>
      </c>
      <c r="N118">
        <f>K118*Inputs!B6/12</f>
        <v>169378.04928400219</v>
      </c>
      <c r="O118">
        <f t="shared" si="29"/>
        <v>169378.04928400219</v>
      </c>
      <c r="P118">
        <f t="shared" si="30"/>
        <v>0</v>
      </c>
      <c r="Q118">
        <f>L118*Inputs!B6/12</f>
        <v>215625</v>
      </c>
      <c r="R118">
        <f t="shared" si="31"/>
        <v>215625</v>
      </c>
      <c r="S118">
        <f t="shared" si="32"/>
        <v>0</v>
      </c>
      <c r="T118">
        <f t="shared" si="33"/>
        <v>4058.1148880553956</v>
      </c>
      <c r="U118">
        <f t="shared" si="34"/>
        <v>999007.7036110576</v>
      </c>
      <c r="V118">
        <f t="shared" si="35"/>
        <v>0</v>
      </c>
      <c r="W118">
        <f t="shared" si="36"/>
        <v>0</v>
      </c>
      <c r="X118">
        <f t="shared" si="37"/>
        <v>34349454.755658962</v>
      </c>
      <c r="Y118">
        <f t="shared" si="38"/>
        <v>45000000</v>
      </c>
      <c r="Z118">
        <f t="shared" si="39"/>
        <v>8552108.8589215484</v>
      </c>
      <c r="AA118">
        <f t="shared" si="40"/>
        <v>0</v>
      </c>
      <c r="AB118">
        <f t="shared" si="41"/>
        <v>0</v>
      </c>
      <c r="AC118">
        <f t="shared" si="42"/>
        <v>0</v>
      </c>
    </row>
    <row r="119" spans="1:29" x14ac:dyDescent="0.2">
      <c r="A119">
        <v>118</v>
      </c>
      <c r="B119">
        <f>LoanPool!L119</f>
        <v>384569.34081378987</v>
      </c>
      <c r="C119">
        <f>LoanPool!M119</f>
        <v>989909.82122540672</v>
      </c>
      <c r="D119">
        <f>LoanPool!H119</f>
        <v>27374.266832666206</v>
      </c>
      <c r="E119">
        <f t="shared" si="43"/>
        <v>34349454.755658962</v>
      </c>
      <c r="F119">
        <f t="shared" si="44"/>
        <v>45000000</v>
      </c>
      <c r="G119">
        <f t="shared" si="45"/>
        <v>8552108.8589215484</v>
      </c>
      <c r="H119">
        <f t="shared" si="23"/>
        <v>27374.266832666206</v>
      </c>
      <c r="I119">
        <f t="shared" si="24"/>
        <v>0</v>
      </c>
      <c r="J119">
        <f t="shared" si="25"/>
        <v>0</v>
      </c>
      <c r="K119">
        <f t="shared" si="26"/>
        <v>34349454.755658962</v>
      </c>
      <c r="L119">
        <f t="shared" si="27"/>
        <v>45000000</v>
      </c>
      <c r="M119">
        <f t="shared" si="28"/>
        <v>8524734.5920888819</v>
      </c>
      <c r="N119">
        <f>K119*Inputs!B6/12</f>
        <v>164591.13737086588</v>
      </c>
      <c r="O119">
        <f t="shared" si="29"/>
        <v>164591.13737086588</v>
      </c>
      <c r="P119">
        <f t="shared" si="30"/>
        <v>0</v>
      </c>
      <c r="Q119">
        <f>L119*Inputs!B6/12</f>
        <v>215625</v>
      </c>
      <c r="R119">
        <f t="shared" si="31"/>
        <v>215625</v>
      </c>
      <c r="S119">
        <f t="shared" si="32"/>
        <v>0</v>
      </c>
      <c r="T119">
        <f t="shared" si="33"/>
        <v>4353.2034429239866</v>
      </c>
      <c r="U119">
        <f t="shared" si="34"/>
        <v>989909.82122540672</v>
      </c>
      <c r="V119">
        <f t="shared" si="35"/>
        <v>0</v>
      </c>
      <c r="W119">
        <f t="shared" si="36"/>
        <v>0</v>
      </c>
      <c r="X119">
        <f t="shared" si="37"/>
        <v>33359544.934433553</v>
      </c>
      <c r="Y119">
        <f t="shared" si="38"/>
        <v>45000000</v>
      </c>
      <c r="Z119">
        <f t="shared" si="39"/>
        <v>8524734.5920888819</v>
      </c>
      <c r="AA119">
        <f t="shared" si="40"/>
        <v>0</v>
      </c>
      <c r="AB119">
        <f t="shared" si="41"/>
        <v>0</v>
      </c>
      <c r="AC119">
        <f t="shared" si="42"/>
        <v>0</v>
      </c>
    </row>
    <row r="120" spans="1:29" x14ac:dyDescent="0.2">
      <c r="A120">
        <v>119</v>
      </c>
      <c r="B120">
        <f>LoanPool!L120</f>
        <v>380118.72292853578</v>
      </c>
      <c r="C120">
        <f>LoanPool!M120</f>
        <v>980889.49602266925</v>
      </c>
      <c r="D120">
        <f>LoanPool!H120</f>
        <v>27056.697438028594</v>
      </c>
      <c r="E120">
        <f t="shared" si="43"/>
        <v>33359544.934433553</v>
      </c>
      <c r="F120">
        <f t="shared" si="44"/>
        <v>45000000</v>
      </c>
      <c r="G120">
        <f t="shared" si="45"/>
        <v>8524734.5920888819</v>
      </c>
      <c r="H120">
        <f t="shared" si="23"/>
        <v>27056.697438028594</v>
      </c>
      <c r="I120">
        <f t="shared" si="24"/>
        <v>0</v>
      </c>
      <c r="J120">
        <f t="shared" si="25"/>
        <v>0</v>
      </c>
      <c r="K120">
        <f t="shared" si="26"/>
        <v>33359544.934433553</v>
      </c>
      <c r="L120">
        <f t="shared" si="27"/>
        <v>45000000</v>
      </c>
      <c r="M120">
        <f t="shared" si="28"/>
        <v>8497677.8946508542</v>
      </c>
      <c r="N120">
        <f>K120*Inputs!B6/12</f>
        <v>159847.81947749411</v>
      </c>
      <c r="O120">
        <f t="shared" si="29"/>
        <v>159847.81947749411</v>
      </c>
      <c r="P120">
        <f t="shared" si="30"/>
        <v>0</v>
      </c>
      <c r="Q120">
        <f>L120*Inputs!B6/12</f>
        <v>215625</v>
      </c>
      <c r="R120">
        <f t="shared" si="31"/>
        <v>215625</v>
      </c>
      <c r="S120">
        <f t="shared" si="32"/>
        <v>0</v>
      </c>
      <c r="T120">
        <f t="shared" si="33"/>
        <v>4645.9034510416677</v>
      </c>
      <c r="U120">
        <f t="shared" si="34"/>
        <v>980889.49602266925</v>
      </c>
      <c r="V120">
        <f t="shared" si="35"/>
        <v>0</v>
      </c>
      <c r="W120">
        <f t="shared" si="36"/>
        <v>0</v>
      </c>
      <c r="X120">
        <f t="shared" si="37"/>
        <v>32378655.438410886</v>
      </c>
      <c r="Y120">
        <f t="shared" si="38"/>
        <v>45000000</v>
      </c>
      <c r="Z120">
        <f t="shared" si="39"/>
        <v>8497677.8946508542</v>
      </c>
      <c r="AA120">
        <f t="shared" si="40"/>
        <v>0</v>
      </c>
      <c r="AB120">
        <f t="shared" si="41"/>
        <v>0</v>
      </c>
      <c r="AC120">
        <f t="shared" si="42"/>
        <v>0</v>
      </c>
    </row>
    <row r="121" spans="1:29" x14ac:dyDescent="0.2">
      <c r="A121">
        <v>120</v>
      </c>
      <c r="B121">
        <f>LoanPool!L121</f>
        <v>375708.95833214524</v>
      </c>
      <c r="C121">
        <f>LoanPool!M121</f>
        <v>971946.08311503078</v>
      </c>
      <c r="D121">
        <f>LoanPool!H121</f>
        <v>26742.044943364803</v>
      </c>
      <c r="E121">
        <f t="shared" si="43"/>
        <v>32378655.438410886</v>
      </c>
      <c r="F121">
        <f t="shared" si="44"/>
        <v>45000000</v>
      </c>
      <c r="G121">
        <f t="shared" si="45"/>
        <v>8497677.8946508542</v>
      </c>
      <c r="H121">
        <f t="shared" si="23"/>
        <v>26742.044943364803</v>
      </c>
      <c r="I121">
        <f t="shared" si="24"/>
        <v>0</v>
      </c>
      <c r="J121">
        <f t="shared" si="25"/>
        <v>0</v>
      </c>
      <c r="K121">
        <f t="shared" si="26"/>
        <v>32378655.438410886</v>
      </c>
      <c r="L121">
        <f t="shared" si="27"/>
        <v>45000000</v>
      </c>
      <c r="M121">
        <f t="shared" si="28"/>
        <v>8470935.8497074898</v>
      </c>
      <c r="N121">
        <f>K121*Inputs!B6/12</f>
        <v>155147.72397571884</v>
      </c>
      <c r="O121">
        <f t="shared" si="29"/>
        <v>155147.72397571884</v>
      </c>
      <c r="P121">
        <f t="shared" si="30"/>
        <v>0</v>
      </c>
      <c r="Q121">
        <f>L121*Inputs!B6/12</f>
        <v>215625</v>
      </c>
      <c r="R121">
        <f t="shared" si="31"/>
        <v>215625</v>
      </c>
      <c r="S121">
        <f t="shared" si="32"/>
        <v>0</v>
      </c>
      <c r="T121">
        <f t="shared" si="33"/>
        <v>4936.2343564264011</v>
      </c>
      <c r="U121">
        <f t="shared" si="34"/>
        <v>971946.08311503078</v>
      </c>
      <c r="V121">
        <f t="shared" si="35"/>
        <v>0</v>
      </c>
      <c r="W121">
        <f t="shared" si="36"/>
        <v>0</v>
      </c>
      <c r="X121">
        <f t="shared" si="37"/>
        <v>31406709.355295856</v>
      </c>
      <c r="Y121">
        <f t="shared" si="38"/>
        <v>45000000</v>
      </c>
      <c r="Z121">
        <f t="shared" si="39"/>
        <v>8470935.8497074898</v>
      </c>
      <c r="AA121">
        <f t="shared" si="40"/>
        <v>0</v>
      </c>
      <c r="AB121">
        <f t="shared" si="41"/>
        <v>0</v>
      </c>
      <c r="AC121">
        <f t="shared" si="42"/>
        <v>0</v>
      </c>
    </row>
    <row r="122" spans="1:29" x14ac:dyDescent="0.2">
      <c r="A122">
        <v>121</v>
      </c>
      <c r="B122">
        <f>LoanPool!L122</f>
        <v>371339.69777188974</v>
      </c>
      <c r="C122">
        <f>LoanPool!M122</f>
        <v>963078.94292353967</v>
      </c>
      <c r="D122">
        <f>LoanPool!H122</f>
        <v>26430.28440659184</v>
      </c>
      <c r="E122">
        <f t="shared" si="43"/>
        <v>31406709.355295856</v>
      </c>
      <c r="F122">
        <f t="shared" si="44"/>
        <v>45000000</v>
      </c>
      <c r="G122">
        <f t="shared" si="45"/>
        <v>8470935.8497074898</v>
      </c>
      <c r="H122">
        <f t="shared" si="23"/>
        <v>26430.28440659184</v>
      </c>
      <c r="I122">
        <f t="shared" si="24"/>
        <v>0</v>
      </c>
      <c r="J122">
        <f t="shared" si="25"/>
        <v>0</v>
      </c>
      <c r="K122">
        <f t="shared" si="26"/>
        <v>31406709.355295856</v>
      </c>
      <c r="L122">
        <f t="shared" si="27"/>
        <v>45000000</v>
      </c>
      <c r="M122">
        <f t="shared" si="28"/>
        <v>8444505.5653008986</v>
      </c>
      <c r="N122">
        <f>K122*Inputs!B6/12</f>
        <v>150490.48232745932</v>
      </c>
      <c r="O122">
        <f t="shared" si="29"/>
        <v>150490.48232745932</v>
      </c>
      <c r="P122">
        <f t="shared" si="30"/>
        <v>0</v>
      </c>
      <c r="Q122">
        <f>L122*Inputs!B6/12</f>
        <v>215625</v>
      </c>
      <c r="R122">
        <f t="shared" si="31"/>
        <v>215625</v>
      </c>
      <c r="S122">
        <f t="shared" si="32"/>
        <v>0</v>
      </c>
      <c r="T122">
        <f t="shared" si="33"/>
        <v>5224.2154444304178</v>
      </c>
      <c r="U122">
        <f t="shared" si="34"/>
        <v>963078.94292353967</v>
      </c>
      <c r="V122">
        <f t="shared" si="35"/>
        <v>0</v>
      </c>
      <c r="W122">
        <f t="shared" si="36"/>
        <v>0</v>
      </c>
      <c r="X122">
        <f t="shared" si="37"/>
        <v>30443630.412372317</v>
      </c>
      <c r="Y122">
        <f t="shared" si="38"/>
        <v>45000000</v>
      </c>
      <c r="Z122">
        <f t="shared" si="39"/>
        <v>8444505.5653008986</v>
      </c>
      <c r="AA122">
        <f t="shared" si="40"/>
        <v>0</v>
      </c>
      <c r="AB122">
        <f t="shared" si="41"/>
        <v>0</v>
      </c>
      <c r="AC122">
        <f t="shared" si="42"/>
        <v>0</v>
      </c>
    </row>
    <row r="123" spans="1:29" x14ac:dyDescent="0.2">
      <c r="A123">
        <v>122</v>
      </c>
      <c r="B123">
        <f>LoanPool!L123</f>
        <v>367010.59490232042</v>
      </c>
      <c r="C123">
        <f>LoanPool!M123</f>
        <v>954287.44113458274</v>
      </c>
      <c r="D123">
        <f>LoanPool!H123</f>
        <v>26121.391093270235</v>
      </c>
      <c r="E123">
        <f t="shared" si="43"/>
        <v>30443630.412372317</v>
      </c>
      <c r="F123">
        <f t="shared" si="44"/>
        <v>45000000</v>
      </c>
      <c r="G123">
        <f t="shared" si="45"/>
        <v>8444505.5653008986</v>
      </c>
      <c r="H123">
        <f t="shared" si="23"/>
        <v>26121.391093270235</v>
      </c>
      <c r="I123">
        <f t="shared" si="24"/>
        <v>0</v>
      </c>
      <c r="J123">
        <f t="shared" si="25"/>
        <v>0</v>
      </c>
      <c r="K123">
        <f t="shared" si="26"/>
        <v>30443630.412372317</v>
      </c>
      <c r="L123">
        <f t="shared" si="27"/>
        <v>45000000</v>
      </c>
      <c r="M123">
        <f t="shared" si="28"/>
        <v>8418384.1742076278</v>
      </c>
      <c r="N123">
        <f>K123*Inputs!B6/12</f>
        <v>145875.72905928403</v>
      </c>
      <c r="O123">
        <f t="shared" si="29"/>
        <v>145875.72905928403</v>
      </c>
      <c r="P123">
        <f t="shared" si="30"/>
        <v>0</v>
      </c>
      <c r="Q123">
        <f>L123*Inputs!B6/12</f>
        <v>215625</v>
      </c>
      <c r="R123">
        <f t="shared" si="31"/>
        <v>215625</v>
      </c>
      <c r="S123">
        <f t="shared" si="32"/>
        <v>0</v>
      </c>
      <c r="T123">
        <f t="shared" si="33"/>
        <v>5509.8658430363867</v>
      </c>
      <c r="U123">
        <f t="shared" si="34"/>
        <v>954287.44113458274</v>
      </c>
      <c r="V123">
        <f t="shared" si="35"/>
        <v>0</v>
      </c>
      <c r="W123">
        <f t="shared" si="36"/>
        <v>0</v>
      </c>
      <c r="X123">
        <f t="shared" si="37"/>
        <v>29489342.971237734</v>
      </c>
      <c r="Y123">
        <f t="shared" si="38"/>
        <v>45000000</v>
      </c>
      <c r="Z123">
        <f t="shared" si="39"/>
        <v>8418384.1742076278</v>
      </c>
      <c r="AA123">
        <f t="shared" si="40"/>
        <v>0</v>
      </c>
      <c r="AB123">
        <f t="shared" si="41"/>
        <v>0</v>
      </c>
      <c r="AC123">
        <f t="shared" si="42"/>
        <v>0</v>
      </c>
    </row>
    <row r="124" spans="1:29" x14ac:dyDescent="0.2">
      <c r="A124">
        <v>123</v>
      </c>
      <c r="B124">
        <f>LoanPool!L124</f>
        <v>362721.30626132351</v>
      </c>
      <c r="C124">
        <f>LoanPool!M124</f>
        <v>945570.94865671825</v>
      </c>
      <c r="D124">
        <f>LoanPool!H124</f>
        <v>25815.340474893816</v>
      </c>
      <c r="E124">
        <f t="shared" si="43"/>
        <v>29489342.971237734</v>
      </c>
      <c r="F124">
        <f t="shared" si="44"/>
        <v>45000000</v>
      </c>
      <c r="G124">
        <f t="shared" si="45"/>
        <v>8418384.1742076278</v>
      </c>
      <c r="H124">
        <f t="shared" si="23"/>
        <v>25815.340474893816</v>
      </c>
      <c r="I124">
        <f t="shared" si="24"/>
        <v>0</v>
      </c>
      <c r="J124">
        <f t="shared" si="25"/>
        <v>0</v>
      </c>
      <c r="K124">
        <f t="shared" si="26"/>
        <v>29489342.971237734</v>
      </c>
      <c r="L124">
        <f t="shared" si="27"/>
        <v>45000000</v>
      </c>
      <c r="M124">
        <f t="shared" si="28"/>
        <v>8392568.8337327335</v>
      </c>
      <c r="N124">
        <f>K124*Inputs!B6/12</f>
        <v>141303.10173718081</v>
      </c>
      <c r="O124">
        <f t="shared" si="29"/>
        <v>141303.10173718081</v>
      </c>
      <c r="P124">
        <f t="shared" si="30"/>
        <v>0</v>
      </c>
      <c r="Q124">
        <f>L124*Inputs!B6/12</f>
        <v>215625</v>
      </c>
      <c r="R124">
        <f t="shared" si="31"/>
        <v>215625</v>
      </c>
      <c r="S124">
        <f t="shared" si="32"/>
        <v>0</v>
      </c>
      <c r="T124">
        <f t="shared" si="33"/>
        <v>5793.2045241426968</v>
      </c>
      <c r="U124">
        <f t="shared" si="34"/>
        <v>945570.94865671825</v>
      </c>
      <c r="V124">
        <f t="shared" si="35"/>
        <v>0</v>
      </c>
      <c r="W124">
        <f t="shared" si="36"/>
        <v>0</v>
      </c>
      <c r="X124">
        <f t="shared" si="37"/>
        <v>28543772.022581015</v>
      </c>
      <c r="Y124">
        <f t="shared" si="38"/>
        <v>45000000</v>
      </c>
      <c r="Z124">
        <f t="shared" si="39"/>
        <v>8392568.8337327335</v>
      </c>
      <c r="AA124">
        <f t="shared" si="40"/>
        <v>0</v>
      </c>
      <c r="AB124">
        <f t="shared" si="41"/>
        <v>0</v>
      </c>
      <c r="AC124">
        <f t="shared" si="42"/>
        <v>0</v>
      </c>
    </row>
    <row r="125" spans="1:29" x14ac:dyDescent="0.2">
      <c r="A125">
        <v>124</v>
      </c>
      <c r="B125">
        <f>LoanPool!L125</f>
        <v>358471.49124637275</v>
      </c>
      <c r="C125">
        <f>LoanPool!M125</f>
        <v>936928.84157785994</v>
      </c>
      <c r="D125">
        <f>LoanPool!H125</f>
        <v>25512.108227193519</v>
      </c>
      <c r="E125">
        <f t="shared" si="43"/>
        <v>28543772.022581015</v>
      </c>
      <c r="F125">
        <f t="shared" si="44"/>
        <v>45000000</v>
      </c>
      <c r="G125">
        <f t="shared" si="45"/>
        <v>8392568.8337327335</v>
      </c>
      <c r="H125">
        <f t="shared" si="23"/>
        <v>25512.108227193519</v>
      </c>
      <c r="I125">
        <f t="shared" si="24"/>
        <v>0</v>
      </c>
      <c r="J125">
        <f t="shared" si="25"/>
        <v>0</v>
      </c>
      <c r="K125">
        <f t="shared" si="26"/>
        <v>28543772.022581015</v>
      </c>
      <c r="L125">
        <f t="shared" si="27"/>
        <v>45000000</v>
      </c>
      <c r="M125">
        <f t="shared" si="28"/>
        <v>8367056.7255055401</v>
      </c>
      <c r="N125">
        <f>K125*Inputs!B6/12</f>
        <v>136772.24094153402</v>
      </c>
      <c r="O125">
        <f t="shared" si="29"/>
        <v>136772.24094153402</v>
      </c>
      <c r="P125">
        <f t="shared" si="30"/>
        <v>0</v>
      </c>
      <c r="Q125">
        <f>L125*Inputs!B6/12</f>
        <v>215625</v>
      </c>
      <c r="R125">
        <f t="shared" si="31"/>
        <v>215625</v>
      </c>
      <c r="S125">
        <f t="shared" si="32"/>
        <v>0</v>
      </c>
      <c r="T125">
        <f t="shared" si="33"/>
        <v>6074.2503048387298</v>
      </c>
      <c r="U125">
        <f t="shared" si="34"/>
        <v>936928.84157785994</v>
      </c>
      <c r="V125">
        <f t="shared" si="35"/>
        <v>0</v>
      </c>
      <c r="W125">
        <f t="shared" si="36"/>
        <v>0</v>
      </c>
      <c r="X125">
        <f t="shared" si="37"/>
        <v>27606843.181003153</v>
      </c>
      <c r="Y125">
        <f t="shared" si="38"/>
        <v>45000000</v>
      </c>
      <c r="Z125">
        <f t="shared" si="39"/>
        <v>8367056.7255055401</v>
      </c>
      <c r="AA125">
        <f t="shared" si="40"/>
        <v>0</v>
      </c>
      <c r="AB125">
        <f t="shared" si="41"/>
        <v>0</v>
      </c>
      <c r="AC125">
        <f t="shared" si="42"/>
        <v>0</v>
      </c>
    </row>
    <row r="126" spans="1:29" x14ac:dyDescent="0.2">
      <c r="A126">
        <v>125</v>
      </c>
      <c r="B126">
        <f>LoanPool!L126</f>
        <v>354260.8120909757</v>
      </c>
      <c r="C126">
        <f>LoanPool!M126</f>
        <v>928360.50112281251</v>
      </c>
      <c r="D126">
        <f>LoanPool!H126</f>
        <v>25211.670228455136</v>
      </c>
      <c r="E126">
        <f t="shared" si="43"/>
        <v>27606843.181003153</v>
      </c>
      <c r="F126">
        <f t="shared" si="44"/>
        <v>45000000</v>
      </c>
      <c r="G126">
        <f t="shared" si="45"/>
        <v>8367056.7255055401</v>
      </c>
      <c r="H126">
        <f t="shared" si="23"/>
        <v>25211.670228455136</v>
      </c>
      <c r="I126">
        <f t="shared" si="24"/>
        <v>0</v>
      </c>
      <c r="J126">
        <f t="shared" si="25"/>
        <v>0</v>
      </c>
      <c r="K126">
        <f t="shared" si="26"/>
        <v>27606843.181003153</v>
      </c>
      <c r="L126">
        <f t="shared" si="27"/>
        <v>45000000</v>
      </c>
      <c r="M126">
        <f t="shared" si="28"/>
        <v>8341845.0552770849</v>
      </c>
      <c r="N126">
        <f>K126*Inputs!B6/12</f>
        <v>132282.7902423068</v>
      </c>
      <c r="O126">
        <f t="shared" si="29"/>
        <v>132282.7902423068</v>
      </c>
      <c r="P126">
        <f t="shared" si="30"/>
        <v>0</v>
      </c>
      <c r="Q126">
        <f>L126*Inputs!B6/12</f>
        <v>215625</v>
      </c>
      <c r="R126">
        <f t="shared" si="31"/>
        <v>215625</v>
      </c>
      <c r="S126">
        <f t="shared" si="32"/>
        <v>0</v>
      </c>
      <c r="T126">
        <f t="shared" si="33"/>
        <v>6353.0218486688973</v>
      </c>
      <c r="U126">
        <f t="shared" si="34"/>
        <v>928360.50112281251</v>
      </c>
      <c r="V126">
        <f t="shared" si="35"/>
        <v>0</v>
      </c>
      <c r="W126">
        <f t="shared" si="36"/>
        <v>0</v>
      </c>
      <c r="X126">
        <f t="shared" si="37"/>
        <v>26678482.67988034</v>
      </c>
      <c r="Y126">
        <f t="shared" si="38"/>
        <v>45000000</v>
      </c>
      <c r="Z126">
        <f t="shared" si="39"/>
        <v>8341845.0552770849</v>
      </c>
      <c r="AA126">
        <f t="shared" si="40"/>
        <v>0</v>
      </c>
      <c r="AB126">
        <f t="shared" si="41"/>
        <v>0</v>
      </c>
      <c r="AC126">
        <f t="shared" si="42"/>
        <v>0</v>
      </c>
    </row>
    <row r="127" spans="1:29" x14ac:dyDescent="0.2">
      <c r="A127">
        <v>126</v>
      </c>
      <c r="B127">
        <f>LoanPool!L127</f>
        <v>350088.93384131382</v>
      </c>
      <c r="C127">
        <f>LoanPool!M127</f>
        <v>919865.31361115701</v>
      </c>
      <c r="D127">
        <f>LoanPool!H127</f>
        <v>24914.002557850821</v>
      </c>
      <c r="E127">
        <f t="shared" si="43"/>
        <v>26678482.67988034</v>
      </c>
      <c r="F127">
        <f t="shared" si="44"/>
        <v>45000000</v>
      </c>
      <c r="G127">
        <f t="shared" si="45"/>
        <v>8341845.0552770849</v>
      </c>
      <c r="H127">
        <f t="shared" si="23"/>
        <v>24914.002557850821</v>
      </c>
      <c r="I127">
        <f t="shared" si="24"/>
        <v>0</v>
      </c>
      <c r="J127">
        <f t="shared" si="25"/>
        <v>0</v>
      </c>
      <c r="K127">
        <f t="shared" si="26"/>
        <v>26678482.67988034</v>
      </c>
      <c r="L127">
        <f t="shared" si="27"/>
        <v>45000000</v>
      </c>
      <c r="M127">
        <f t="shared" si="28"/>
        <v>8316931.0527192345</v>
      </c>
      <c r="N127">
        <f>K127*Inputs!B6/12</f>
        <v>127834.39617442664</v>
      </c>
      <c r="O127">
        <f t="shared" si="29"/>
        <v>127834.39617442664</v>
      </c>
      <c r="P127">
        <f t="shared" si="30"/>
        <v>0</v>
      </c>
      <c r="Q127">
        <f>L127*Inputs!B6/12</f>
        <v>215625</v>
      </c>
      <c r="R127">
        <f t="shared" si="31"/>
        <v>215625</v>
      </c>
      <c r="S127">
        <f t="shared" si="32"/>
        <v>0</v>
      </c>
      <c r="T127">
        <f t="shared" si="33"/>
        <v>6629.5376668871613</v>
      </c>
      <c r="U127">
        <f t="shared" si="34"/>
        <v>919865.31361115701</v>
      </c>
      <c r="V127">
        <f t="shared" si="35"/>
        <v>0</v>
      </c>
      <c r="W127">
        <f t="shared" si="36"/>
        <v>0</v>
      </c>
      <c r="X127">
        <f t="shared" si="37"/>
        <v>25758617.366269182</v>
      </c>
      <c r="Y127">
        <f t="shared" si="38"/>
        <v>45000000</v>
      </c>
      <c r="Z127">
        <f t="shared" si="39"/>
        <v>8316931.0527192345</v>
      </c>
      <c r="AA127">
        <f t="shared" si="40"/>
        <v>0</v>
      </c>
      <c r="AB127">
        <f t="shared" si="41"/>
        <v>0</v>
      </c>
      <c r="AC127">
        <f t="shared" si="42"/>
        <v>0</v>
      </c>
    </row>
    <row r="128" spans="1:29" x14ac:dyDescent="0.2">
      <c r="A128">
        <v>127</v>
      </c>
      <c r="B128">
        <f>LoanPool!L128</f>
        <v>345955.5243330744</v>
      </c>
      <c r="C128">
        <f>LoanPool!M128</f>
        <v>911442.67041547655</v>
      </c>
      <c r="D128">
        <f>LoanPool!H128</f>
        <v>24619.081493784273</v>
      </c>
      <c r="E128">
        <f t="shared" si="43"/>
        <v>25758617.366269182</v>
      </c>
      <c r="F128">
        <f t="shared" si="44"/>
        <v>45000000</v>
      </c>
      <c r="G128">
        <f t="shared" si="45"/>
        <v>8316931.0527192345</v>
      </c>
      <c r="H128">
        <f t="shared" si="23"/>
        <v>24619.081493784273</v>
      </c>
      <c r="I128">
        <f t="shared" si="24"/>
        <v>0</v>
      </c>
      <c r="J128">
        <f t="shared" si="25"/>
        <v>0</v>
      </c>
      <c r="K128">
        <f t="shared" si="26"/>
        <v>25758617.366269182</v>
      </c>
      <c r="L128">
        <f t="shared" si="27"/>
        <v>45000000</v>
      </c>
      <c r="M128">
        <f t="shared" si="28"/>
        <v>8292311.9712254498</v>
      </c>
      <c r="N128">
        <f>K128*Inputs!B6/12</f>
        <v>123426.70821337316</v>
      </c>
      <c r="O128">
        <f t="shared" si="29"/>
        <v>123426.70821337316</v>
      </c>
      <c r="P128">
        <f t="shared" si="30"/>
        <v>0</v>
      </c>
      <c r="Q128">
        <f>L128*Inputs!B6/12</f>
        <v>215625</v>
      </c>
      <c r="R128">
        <f t="shared" si="31"/>
        <v>215625</v>
      </c>
      <c r="S128">
        <f t="shared" si="32"/>
        <v>0</v>
      </c>
      <c r="T128">
        <f t="shared" si="33"/>
        <v>6903.8161197012523</v>
      </c>
      <c r="U128">
        <f t="shared" si="34"/>
        <v>911442.67041547655</v>
      </c>
      <c r="V128">
        <f t="shared" si="35"/>
        <v>0</v>
      </c>
      <c r="W128">
        <f t="shared" si="36"/>
        <v>0</v>
      </c>
      <c r="X128">
        <f t="shared" si="37"/>
        <v>24847174.695853706</v>
      </c>
      <c r="Y128">
        <f t="shared" si="38"/>
        <v>45000000</v>
      </c>
      <c r="Z128">
        <f t="shared" si="39"/>
        <v>8292311.9712254498</v>
      </c>
      <c r="AA128">
        <f t="shared" si="40"/>
        <v>0</v>
      </c>
      <c r="AB128">
        <f t="shared" si="41"/>
        <v>0</v>
      </c>
      <c r="AC128">
        <f t="shared" si="42"/>
        <v>0</v>
      </c>
    </row>
    <row r="129" spans="1:29" x14ac:dyDescent="0.2">
      <c r="A129">
        <v>128</v>
      </c>
      <c r="B129">
        <f>LoanPool!L129</f>
        <v>341860.25416847144</v>
      </c>
      <c r="C129">
        <f>LoanPool!M129</f>
        <v>903091.96791992779</v>
      </c>
      <c r="D129">
        <f>LoanPool!H129</f>
        <v>24326.883512249547</v>
      </c>
      <c r="E129">
        <f t="shared" si="43"/>
        <v>24847174.695853706</v>
      </c>
      <c r="F129">
        <f t="shared" si="44"/>
        <v>45000000</v>
      </c>
      <c r="G129">
        <f t="shared" si="45"/>
        <v>8292311.9712254498</v>
      </c>
      <c r="H129">
        <f t="shared" si="23"/>
        <v>24326.883512249547</v>
      </c>
      <c r="I129">
        <f t="shared" si="24"/>
        <v>0</v>
      </c>
      <c r="J129">
        <f t="shared" si="25"/>
        <v>0</v>
      </c>
      <c r="K129">
        <f t="shared" si="26"/>
        <v>24847174.695853706</v>
      </c>
      <c r="L129">
        <f t="shared" si="27"/>
        <v>45000000</v>
      </c>
      <c r="M129">
        <f t="shared" si="28"/>
        <v>8267985.0877132006</v>
      </c>
      <c r="N129">
        <f>K129*Inputs!B6/12</f>
        <v>119059.37875096568</v>
      </c>
      <c r="O129">
        <f t="shared" si="29"/>
        <v>119059.37875096568</v>
      </c>
      <c r="P129">
        <f t="shared" si="30"/>
        <v>0</v>
      </c>
      <c r="Q129">
        <f>L129*Inputs!B6/12</f>
        <v>215625</v>
      </c>
      <c r="R129">
        <f t="shared" si="31"/>
        <v>215625</v>
      </c>
      <c r="S129">
        <f t="shared" si="32"/>
        <v>0</v>
      </c>
      <c r="T129">
        <f t="shared" si="33"/>
        <v>7175.8754175057402</v>
      </c>
      <c r="U129">
        <f t="shared" si="34"/>
        <v>903091.96791992779</v>
      </c>
      <c r="V129">
        <f t="shared" si="35"/>
        <v>0</v>
      </c>
      <c r="W129">
        <f t="shared" si="36"/>
        <v>0</v>
      </c>
      <c r="X129">
        <f t="shared" si="37"/>
        <v>23944082.727933779</v>
      </c>
      <c r="Y129">
        <f t="shared" si="38"/>
        <v>45000000</v>
      </c>
      <c r="Z129">
        <f t="shared" si="39"/>
        <v>8267985.0877132006</v>
      </c>
      <c r="AA129">
        <f t="shared" si="40"/>
        <v>0</v>
      </c>
      <c r="AB129">
        <f t="shared" si="41"/>
        <v>0</v>
      </c>
      <c r="AC129">
        <f t="shared" si="42"/>
        <v>0</v>
      </c>
    </row>
    <row r="130" spans="1:29" x14ac:dyDescent="0.2">
      <c r="A130">
        <v>129</v>
      </c>
      <c r="B130">
        <f>LoanPool!L130</f>
        <v>337802.79669345566</v>
      </c>
      <c r="C130">
        <f>LoanPool!M130</f>
        <v>894812.60747914843</v>
      </c>
      <c r="D130">
        <f>LoanPool!H130</f>
        <v>24037.385285203229</v>
      </c>
      <c r="E130">
        <f t="shared" si="43"/>
        <v>23944082.727933779</v>
      </c>
      <c r="F130">
        <f t="shared" si="44"/>
        <v>45000000</v>
      </c>
      <c r="G130">
        <f t="shared" si="45"/>
        <v>8267985.0877132006</v>
      </c>
      <c r="H130">
        <f t="shared" ref="H130:H193" si="46">MIN(D130,G130)</f>
        <v>24037.385285203229</v>
      </c>
      <c r="I130">
        <f t="shared" ref="I130:I193" si="47">MIN(MAX(D130-H130,0),F130)</f>
        <v>0</v>
      </c>
      <c r="J130">
        <f t="shared" ref="J130:J193" si="48">MIN(MAX(D130-H130-I130,0),E130)</f>
        <v>0</v>
      </c>
      <c r="K130">
        <f t="shared" ref="K130:K193" si="49">MAX(E130-J130,0)</f>
        <v>23944082.727933779</v>
      </c>
      <c r="L130">
        <f t="shared" ref="L130:L193" si="50">MAX(F130-I130,0)</f>
        <v>45000000</v>
      </c>
      <c r="M130">
        <f t="shared" ref="M130:M193" si="51">MAX(G130-H130,0)</f>
        <v>8243947.7024279973</v>
      </c>
      <c r="N130">
        <f>K130*Inputs!B6/12</f>
        <v>114732.06307134936</v>
      </c>
      <c r="O130">
        <f t="shared" ref="O130:O193" si="52">MIN(B130,N130)</f>
        <v>114732.06307134936</v>
      </c>
      <c r="P130">
        <f t="shared" ref="P130:P193" si="53">N130-O130</f>
        <v>0</v>
      </c>
      <c r="Q130">
        <f>L130*Inputs!B6/12</f>
        <v>215625</v>
      </c>
      <c r="R130">
        <f t="shared" ref="R130:R193" si="54">MIN(MAX(B130-O130,0),Q130)</f>
        <v>215625</v>
      </c>
      <c r="S130">
        <f t="shared" ref="S130:S193" si="55">Q130-R130</f>
        <v>0</v>
      </c>
      <c r="T130">
        <f t="shared" ref="T130:T193" si="56">MAX(B130-O130-R130,0)</f>
        <v>7445.733622106316</v>
      </c>
      <c r="U130">
        <f t="shared" ref="U130:U193" si="57">MIN(C130,K130)</f>
        <v>894812.60747914843</v>
      </c>
      <c r="V130">
        <f t="shared" ref="V130:V193" si="58">MIN(MAX(C130-U130,0),L130)</f>
        <v>0</v>
      </c>
      <c r="W130">
        <f t="shared" ref="W130:W193" si="59">MIN(MAX(C130-U130-V130,0),M130)</f>
        <v>0</v>
      </c>
      <c r="X130">
        <f t="shared" ref="X130:X193" si="60">MAX(K130-U130,0)</f>
        <v>23049270.120454632</v>
      </c>
      <c r="Y130">
        <f t="shared" ref="Y130:Y193" si="61">MAX(L130-V130,0)</f>
        <v>45000000</v>
      </c>
      <c r="Z130">
        <f t="shared" ref="Z130:Z193" si="62">MAX(M130-W130,0)</f>
        <v>8243947.7024279973</v>
      </c>
      <c r="AA130">
        <f t="shared" ref="AA130:AA193" si="63">C130-(U130+V130+W130)</f>
        <v>0</v>
      </c>
      <c r="AB130">
        <f t="shared" ref="AB130:AB193" si="64">B130-(O130+R130+T130)</f>
        <v>0</v>
      </c>
      <c r="AC130">
        <f t="shared" ref="AC130:AC193" si="65">D130-(H130+I130+J130)</f>
        <v>0</v>
      </c>
    </row>
    <row r="131" spans="1:29" x14ac:dyDescent="0.2">
      <c r="A131">
        <v>130</v>
      </c>
      <c r="B131">
        <f>LoanPool!L131</f>
        <v>333782.82797511166</v>
      </c>
      <c r="C131">
        <f>LoanPool!M131</f>
        <v>886603.99537750403</v>
      </c>
      <c r="D131">
        <f>LoanPool!H131</f>
        <v>23750.563678950068</v>
      </c>
      <c r="E131">
        <f t="shared" ref="E131:E194" si="66">X130</f>
        <v>23049270.120454632</v>
      </c>
      <c r="F131">
        <f t="shared" ref="F131:F194" si="67">Y130</f>
        <v>45000000</v>
      </c>
      <c r="G131">
        <f t="shared" ref="G131:G194" si="68">Z130</f>
        <v>8243947.7024279973</v>
      </c>
      <c r="H131">
        <f t="shared" si="46"/>
        <v>23750.563678950068</v>
      </c>
      <c r="I131">
        <f t="shared" si="47"/>
        <v>0</v>
      </c>
      <c r="J131">
        <f t="shared" si="48"/>
        <v>0</v>
      </c>
      <c r="K131">
        <f t="shared" si="49"/>
        <v>23049270.120454632</v>
      </c>
      <c r="L131">
        <f t="shared" si="50"/>
        <v>45000000</v>
      </c>
      <c r="M131">
        <f t="shared" si="51"/>
        <v>8220197.1387490472</v>
      </c>
      <c r="N131">
        <f>K131*Inputs!B6/12</f>
        <v>110444.41932717845</v>
      </c>
      <c r="O131">
        <f t="shared" si="52"/>
        <v>110444.41932717845</v>
      </c>
      <c r="P131">
        <f t="shared" si="53"/>
        <v>0</v>
      </c>
      <c r="Q131">
        <f>L131*Inputs!B6/12</f>
        <v>215625</v>
      </c>
      <c r="R131">
        <f t="shared" si="54"/>
        <v>215625</v>
      </c>
      <c r="S131">
        <f t="shared" si="55"/>
        <v>0</v>
      </c>
      <c r="T131">
        <f t="shared" si="56"/>
        <v>7713.4086479332182</v>
      </c>
      <c r="U131">
        <f t="shared" si="57"/>
        <v>886603.99537750403</v>
      </c>
      <c r="V131">
        <f t="shared" si="58"/>
        <v>0</v>
      </c>
      <c r="W131">
        <f t="shared" si="59"/>
        <v>0</v>
      </c>
      <c r="X131">
        <f t="shared" si="60"/>
        <v>22162666.125077128</v>
      </c>
      <c r="Y131">
        <f t="shared" si="61"/>
        <v>45000000</v>
      </c>
      <c r="Z131">
        <f t="shared" si="62"/>
        <v>8220197.1387490472</v>
      </c>
      <c r="AA131">
        <f t="shared" si="63"/>
        <v>0</v>
      </c>
      <c r="AB131">
        <f t="shared" si="64"/>
        <v>0</v>
      </c>
      <c r="AC131">
        <f t="shared" si="65"/>
        <v>0</v>
      </c>
    </row>
    <row r="132" spans="1:29" x14ac:dyDescent="0.2">
      <c r="A132">
        <v>131</v>
      </c>
      <c r="B132">
        <f>LoanPool!L132</f>
        <v>329800.02677923965</v>
      </c>
      <c r="C132">
        <f>LoanPool!M132</f>
        <v>878465.54278866574</v>
      </c>
      <c r="D132">
        <f>LoanPool!H132</f>
        <v>23466.395752541772</v>
      </c>
      <c r="E132">
        <f t="shared" si="66"/>
        <v>22162666.125077128</v>
      </c>
      <c r="F132">
        <f t="shared" si="67"/>
        <v>45000000</v>
      </c>
      <c r="G132">
        <f t="shared" si="68"/>
        <v>8220197.1387490472</v>
      </c>
      <c r="H132">
        <f t="shared" si="46"/>
        <v>23466.395752541772</v>
      </c>
      <c r="I132">
        <f t="shared" si="47"/>
        <v>0</v>
      </c>
      <c r="J132">
        <f t="shared" si="48"/>
        <v>0</v>
      </c>
      <c r="K132">
        <f t="shared" si="49"/>
        <v>22162666.125077128</v>
      </c>
      <c r="L132">
        <f t="shared" si="50"/>
        <v>45000000</v>
      </c>
      <c r="M132">
        <f t="shared" si="51"/>
        <v>8196730.7429965055</v>
      </c>
      <c r="N132">
        <f>K132*Inputs!B6/12</f>
        <v>106196.10851599458</v>
      </c>
      <c r="O132">
        <f t="shared" si="52"/>
        <v>106196.10851599458</v>
      </c>
      <c r="P132">
        <f t="shared" si="53"/>
        <v>0</v>
      </c>
      <c r="Q132">
        <f>L132*Inputs!B6/12</f>
        <v>215625</v>
      </c>
      <c r="R132">
        <f t="shared" si="54"/>
        <v>215625</v>
      </c>
      <c r="S132">
        <f t="shared" si="55"/>
        <v>0</v>
      </c>
      <c r="T132">
        <f t="shared" si="56"/>
        <v>7978.9182632450829</v>
      </c>
      <c r="U132">
        <f t="shared" si="57"/>
        <v>878465.54278866574</v>
      </c>
      <c r="V132">
        <f t="shared" si="58"/>
        <v>0</v>
      </c>
      <c r="W132">
        <f t="shared" si="59"/>
        <v>0</v>
      </c>
      <c r="X132">
        <f t="shared" si="60"/>
        <v>21284200.582288463</v>
      </c>
      <c r="Y132">
        <f t="shared" si="61"/>
        <v>45000000</v>
      </c>
      <c r="Z132">
        <f t="shared" si="62"/>
        <v>8196730.7429965055</v>
      </c>
      <c r="AA132">
        <f t="shared" si="63"/>
        <v>0</v>
      </c>
      <c r="AB132">
        <f t="shared" si="64"/>
        <v>0</v>
      </c>
      <c r="AC132">
        <f t="shared" si="65"/>
        <v>0</v>
      </c>
    </row>
    <row r="133" spans="1:29" x14ac:dyDescent="0.2">
      <c r="A133">
        <v>132</v>
      </c>
      <c r="B133">
        <f>LoanPool!L133</f>
        <v>325854.07454812183</v>
      </c>
      <c r="C133">
        <f>LoanPool!M133</f>
        <v>870396.66573552066</v>
      </c>
      <c r="D133">
        <f>LoanPool!H133</f>
        <v>23184.858756188944</v>
      </c>
      <c r="E133">
        <f t="shared" si="66"/>
        <v>21284200.582288463</v>
      </c>
      <c r="F133">
        <f t="shared" si="67"/>
        <v>45000000</v>
      </c>
      <c r="G133">
        <f t="shared" si="68"/>
        <v>8196730.7429965055</v>
      </c>
      <c r="H133">
        <f t="shared" si="46"/>
        <v>23184.858756188944</v>
      </c>
      <c r="I133">
        <f t="shared" si="47"/>
        <v>0</v>
      </c>
      <c r="J133">
        <f t="shared" si="48"/>
        <v>0</v>
      </c>
      <c r="K133">
        <f t="shared" si="49"/>
        <v>21284200.582288463</v>
      </c>
      <c r="L133">
        <f t="shared" si="50"/>
        <v>45000000</v>
      </c>
      <c r="M133">
        <f t="shared" si="51"/>
        <v>8173545.8842403162</v>
      </c>
      <c r="N133">
        <f>K133*Inputs!B6/12</f>
        <v>101986.79445679889</v>
      </c>
      <c r="O133">
        <f t="shared" si="52"/>
        <v>101986.79445679889</v>
      </c>
      <c r="P133">
        <f t="shared" si="53"/>
        <v>0</v>
      </c>
      <c r="Q133">
        <f>L133*Inputs!B6/12</f>
        <v>215625</v>
      </c>
      <c r="R133">
        <f t="shared" si="54"/>
        <v>215625</v>
      </c>
      <c r="S133">
        <f t="shared" si="55"/>
        <v>0</v>
      </c>
      <c r="T133">
        <f t="shared" si="56"/>
        <v>8242.2800913229585</v>
      </c>
      <c r="U133">
        <f t="shared" si="57"/>
        <v>870396.66573552066</v>
      </c>
      <c r="V133">
        <f t="shared" si="58"/>
        <v>0</v>
      </c>
      <c r="W133">
        <f t="shared" si="59"/>
        <v>0</v>
      </c>
      <c r="X133">
        <f t="shared" si="60"/>
        <v>20413803.916552942</v>
      </c>
      <c r="Y133">
        <f t="shared" si="61"/>
        <v>45000000</v>
      </c>
      <c r="Z133">
        <f t="shared" si="62"/>
        <v>8173545.8842403162</v>
      </c>
      <c r="AA133">
        <f t="shared" si="63"/>
        <v>0</v>
      </c>
      <c r="AB133">
        <f t="shared" si="64"/>
        <v>0</v>
      </c>
      <c r="AC133">
        <f t="shared" si="65"/>
        <v>0</v>
      </c>
    </row>
    <row r="134" spans="1:29" x14ac:dyDescent="0.2">
      <c r="A134">
        <v>133</v>
      </c>
      <c r="B134">
        <f>LoanPool!L134</f>
        <v>321944.6553784706</v>
      </c>
      <c r="C134">
        <f>LoanPool!M134</f>
        <v>862396.7850504095</v>
      </c>
      <c r="D134">
        <f>LoanPool!H134</f>
        <v>22905.930129686072</v>
      </c>
      <c r="E134">
        <f t="shared" si="66"/>
        <v>20413803.916552942</v>
      </c>
      <c r="F134">
        <f t="shared" si="67"/>
        <v>45000000</v>
      </c>
      <c r="G134">
        <f t="shared" si="68"/>
        <v>8173545.8842403162</v>
      </c>
      <c r="H134">
        <f t="shared" si="46"/>
        <v>22905.930129686072</v>
      </c>
      <c r="I134">
        <f t="shared" si="47"/>
        <v>0</v>
      </c>
      <c r="J134">
        <f t="shared" si="48"/>
        <v>0</v>
      </c>
      <c r="K134">
        <f t="shared" si="49"/>
        <v>20413803.916552942</v>
      </c>
      <c r="L134">
        <f t="shared" si="50"/>
        <v>45000000</v>
      </c>
      <c r="M134">
        <f t="shared" si="51"/>
        <v>8150639.9541106299</v>
      </c>
      <c r="N134">
        <f>K134*Inputs!B6/12</f>
        <v>97816.143766816182</v>
      </c>
      <c r="O134">
        <f t="shared" si="52"/>
        <v>97816.143766816182</v>
      </c>
      <c r="P134">
        <f t="shared" si="53"/>
        <v>0</v>
      </c>
      <c r="Q134">
        <f>L134*Inputs!B6/12</f>
        <v>215625</v>
      </c>
      <c r="R134">
        <f t="shared" si="54"/>
        <v>215625</v>
      </c>
      <c r="S134">
        <f t="shared" si="55"/>
        <v>0</v>
      </c>
      <c r="T134">
        <f t="shared" si="56"/>
        <v>8503.5116116544232</v>
      </c>
      <c r="U134">
        <f t="shared" si="57"/>
        <v>862396.7850504095</v>
      </c>
      <c r="V134">
        <f t="shared" si="58"/>
        <v>0</v>
      </c>
      <c r="W134">
        <f t="shared" si="59"/>
        <v>0</v>
      </c>
      <c r="X134">
        <f t="shared" si="60"/>
        <v>19551407.131502531</v>
      </c>
      <c r="Y134">
        <f t="shared" si="61"/>
        <v>45000000</v>
      </c>
      <c r="Z134">
        <f t="shared" si="62"/>
        <v>8150639.9541106299</v>
      </c>
      <c r="AA134">
        <f t="shared" si="63"/>
        <v>0</v>
      </c>
      <c r="AB134">
        <f t="shared" si="64"/>
        <v>0</v>
      </c>
      <c r="AC134">
        <f t="shared" si="65"/>
        <v>0</v>
      </c>
    </row>
    <row r="135" spans="1:29" x14ac:dyDescent="0.2">
      <c r="A135">
        <v>134</v>
      </c>
      <c r="B135">
        <f>LoanPool!L135</f>
        <v>318071.45599955769</v>
      </c>
      <c r="C135">
        <f>LoanPool!M135</f>
        <v>854465.32633568952</v>
      </c>
      <c r="D135">
        <f>LoanPool!H135</f>
        <v>22629.587500849448</v>
      </c>
      <c r="E135">
        <f t="shared" si="66"/>
        <v>19551407.131502531</v>
      </c>
      <c r="F135">
        <f t="shared" si="67"/>
        <v>45000000</v>
      </c>
      <c r="G135">
        <f t="shared" si="68"/>
        <v>8150639.9541106299</v>
      </c>
      <c r="H135">
        <f t="shared" si="46"/>
        <v>22629.587500849448</v>
      </c>
      <c r="I135">
        <f t="shared" si="47"/>
        <v>0</v>
      </c>
      <c r="J135">
        <f t="shared" si="48"/>
        <v>0</v>
      </c>
      <c r="K135">
        <f t="shared" si="49"/>
        <v>19551407.131502531</v>
      </c>
      <c r="L135">
        <f t="shared" si="50"/>
        <v>45000000</v>
      </c>
      <c r="M135">
        <f t="shared" si="51"/>
        <v>8128010.3666097801</v>
      </c>
      <c r="N135">
        <f>K135*Inputs!B6/12</f>
        <v>93683.825838449629</v>
      </c>
      <c r="O135">
        <f t="shared" si="52"/>
        <v>93683.825838449629</v>
      </c>
      <c r="P135">
        <f t="shared" si="53"/>
        <v>0</v>
      </c>
      <c r="Q135">
        <f>L135*Inputs!B6/12</f>
        <v>215625</v>
      </c>
      <c r="R135">
        <f t="shared" si="54"/>
        <v>215625</v>
      </c>
      <c r="S135">
        <f t="shared" si="55"/>
        <v>0</v>
      </c>
      <c r="T135">
        <f t="shared" si="56"/>
        <v>8762.6301611080416</v>
      </c>
      <c r="U135">
        <f t="shared" si="57"/>
        <v>854465.32633568952</v>
      </c>
      <c r="V135">
        <f t="shared" si="58"/>
        <v>0</v>
      </c>
      <c r="W135">
        <f t="shared" si="59"/>
        <v>0</v>
      </c>
      <c r="X135">
        <f t="shared" si="60"/>
        <v>18696941.805166841</v>
      </c>
      <c r="Y135">
        <f t="shared" si="61"/>
        <v>45000000</v>
      </c>
      <c r="Z135">
        <f t="shared" si="62"/>
        <v>8128010.3666097801</v>
      </c>
      <c r="AA135">
        <f t="shared" si="63"/>
        <v>0</v>
      </c>
      <c r="AB135">
        <f t="shared" si="64"/>
        <v>0</v>
      </c>
      <c r="AC135">
        <f t="shared" si="65"/>
        <v>0</v>
      </c>
    </row>
    <row r="136" spans="1:29" x14ac:dyDescent="0.2">
      <c r="A136">
        <v>135</v>
      </c>
      <c r="B136">
        <f>LoanPool!L136</f>
        <v>314234.16575152276</v>
      </c>
      <c r="C136">
        <f>LoanPool!M136</f>
        <v>846601.7199246214</v>
      </c>
      <c r="D136">
        <f>LoanPool!H136</f>
        <v>22355.8086839678</v>
      </c>
      <c r="E136">
        <f t="shared" si="66"/>
        <v>18696941.805166841</v>
      </c>
      <c r="F136">
        <f t="shared" si="67"/>
        <v>45000000</v>
      </c>
      <c r="G136">
        <f t="shared" si="68"/>
        <v>8128010.3666097801</v>
      </c>
      <c r="H136">
        <f t="shared" si="46"/>
        <v>22355.8086839678</v>
      </c>
      <c r="I136">
        <f t="shared" si="47"/>
        <v>0</v>
      </c>
      <c r="J136">
        <f t="shared" si="48"/>
        <v>0</v>
      </c>
      <c r="K136">
        <f t="shared" si="49"/>
        <v>18696941.805166841</v>
      </c>
      <c r="L136">
        <f t="shared" si="50"/>
        <v>45000000</v>
      </c>
      <c r="M136">
        <f t="shared" si="51"/>
        <v>8105654.557925812</v>
      </c>
      <c r="N136">
        <f>K136*Inputs!B6/12</f>
        <v>89589.512816424438</v>
      </c>
      <c r="O136">
        <f t="shared" si="52"/>
        <v>89589.512816424438</v>
      </c>
      <c r="P136">
        <f t="shared" si="53"/>
        <v>0</v>
      </c>
      <c r="Q136">
        <f>L136*Inputs!B6/12</f>
        <v>215625</v>
      </c>
      <c r="R136">
        <f t="shared" si="54"/>
        <v>215625</v>
      </c>
      <c r="S136">
        <f t="shared" si="55"/>
        <v>0</v>
      </c>
      <c r="T136">
        <f t="shared" si="56"/>
        <v>9019.6529350983328</v>
      </c>
      <c r="U136">
        <f t="shared" si="57"/>
        <v>846601.7199246214</v>
      </c>
      <c r="V136">
        <f t="shared" si="58"/>
        <v>0</v>
      </c>
      <c r="W136">
        <f t="shared" si="59"/>
        <v>0</v>
      </c>
      <c r="X136">
        <f t="shared" si="60"/>
        <v>17850340.085242219</v>
      </c>
      <c r="Y136">
        <f t="shared" si="61"/>
        <v>45000000</v>
      </c>
      <c r="Z136">
        <f t="shared" si="62"/>
        <v>8105654.557925812</v>
      </c>
      <c r="AA136">
        <f t="shared" si="63"/>
        <v>0</v>
      </c>
      <c r="AB136">
        <f t="shared" si="64"/>
        <v>0</v>
      </c>
      <c r="AC136">
        <f t="shared" si="65"/>
        <v>0</v>
      </c>
    </row>
    <row r="137" spans="1:29" x14ac:dyDescent="0.2">
      <c r="A137">
        <v>136</v>
      </c>
      <c r="B137">
        <f>LoanPool!L137</f>
        <v>310432.47656386025</v>
      </c>
      <c r="C137">
        <f>LoanPool!M137</f>
        <v>838805.40084257408</v>
      </c>
      <c r="D137">
        <f>LoanPool!H137</f>
        <v>22084.571678265766</v>
      </c>
      <c r="E137">
        <f t="shared" si="66"/>
        <v>17850340.085242219</v>
      </c>
      <c r="F137">
        <f t="shared" si="67"/>
        <v>45000000</v>
      </c>
      <c r="G137">
        <f t="shared" si="68"/>
        <v>8105654.557925812</v>
      </c>
      <c r="H137">
        <f t="shared" si="46"/>
        <v>22084.571678265766</v>
      </c>
      <c r="I137">
        <f t="shared" si="47"/>
        <v>0</v>
      </c>
      <c r="J137">
        <f t="shared" si="48"/>
        <v>0</v>
      </c>
      <c r="K137">
        <f t="shared" si="49"/>
        <v>17850340.085242219</v>
      </c>
      <c r="L137">
        <f t="shared" si="50"/>
        <v>45000000</v>
      </c>
      <c r="M137">
        <f t="shared" si="51"/>
        <v>8083569.986247546</v>
      </c>
      <c r="N137">
        <f>K137*Inputs!B6/12</f>
        <v>85532.879575118975</v>
      </c>
      <c r="O137">
        <f t="shared" si="52"/>
        <v>85532.879575118975</v>
      </c>
      <c r="P137">
        <f t="shared" si="53"/>
        <v>0</v>
      </c>
      <c r="Q137">
        <f>L137*Inputs!B6/12</f>
        <v>215625</v>
      </c>
      <c r="R137">
        <f t="shared" si="54"/>
        <v>215625</v>
      </c>
      <c r="S137">
        <f t="shared" si="55"/>
        <v>0</v>
      </c>
      <c r="T137">
        <f t="shared" si="56"/>
        <v>9274.5969887412793</v>
      </c>
      <c r="U137">
        <f t="shared" si="57"/>
        <v>838805.40084257408</v>
      </c>
      <c r="V137">
        <f t="shared" si="58"/>
        <v>0</v>
      </c>
      <c r="W137">
        <f t="shared" si="59"/>
        <v>0</v>
      </c>
      <c r="X137">
        <f t="shared" si="60"/>
        <v>17011534.684399646</v>
      </c>
      <c r="Y137">
        <f t="shared" si="61"/>
        <v>45000000</v>
      </c>
      <c r="Z137">
        <f t="shared" si="62"/>
        <v>8083569.986247546</v>
      </c>
      <c r="AA137">
        <f t="shared" si="63"/>
        <v>0</v>
      </c>
      <c r="AB137">
        <f t="shared" si="64"/>
        <v>0</v>
      </c>
      <c r="AC137">
        <f t="shared" si="65"/>
        <v>0</v>
      </c>
    </row>
    <row r="138" spans="1:29" x14ac:dyDescent="0.2">
      <c r="A138">
        <v>137</v>
      </c>
      <c r="B138">
        <f>LoanPool!L138</f>
        <v>306666.0829340815</v>
      </c>
      <c r="C138">
        <f>LoanPool!M138</f>
        <v>831075.80876855063</v>
      </c>
      <c r="D138">
        <f>LoanPool!H138</f>
        <v>21815.854666379892</v>
      </c>
      <c r="E138">
        <f t="shared" si="66"/>
        <v>17011534.684399646</v>
      </c>
      <c r="F138">
        <f t="shared" si="67"/>
        <v>45000000</v>
      </c>
      <c r="G138">
        <f t="shared" si="68"/>
        <v>8083569.986247546</v>
      </c>
      <c r="H138">
        <f t="shared" si="46"/>
        <v>21815.854666379892</v>
      </c>
      <c r="I138">
        <f t="shared" si="47"/>
        <v>0</v>
      </c>
      <c r="J138">
        <f t="shared" si="48"/>
        <v>0</v>
      </c>
      <c r="K138">
        <f t="shared" si="49"/>
        <v>17011534.684399646</v>
      </c>
      <c r="L138">
        <f t="shared" si="50"/>
        <v>45000000</v>
      </c>
      <c r="M138">
        <f t="shared" si="51"/>
        <v>8061754.1315811658</v>
      </c>
      <c r="N138">
        <f>K138*Inputs!B6/12</f>
        <v>81513.603696081642</v>
      </c>
      <c r="O138">
        <f t="shared" si="52"/>
        <v>81513.603696081642</v>
      </c>
      <c r="P138">
        <f t="shared" si="53"/>
        <v>0</v>
      </c>
      <c r="Q138">
        <f>L138*Inputs!B6/12</f>
        <v>215625</v>
      </c>
      <c r="R138">
        <f t="shared" si="54"/>
        <v>215625</v>
      </c>
      <c r="S138">
        <f t="shared" si="55"/>
        <v>0</v>
      </c>
      <c r="T138">
        <f t="shared" si="56"/>
        <v>9527.4792379998544</v>
      </c>
      <c r="U138">
        <f t="shared" si="57"/>
        <v>831075.80876855063</v>
      </c>
      <c r="V138">
        <f t="shared" si="58"/>
        <v>0</v>
      </c>
      <c r="W138">
        <f t="shared" si="59"/>
        <v>0</v>
      </c>
      <c r="X138">
        <f t="shared" si="60"/>
        <v>16180458.875631096</v>
      </c>
      <c r="Y138">
        <f t="shared" si="61"/>
        <v>45000000</v>
      </c>
      <c r="Z138">
        <f t="shared" si="62"/>
        <v>8061754.1315811658</v>
      </c>
      <c r="AA138">
        <f t="shared" si="63"/>
        <v>0</v>
      </c>
      <c r="AB138">
        <f t="shared" si="64"/>
        <v>0</v>
      </c>
      <c r="AC138">
        <f t="shared" si="65"/>
        <v>0</v>
      </c>
    </row>
    <row r="139" spans="1:29" x14ac:dyDescent="0.2">
      <c r="A139">
        <v>138</v>
      </c>
      <c r="B139">
        <f>LoanPool!L139</f>
        <v>302934.68190655368</v>
      </c>
      <c r="C139">
        <f>LoanPool!M139</f>
        <v>823412.38799702469</v>
      </c>
      <c r="D139">
        <f>LoanPool!H139</f>
        <v>21549.636012847117</v>
      </c>
      <c r="E139">
        <f t="shared" si="66"/>
        <v>16180458.875631096</v>
      </c>
      <c r="F139">
        <f t="shared" si="67"/>
        <v>45000000</v>
      </c>
      <c r="G139">
        <f t="shared" si="68"/>
        <v>8061754.1315811658</v>
      </c>
      <c r="H139">
        <f t="shared" si="46"/>
        <v>21549.636012847117</v>
      </c>
      <c r="I139">
        <f t="shared" si="47"/>
        <v>0</v>
      </c>
      <c r="J139">
        <f t="shared" si="48"/>
        <v>0</v>
      </c>
      <c r="K139">
        <f t="shared" si="49"/>
        <v>16180458.875631096</v>
      </c>
      <c r="L139">
        <f t="shared" si="50"/>
        <v>45000000</v>
      </c>
      <c r="M139">
        <f t="shared" si="51"/>
        <v>8040204.4955683183</v>
      </c>
      <c r="N139">
        <f>K139*Inputs!B6/12</f>
        <v>77531.365445732328</v>
      </c>
      <c r="O139">
        <f t="shared" si="52"/>
        <v>77531.365445732328</v>
      </c>
      <c r="P139">
        <f t="shared" si="53"/>
        <v>0</v>
      </c>
      <c r="Q139">
        <f>L139*Inputs!B6/12</f>
        <v>215625</v>
      </c>
      <c r="R139">
        <f t="shared" si="54"/>
        <v>215625</v>
      </c>
      <c r="S139">
        <f t="shared" si="55"/>
        <v>0</v>
      </c>
      <c r="T139">
        <f t="shared" si="56"/>
        <v>9778.3164608213701</v>
      </c>
      <c r="U139">
        <f t="shared" si="57"/>
        <v>823412.38799702469</v>
      </c>
      <c r="V139">
        <f t="shared" si="58"/>
        <v>0</v>
      </c>
      <c r="W139">
        <f t="shared" si="59"/>
        <v>0</v>
      </c>
      <c r="X139">
        <f t="shared" si="60"/>
        <v>15357046.48763407</v>
      </c>
      <c r="Y139">
        <f t="shared" si="61"/>
        <v>45000000</v>
      </c>
      <c r="Z139">
        <f t="shared" si="62"/>
        <v>8040204.4955683183</v>
      </c>
      <c r="AA139">
        <f t="shared" si="63"/>
        <v>0</v>
      </c>
      <c r="AB139">
        <f t="shared" si="64"/>
        <v>0</v>
      </c>
      <c r="AC139">
        <f t="shared" si="65"/>
        <v>0</v>
      </c>
    </row>
    <row r="140" spans="1:29" x14ac:dyDescent="0.2">
      <c r="A140">
        <v>139</v>
      </c>
      <c r="B140">
        <f>LoanPool!L140</f>
        <v>299237.97305151046</v>
      </c>
      <c r="C140">
        <f>LoanPool!M140</f>
        <v>815814.58740009286</v>
      </c>
      <c r="D140">
        <f>LoanPool!H140</f>
        <v>21285.894262605711</v>
      </c>
      <c r="E140">
        <f t="shared" si="66"/>
        <v>15357046.48763407</v>
      </c>
      <c r="F140">
        <f t="shared" si="67"/>
        <v>45000000</v>
      </c>
      <c r="G140">
        <f t="shared" si="68"/>
        <v>8040204.4955683183</v>
      </c>
      <c r="H140">
        <f t="shared" si="46"/>
        <v>21285.894262605711</v>
      </c>
      <c r="I140">
        <f t="shared" si="47"/>
        <v>0</v>
      </c>
      <c r="J140">
        <f t="shared" si="48"/>
        <v>0</v>
      </c>
      <c r="K140">
        <f t="shared" si="49"/>
        <v>15357046.48763407</v>
      </c>
      <c r="L140">
        <f t="shared" si="50"/>
        <v>45000000</v>
      </c>
      <c r="M140">
        <f t="shared" si="51"/>
        <v>8018918.6013057129</v>
      </c>
      <c r="N140">
        <f>K140*Inputs!B6/12</f>
        <v>73585.847753246591</v>
      </c>
      <c r="O140">
        <f t="shared" si="52"/>
        <v>73585.847753246591</v>
      </c>
      <c r="P140">
        <f t="shared" si="53"/>
        <v>0</v>
      </c>
      <c r="Q140">
        <f>L140*Inputs!B6/12</f>
        <v>215625</v>
      </c>
      <c r="R140">
        <f t="shared" si="54"/>
        <v>215625</v>
      </c>
      <c r="S140">
        <f t="shared" si="55"/>
        <v>0</v>
      </c>
      <c r="T140">
        <f t="shared" si="56"/>
        <v>10027.125298263854</v>
      </c>
      <c r="U140">
        <f t="shared" si="57"/>
        <v>815814.58740009286</v>
      </c>
      <c r="V140">
        <f t="shared" si="58"/>
        <v>0</v>
      </c>
      <c r="W140">
        <f t="shared" si="59"/>
        <v>0</v>
      </c>
      <c r="X140">
        <f t="shared" si="60"/>
        <v>14541231.900233977</v>
      </c>
      <c r="Y140">
        <f t="shared" si="61"/>
        <v>45000000</v>
      </c>
      <c r="Z140">
        <f t="shared" si="62"/>
        <v>8018918.6013057129</v>
      </c>
      <c r="AA140">
        <f t="shared" si="63"/>
        <v>0</v>
      </c>
      <c r="AB140">
        <f t="shared" si="64"/>
        <v>0</v>
      </c>
      <c r="AC140">
        <f t="shared" si="65"/>
        <v>0</v>
      </c>
    </row>
    <row r="141" spans="1:29" x14ac:dyDescent="0.2">
      <c r="A141">
        <v>140</v>
      </c>
      <c r="B141">
        <f>LoanPool!L141</f>
        <v>295575.65844423615</v>
      </c>
      <c r="C141">
        <f>LoanPool!M141</f>
        <v>808281.86038993555</v>
      </c>
      <c r="D141">
        <f>LoanPool!H141</f>
        <v>21024.60813950848</v>
      </c>
      <c r="E141">
        <f t="shared" si="66"/>
        <v>14541231.900233977</v>
      </c>
      <c r="F141">
        <f t="shared" si="67"/>
        <v>45000000</v>
      </c>
      <c r="G141">
        <f t="shared" si="68"/>
        <v>8018918.6013057129</v>
      </c>
      <c r="H141">
        <f t="shared" si="46"/>
        <v>21024.60813950848</v>
      </c>
      <c r="I141">
        <f t="shared" si="47"/>
        <v>0</v>
      </c>
      <c r="J141">
        <f t="shared" si="48"/>
        <v>0</v>
      </c>
      <c r="K141">
        <f t="shared" si="49"/>
        <v>14541231.900233977</v>
      </c>
      <c r="L141">
        <f t="shared" si="50"/>
        <v>45000000</v>
      </c>
      <c r="M141">
        <f t="shared" si="51"/>
        <v>7997893.9931662045</v>
      </c>
      <c r="N141">
        <f>K141*Inputs!B6/12</f>
        <v>69676.736188621144</v>
      </c>
      <c r="O141">
        <f t="shared" si="52"/>
        <v>69676.736188621144</v>
      </c>
      <c r="P141">
        <f t="shared" si="53"/>
        <v>0</v>
      </c>
      <c r="Q141">
        <f>L141*Inputs!B6/12</f>
        <v>215625</v>
      </c>
      <c r="R141">
        <f t="shared" si="54"/>
        <v>215625</v>
      </c>
      <c r="S141">
        <f t="shared" si="55"/>
        <v>0</v>
      </c>
      <c r="T141">
        <f t="shared" si="56"/>
        <v>10273.922255615005</v>
      </c>
      <c r="U141">
        <f t="shared" si="57"/>
        <v>808281.86038993555</v>
      </c>
      <c r="V141">
        <f t="shared" si="58"/>
        <v>0</v>
      </c>
      <c r="W141">
        <f t="shared" si="59"/>
        <v>0</v>
      </c>
      <c r="X141">
        <f t="shared" si="60"/>
        <v>13732950.039844042</v>
      </c>
      <c r="Y141">
        <f t="shared" si="61"/>
        <v>45000000</v>
      </c>
      <c r="Z141">
        <f t="shared" si="62"/>
        <v>7997893.9931662045</v>
      </c>
      <c r="AA141">
        <f t="shared" si="63"/>
        <v>0</v>
      </c>
      <c r="AB141">
        <f t="shared" si="64"/>
        <v>0</v>
      </c>
      <c r="AC141">
        <f t="shared" si="65"/>
        <v>0</v>
      </c>
    </row>
    <row r="142" spans="1:29" x14ac:dyDescent="0.2">
      <c r="A142">
        <v>141</v>
      </c>
      <c r="B142">
        <f>LoanPool!L142</f>
        <v>291947.44264441985</v>
      </c>
      <c r="C142">
        <f>LoanPool!M142</f>
        <v>800813.6648815847</v>
      </c>
      <c r="D142">
        <f>LoanPool!H142</f>
        <v>20765.756544848147</v>
      </c>
      <c r="E142">
        <f t="shared" si="66"/>
        <v>13732950.039844042</v>
      </c>
      <c r="F142">
        <f t="shared" si="67"/>
        <v>45000000</v>
      </c>
      <c r="G142">
        <f t="shared" si="68"/>
        <v>7997893.9931662045</v>
      </c>
      <c r="H142">
        <f t="shared" si="46"/>
        <v>20765.756544848147</v>
      </c>
      <c r="I142">
        <f t="shared" si="47"/>
        <v>0</v>
      </c>
      <c r="J142">
        <f t="shared" si="48"/>
        <v>0</v>
      </c>
      <c r="K142">
        <f t="shared" si="49"/>
        <v>13732950.039844042</v>
      </c>
      <c r="L142">
        <f t="shared" si="50"/>
        <v>45000000</v>
      </c>
      <c r="M142">
        <f t="shared" si="51"/>
        <v>7977128.2366213566</v>
      </c>
      <c r="N142">
        <f>K142*Inputs!B6/12</f>
        <v>65803.718940919367</v>
      </c>
      <c r="O142">
        <f t="shared" si="52"/>
        <v>65803.718940919367</v>
      </c>
      <c r="P142">
        <f t="shared" si="53"/>
        <v>0</v>
      </c>
      <c r="Q142">
        <f>L142*Inputs!B6/12</f>
        <v>215625</v>
      </c>
      <c r="R142">
        <f t="shared" si="54"/>
        <v>215625</v>
      </c>
      <c r="S142">
        <f t="shared" si="55"/>
        <v>0</v>
      </c>
      <c r="T142">
        <f t="shared" si="56"/>
        <v>10518.723703500465</v>
      </c>
      <c r="U142">
        <f t="shared" si="57"/>
        <v>800813.6648815847</v>
      </c>
      <c r="V142">
        <f t="shared" si="58"/>
        <v>0</v>
      </c>
      <c r="W142">
        <f t="shared" si="59"/>
        <v>0</v>
      </c>
      <c r="X142">
        <f t="shared" si="60"/>
        <v>12932136.374962457</v>
      </c>
      <c r="Y142">
        <f t="shared" si="61"/>
        <v>45000000</v>
      </c>
      <c r="Z142">
        <f t="shared" si="62"/>
        <v>7977128.2366213566</v>
      </c>
      <c r="AA142">
        <f t="shared" si="63"/>
        <v>0</v>
      </c>
      <c r="AB142">
        <f t="shared" si="64"/>
        <v>0</v>
      </c>
      <c r="AC142">
        <f t="shared" si="65"/>
        <v>0</v>
      </c>
    </row>
    <row r="143" spans="1:29" x14ac:dyDescent="0.2">
      <c r="A143">
        <v>142</v>
      </c>
      <c r="B143">
        <f>LoanPool!L143</f>
        <v>288353.03267567925</v>
      </c>
      <c r="C143">
        <f>LoanPool!M143</f>
        <v>793409.463255996</v>
      </c>
      <c r="D143">
        <f>LoanPool!H143</f>
        <v>20509.318555894853</v>
      </c>
      <c r="E143">
        <f t="shared" si="66"/>
        <v>12932136.374962457</v>
      </c>
      <c r="F143">
        <f t="shared" si="67"/>
        <v>45000000</v>
      </c>
      <c r="G143">
        <f t="shared" si="68"/>
        <v>7977128.2366213566</v>
      </c>
      <c r="H143">
        <f t="shared" si="46"/>
        <v>20509.318555894853</v>
      </c>
      <c r="I143">
        <f t="shared" si="47"/>
        <v>0</v>
      </c>
      <c r="J143">
        <f t="shared" si="48"/>
        <v>0</v>
      </c>
      <c r="K143">
        <f t="shared" si="49"/>
        <v>12932136.374962457</v>
      </c>
      <c r="L143">
        <f t="shared" si="50"/>
        <v>45000000</v>
      </c>
      <c r="M143">
        <f t="shared" si="51"/>
        <v>7956618.9180654613</v>
      </c>
      <c r="N143">
        <f>K143*Inputs!B6/12</f>
        <v>61966.486796695106</v>
      </c>
      <c r="O143">
        <f t="shared" si="52"/>
        <v>61966.486796695106</v>
      </c>
      <c r="P143">
        <f t="shared" si="53"/>
        <v>0</v>
      </c>
      <c r="Q143">
        <f>L143*Inputs!B6/12</f>
        <v>215625</v>
      </c>
      <c r="R143">
        <f t="shared" si="54"/>
        <v>215625</v>
      </c>
      <c r="S143">
        <f t="shared" si="55"/>
        <v>0</v>
      </c>
      <c r="T143">
        <f t="shared" si="56"/>
        <v>10761.54587898415</v>
      </c>
      <c r="U143">
        <f t="shared" si="57"/>
        <v>793409.463255996</v>
      </c>
      <c r="V143">
        <f t="shared" si="58"/>
        <v>0</v>
      </c>
      <c r="W143">
        <f t="shared" si="59"/>
        <v>0</v>
      </c>
      <c r="X143">
        <f t="shared" si="60"/>
        <v>12138726.911706461</v>
      </c>
      <c r="Y143">
        <f t="shared" si="61"/>
        <v>45000000</v>
      </c>
      <c r="Z143">
        <f t="shared" si="62"/>
        <v>7956618.9180654613</v>
      </c>
      <c r="AA143">
        <f t="shared" si="63"/>
        <v>0</v>
      </c>
      <c r="AB143">
        <f t="shared" si="64"/>
        <v>0</v>
      </c>
      <c r="AC143">
        <f t="shared" si="65"/>
        <v>0</v>
      </c>
    </row>
    <row r="144" spans="1:29" x14ac:dyDescent="0.2">
      <c r="A144">
        <v>143</v>
      </c>
      <c r="B144">
        <f>LoanPool!L144</f>
        <v>284792.13800525217</v>
      </c>
      <c r="C144">
        <f>LoanPool!M144</f>
        <v>786068.72232342535</v>
      </c>
      <c r="D144">
        <f>LoanPool!H144</f>
        <v>20255.273424445662</v>
      </c>
      <c r="E144">
        <f t="shared" si="66"/>
        <v>12138726.911706461</v>
      </c>
      <c r="F144">
        <f t="shared" si="67"/>
        <v>45000000</v>
      </c>
      <c r="G144">
        <f t="shared" si="68"/>
        <v>7956618.9180654613</v>
      </c>
      <c r="H144">
        <f t="shared" si="46"/>
        <v>20255.273424445662</v>
      </c>
      <c r="I144">
        <f t="shared" si="47"/>
        <v>0</v>
      </c>
      <c r="J144">
        <f t="shared" si="48"/>
        <v>0</v>
      </c>
      <c r="K144">
        <f t="shared" si="49"/>
        <v>12138726.911706461</v>
      </c>
      <c r="L144">
        <f t="shared" si="50"/>
        <v>45000000</v>
      </c>
      <c r="M144">
        <f t="shared" si="51"/>
        <v>7936363.6446410157</v>
      </c>
      <c r="N144">
        <f>K144*Inputs!B6/12</f>
        <v>58164.73311859346</v>
      </c>
      <c r="O144">
        <f t="shared" si="52"/>
        <v>58164.73311859346</v>
      </c>
      <c r="P144">
        <f t="shared" si="53"/>
        <v>0</v>
      </c>
      <c r="Q144">
        <f>L144*Inputs!B6/12</f>
        <v>215625</v>
      </c>
      <c r="R144">
        <f t="shared" si="54"/>
        <v>215625</v>
      </c>
      <c r="S144">
        <f t="shared" si="55"/>
        <v>0</v>
      </c>
      <c r="T144">
        <f t="shared" si="56"/>
        <v>11002.404886658711</v>
      </c>
      <c r="U144">
        <f t="shared" si="57"/>
        <v>786068.72232342535</v>
      </c>
      <c r="V144">
        <f t="shared" si="58"/>
        <v>0</v>
      </c>
      <c r="W144">
        <f t="shared" si="59"/>
        <v>0</v>
      </c>
      <c r="X144">
        <f t="shared" si="60"/>
        <v>11352658.189383036</v>
      </c>
      <c r="Y144">
        <f t="shared" si="61"/>
        <v>45000000</v>
      </c>
      <c r="Z144">
        <f t="shared" si="62"/>
        <v>7936363.6446410157</v>
      </c>
      <c r="AA144">
        <f t="shared" si="63"/>
        <v>0</v>
      </c>
      <c r="AB144">
        <f t="shared" si="64"/>
        <v>0</v>
      </c>
      <c r="AC144">
        <f t="shared" si="65"/>
        <v>0</v>
      </c>
    </row>
    <row r="145" spans="1:29" x14ac:dyDescent="0.2">
      <c r="A145">
        <v>144</v>
      </c>
      <c r="B145">
        <f>LoanPool!L145</f>
        <v>281264.4705238553</v>
      </c>
      <c r="C145">
        <f>LoanPool!M145</f>
        <v>778790.91328710364</v>
      </c>
      <c r="D145">
        <f>LoanPool!H145</f>
        <v>20003.600575385932</v>
      </c>
      <c r="E145">
        <f t="shared" si="66"/>
        <v>11352658.189383036</v>
      </c>
      <c r="F145">
        <f t="shared" si="67"/>
        <v>45000000</v>
      </c>
      <c r="G145">
        <f t="shared" si="68"/>
        <v>7936363.6446410157</v>
      </c>
      <c r="H145">
        <f t="shared" si="46"/>
        <v>20003.600575385932</v>
      </c>
      <c r="I145">
        <f t="shared" si="47"/>
        <v>0</v>
      </c>
      <c r="J145">
        <f t="shared" si="48"/>
        <v>0</v>
      </c>
      <c r="K145">
        <f t="shared" si="49"/>
        <v>11352658.189383036</v>
      </c>
      <c r="L145">
        <f t="shared" si="50"/>
        <v>45000000</v>
      </c>
      <c r="M145">
        <f t="shared" si="51"/>
        <v>7916360.0440656301</v>
      </c>
      <c r="N145">
        <f>K145*Inputs!B6/12</f>
        <v>54398.153824127046</v>
      </c>
      <c r="O145">
        <f t="shared" si="52"/>
        <v>54398.153824127046</v>
      </c>
      <c r="P145">
        <f t="shared" si="53"/>
        <v>0</v>
      </c>
      <c r="Q145">
        <f>L145*Inputs!B6/12</f>
        <v>215625</v>
      </c>
      <c r="R145">
        <f t="shared" si="54"/>
        <v>215625</v>
      </c>
      <c r="S145">
        <f t="shared" si="55"/>
        <v>0</v>
      </c>
      <c r="T145">
        <f t="shared" si="56"/>
        <v>11241.316699728253</v>
      </c>
      <c r="U145">
        <f t="shared" si="57"/>
        <v>778790.91328710364</v>
      </c>
      <c r="V145">
        <f t="shared" si="58"/>
        <v>0</v>
      </c>
      <c r="W145">
        <f t="shared" si="59"/>
        <v>0</v>
      </c>
      <c r="X145">
        <f t="shared" si="60"/>
        <v>10573867.276095932</v>
      </c>
      <c r="Y145">
        <f t="shared" si="61"/>
        <v>45000000</v>
      </c>
      <c r="Z145">
        <f t="shared" si="62"/>
        <v>7916360.0440656301</v>
      </c>
      <c r="AA145">
        <f t="shared" si="63"/>
        <v>0</v>
      </c>
      <c r="AB145">
        <f t="shared" si="64"/>
        <v>0</v>
      </c>
      <c r="AC145">
        <f t="shared" si="65"/>
        <v>0</v>
      </c>
    </row>
    <row r="146" spans="1:29" x14ac:dyDescent="0.2">
      <c r="A146">
        <v>145</v>
      </c>
      <c r="B146">
        <f>LoanPool!L146</f>
        <v>277769.74452570686</v>
      </c>
      <c r="C146">
        <f>LoanPool!M146</f>
        <v>771575.51170720812</v>
      </c>
      <c r="D146">
        <f>LoanPool!H146</f>
        <v>19754.279605262527</v>
      </c>
      <c r="E146">
        <f t="shared" si="66"/>
        <v>10573867.276095932</v>
      </c>
      <c r="F146">
        <f t="shared" si="67"/>
        <v>45000000</v>
      </c>
      <c r="G146">
        <f t="shared" si="68"/>
        <v>7916360.0440656301</v>
      </c>
      <c r="H146">
        <f t="shared" si="46"/>
        <v>19754.279605262527</v>
      </c>
      <c r="I146">
        <f t="shared" si="47"/>
        <v>0</v>
      </c>
      <c r="J146">
        <f t="shared" si="48"/>
        <v>0</v>
      </c>
      <c r="K146">
        <f t="shared" si="49"/>
        <v>10573867.276095932</v>
      </c>
      <c r="L146">
        <f t="shared" si="50"/>
        <v>45000000</v>
      </c>
      <c r="M146">
        <f t="shared" si="51"/>
        <v>7896605.7644603672</v>
      </c>
      <c r="N146">
        <f>K146*Inputs!B6/12</f>
        <v>50666.447364626343</v>
      </c>
      <c r="O146">
        <f t="shared" si="52"/>
        <v>50666.447364626343</v>
      </c>
      <c r="P146">
        <f t="shared" si="53"/>
        <v>0</v>
      </c>
      <c r="Q146">
        <f>L146*Inputs!B6/12</f>
        <v>215625</v>
      </c>
      <c r="R146">
        <f t="shared" si="54"/>
        <v>215625</v>
      </c>
      <c r="S146">
        <f t="shared" si="55"/>
        <v>0</v>
      </c>
      <c r="T146">
        <f t="shared" si="56"/>
        <v>11478.297161080525</v>
      </c>
      <c r="U146">
        <f t="shared" si="57"/>
        <v>771575.51170720812</v>
      </c>
      <c r="V146">
        <f t="shared" si="58"/>
        <v>0</v>
      </c>
      <c r="W146">
        <f t="shared" si="59"/>
        <v>0</v>
      </c>
      <c r="X146">
        <f t="shared" si="60"/>
        <v>9802291.7643887252</v>
      </c>
      <c r="Y146">
        <f t="shared" si="61"/>
        <v>45000000</v>
      </c>
      <c r="Z146">
        <f t="shared" si="62"/>
        <v>7896605.7644603672</v>
      </c>
      <c r="AA146">
        <f t="shared" si="63"/>
        <v>0</v>
      </c>
      <c r="AB146">
        <f t="shared" si="64"/>
        <v>0</v>
      </c>
      <c r="AC146">
        <f t="shared" si="65"/>
        <v>0</v>
      </c>
    </row>
    <row r="147" spans="1:29" x14ac:dyDescent="0.2">
      <c r="A147">
        <v>146</v>
      </c>
      <c r="B147">
        <f>LoanPool!L147</f>
        <v>274307.67668871477</v>
      </c>
      <c r="C147">
        <f>LoanPool!M147</f>
        <v>764421.99746512959</v>
      </c>
      <c r="D147">
        <f>LoanPool!H147</f>
        <v>19507.290280868692</v>
      </c>
      <c r="E147">
        <f t="shared" si="66"/>
        <v>9802291.7643887252</v>
      </c>
      <c r="F147">
        <f t="shared" si="67"/>
        <v>45000000</v>
      </c>
      <c r="G147">
        <f t="shared" si="68"/>
        <v>7896605.7644603672</v>
      </c>
      <c r="H147">
        <f t="shared" si="46"/>
        <v>19507.290280868692</v>
      </c>
      <c r="I147">
        <f t="shared" si="47"/>
        <v>0</v>
      </c>
      <c r="J147">
        <f t="shared" si="48"/>
        <v>0</v>
      </c>
      <c r="K147">
        <f t="shared" si="49"/>
        <v>9802291.7643887252</v>
      </c>
      <c r="L147">
        <f t="shared" si="50"/>
        <v>45000000</v>
      </c>
      <c r="M147">
        <f t="shared" si="51"/>
        <v>7877098.4741794989</v>
      </c>
      <c r="N147">
        <f>K147*Inputs!B6/12</f>
        <v>46969.314704362645</v>
      </c>
      <c r="O147">
        <f t="shared" si="52"/>
        <v>46969.314704362645</v>
      </c>
      <c r="P147">
        <f t="shared" si="53"/>
        <v>0</v>
      </c>
      <c r="Q147">
        <f>L147*Inputs!B6/12</f>
        <v>215625</v>
      </c>
      <c r="R147">
        <f t="shared" si="54"/>
        <v>215625</v>
      </c>
      <c r="S147">
        <f t="shared" si="55"/>
        <v>0</v>
      </c>
      <c r="T147">
        <f t="shared" si="56"/>
        <v>11713.361984352116</v>
      </c>
      <c r="U147">
        <f t="shared" si="57"/>
        <v>764421.99746512959</v>
      </c>
      <c r="V147">
        <f t="shared" si="58"/>
        <v>0</v>
      </c>
      <c r="W147">
        <f t="shared" si="59"/>
        <v>0</v>
      </c>
      <c r="X147">
        <f t="shared" si="60"/>
        <v>9037869.7669235952</v>
      </c>
      <c r="Y147">
        <f t="shared" si="61"/>
        <v>45000000</v>
      </c>
      <c r="Z147">
        <f t="shared" si="62"/>
        <v>7877098.4741794989</v>
      </c>
      <c r="AA147">
        <f t="shared" si="63"/>
        <v>0</v>
      </c>
      <c r="AB147">
        <f t="shared" si="64"/>
        <v>0</v>
      </c>
      <c r="AC147">
        <f t="shared" si="65"/>
        <v>0</v>
      </c>
    </row>
    <row r="148" spans="1:29" x14ac:dyDescent="0.2">
      <c r="A148">
        <v>147</v>
      </c>
      <c r="B148">
        <f>LoanPool!L148</f>
        <v>270877.98605482606</v>
      </c>
      <c r="C148">
        <f>LoanPool!M148</f>
        <v>757329.85472803295</v>
      </c>
      <c r="D148">
        <f>LoanPool!H148</f>
        <v>19262.612537840563</v>
      </c>
      <c r="E148">
        <f t="shared" si="66"/>
        <v>9037869.7669235952</v>
      </c>
      <c r="F148">
        <f t="shared" si="67"/>
        <v>45000000</v>
      </c>
      <c r="G148">
        <f t="shared" si="68"/>
        <v>7877098.4741794989</v>
      </c>
      <c r="H148">
        <f t="shared" si="46"/>
        <v>19262.612537840563</v>
      </c>
      <c r="I148">
        <f t="shared" si="47"/>
        <v>0</v>
      </c>
      <c r="J148">
        <f t="shared" si="48"/>
        <v>0</v>
      </c>
      <c r="K148">
        <f t="shared" si="49"/>
        <v>9037869.7669235952</v>
      </c>
      <c r="L148">
        <f t="shared" si="50"/>
        <v>45000000</v>
      </c>
      <c r="M148">
        <f t="shared" si="51"/>
        <v>7857835.8616416585</v>
      </c>
      <c r="N148">
        <f>K148*Inputs!B6/12</f>
        <v>43306.45929984223</v>
      </c>
      <c r="O148">
        <f t="shared" si="52"/>
        <v>43306.45929984223</v>
      </c>
      <c r="P148">
        <f t="shared" si="53"/>
        <v>0</v>
      </c>
      <c r="Q148">
        <f>L148*Inputs!B6/12</f>
        <v>215625</v>
      </c>
      <c r="R148">
        <f t="shared" si="54"/>
        <v>215625</v>
      </c>
      <c r="S148">
        <f t="shared" si="55"/>
        <v>0</v>
      </c>
      <c r="T148">
        <f t="shared" si="56"/>
        <v>11946.526754983817</v>
      </c>
      <c r="U148">
        <f t="shared" si="57"/>
        <v>757329.85472803295</v>
      </c>
      <c r="V148">
        <f t="shared" si="58"/>
        <v>0</v>
      </c>
      <c r="W148">
        <f t="shared" si="59"/>
        <v>0</v>
      </c>
      <c r="X148">
        <f t="shared" si="60"/>
        <v>8280539.9121955624</v>
      </c>
      <c r="Y148">
        <f t="shared" si="61"/>
        <v>45000000</v>
      </c>
      <c r="Z148">
        <f t="shared" si="62"/>
        <v>7857835.8616416585</v>
      </c>
      <c r="AA148">
        <f t="shared" si="63"/>
        <v>0</v>
      </c>
      <c r="AB148">
        <f t="shared" si="64"/>
        <v>0</v>
      </c>
      <c r="AC148">
        <f t="shared" si="65"/>
        <v>0</v>
      </c>
    </row>
    <row r="149" spans="1:29" x14ac:dyDescent="0.2">
      <c r="A149">
        <v>148</v>
      </c>
      <c r="B149">
        <f>LoanPool!L149</f>
        <v>267480.39401053789</v>
      </c>
      <c r="C149">
        <f>LoanPool!M149</f>
        <v>750298.57191370707</v>
      </c>
      <c r="D149">
        <f>LoanPool!H149</f>
        <v>19020.226479265184</v>
      </c>
      <c r="E149">
        <f t="shared" si="66"/>
        <v>8280539.9121955624</v>
      </c>
      <c r="F149">
        <f t="shared" si="67"/>
        <v>45000000</v>
      </c>
      <c r="G149">
        <f t="shared" si="68"/>
        <v>7857835.8616416585</v>
      </c>
      <c r="H149">
        <f t="shared" si="46"/>
        <v>19020.226479265184</v>
      </c>
      <c r="I149">
        <f t="shared" si="47"/>
        <v>0</v>
      </c>
      <c r="J149">
        <f t="shared" si="48"/>
        <v>0</v>
      </c>
      <c r="K149">
        <f t="shared" si="49"/>
        <v>8280539.9121955624</v>
      </c>
      <c r="L149">
        <f t="shared" si="50"/>
        <v>45000000</v>
      </c>
      <c r="M149">
        <f t="shared" si="51"/>
        <v>7838815.6351623936</v>
      </c>
      <c r="N149">
        <f>K149*Inputs!B6/12</f>
        <v>39677.587079270401</v>
      </c>
      <c r="O149">
        <f t="shared" si="52"/>
        <v>39677.587079270401</v>
      </c>
      <c r="P149">
        <f t="shared" si="53"/>
        <v>0</v>
      </c>
      <c r="Q149">
        <f>L149*Inputs!B6/12</f>
        <v>215625</v>
      </c>
      <c r="R149">
        <f t="shared" si="54"/>
        <v>215625</v>
      </c>
      <c r="S149">
        <f t="shared" si="55"/>
        <v>0</v>
      </c>
      <c r="T149">
        <f t="shared" si="56"/>
        <v>12177.806931267492</v>
      </c>
      <c r="U149">
        <f t="shared" si="57"/>
        <v>750298.57191370707</v>
      </c>
      <c r="V149">
        <f t="shared" si="58"/>
        <v>0</v>
      </c>
      <c r="W149">
        <f t="shared" si="59"/>
        <v>0</v>
      </c>
      <c r="X149">
        <f t="shared" si="60"/>
        <v>7530241.3402818553</v>
      </c>
      <c r="Y149">
        <f t="shared" si="61"/>
        <v>45000000</v>
      </c>
      <c r="Z149">
        <f t="shared" si="62"/>
        <v>7838815.6351623936</v>
      </c>
      <c r="AA149">
        <f t="shared" si="63"/>
        <v>0</v>
      </c>
      <c r="AB149">
        <f t="shared" si="64"/>
        <v>0</v>
      </c>
      <c r="AC149">
        <f t="shared" si="65"/>
        <v>0</v>
      </c>
    </row>
    <row r="150" spans="1:29" x14ac:dyDescent="0.2">
      <c r="A150">
        <v>149</v>
      </c>
      <c r="B150">
        <f>LoanPool!L150</f>
        <v>264114.62426756864</v>
      </c>
      <c r="C150">
        <f>LoanPool!M150</f>
        <v>743327.6416557004</v>
      </c>
      <c r="D150">
        <f>LoanPool!H150</f>
        <v>18780.112374299937</v>
      </c>
      <c r="E150">
        <f t="shared" si="66"/>
        <v>7530241.3402818553</v>
      </c>
      <c r="F150">
        <f t="shared" si="67"/>
        <v>45000000</v>
      </c>
      <c r="G150">
        <f t="shared" si="68"/>
        <v>7838815.6351623936</v>
      </c>
      <c r="H150">
        <f t="shared" si="46"/>
        <v>18780.112374299937</v>
      </c>
      <c r="I150">
        <f t="shared" si="47"/>
        <v>0</v>
      </c>
      <c r="J150">
        <f t="shared" si="48"/>
        <v>0</v>
      </c>
      <c r="K150">
        <f t="shared" si="49"/>
        <v>7530241.3402818553</v>
      </c>
      <c r="L150">
        <f t="shared" si="50"/>
        <v>45000000</v>
      </c>
      <c r="M150">
        <f t="shared" si="51"/>
        <v>7820035.5227880934</v>
      </c>
      <c r="N150">
        <f>K150*Inputs!B6/12</f>
        <v>36082.406422183893</v>
      </c>
      <c r="O150">
        <f t="shared" si="52"/>
        <v>36082.406422183893</v>
      </c>
      <c r="P150">
        <f t="shared" si="53"/>
        <v>0</v>
      </c>
      <c r="Q150">
        <f>L150*Inputs!B6/12</f>
        <v>215625</v>
      </c>
      <c r="R150">
        <f t="shared" si="54"/>
        <v>215625</v>
      </c>
      <c r="S150">
        <f t="shared" si="55"/>
        <v>0</v>
      </c>
      <c r="T150">
        <f t="shared" si="56"/>
        <v>12407.21784538473</v>
      </c>
      <c r="U150">
        <f t="shared" si="57"/>
        <v>743327.6416557004</v>
      </c>
      <c r="V150">
        <f t="shared" si="58"/>
        <v>0</v>
      </c>
      <c r="W150">
        <f t="shared" si="59"/>
        <v>0</v>
      </c>
      <c r="X150">
        <f t="shared" si="60"/>
        <v>6786913.698626155</v>
      </c>
      <c r="Y150">
        <f t="shared" si="61"/>
        <v>45000000</v>
      </c>
      <c r="Z150">
        <f t="shared" si="62"/>
        <v>7820035.5227880934</v>
      </c>
      <c r="AA150">
        <f t="shared" si="63"/>
        <v>0</v>
      </c>
      <c r="AB150">
        <f t="shared" si="64"/>
        <v>0</v>
      </c>
      <c r="AC150">
        <f t="shared" si="65"/>
        <v>0</v>
      </c>
    </row>
    <row r="151" spans="1:29" x14ac:dyDescent="0.2">
      <c r="A151">
        <v>150</v>
      </c>
      <c r="B151">
        <f>LoanPool!L151</f>
        <v>260780.40284368733</v>
      </c>
      <c r="C151">
        <f>LoanPool!M151</f>
        <v>736416.56076874654</v>
      </c>
      <c r="D151">
        <f>LoanPool!H151</f>
        <v>18542.250656803313</v>
      </c>
      <c r="E151">
        <f t="shared" si="66"/>
        <v>6786913.698626155</v>
      </c>
      <c r="F151">
        <f t="shared" si="67"/>
        <v>45000000</v>
      </c>
      <c r="G151">
        <f t="shared" si="68"/>
        <v>7820035.5227880934</v>
      </c>
      <c r="H151">
        <f t="shared" si="46"/>
        <v>18542.250656803313</v>
      </c>
      <c r="I151">
        <f t="shared" si="47"/>
        <v>0</v>
      </c>
      <c r="J151">
        <f t="shared" si="48"/>
        <v>0</v>
      </c>
      <c r="K151">
        <f t="shared" si="49"/>
        <v>6786913.698626155</v>
      </c>
      <c r="L151">
        <f t="shared" si="50"/>
        <v>45000000</v>
      </c>
      <c r="M151">
        <f t="shared" si="51"/>
        <v>7801493.2721312903</v>
      </c>
      <c r="N151">
        <f>K151*Inputs!B6/12</f>
        <v>32520.62813925033</v>
      </c>
      <c r="O151">
        <f t="shared" si="52"/>
        <v>32520.62813925033</v>
      </c>
      <c r="P151">
        <f t="shared" si="53"/>
        <v>0</v>
      </c>
      <c r="Q151">
        <f>L151*Inputs!B6/12</f>
        <v>215625</v>
      </c>
      <c r="R151">
        <f t="shared" si="54"/>
        <v>215625</v>
      </c>
      <c r="S151">
        <f t="shared" si="55"/>
        <v>0</v>
      </c>
      <c r="T151">
        <f t="shared" si="56"/>
        <v>12634.774704437004</v>
      </c>
      <c r="U151">
        <f t="shared" si="57"/>
        <v>736416.56076874654</v>
      </c>
      <c r="V151">
        <f t="shared" si="58"/>
        <v>0</v>
      </c>
      <c r="W151">
        <f t="shared" si="59"/>
        <v>0</v>
      </c>
      <c r="X151">
        <f t="shared" si="60"/>
        <v>6050497.1378574083</v>
      </c>
      <c r="Y151">
        <f t="shared" si="61"/>
        <v>45000000</v>
      </c>
      <c r="Z151">
        <f t="shared" si="62"/>
        <v>7801493.2721312903</v>
      </c>
      <c r="AA151">
        <f t="shared" si="63"/>
        <v>0</v>
      </c>
      <c r="AB151">
        <f t="shared" si="64"/>
        <v>0</v>
      </c>
      <c r="AC151">
        <f t="shared" si="65"/>
        <v>0</v>
      </c>
    </row>
    <row r="152" spans="1:29" x14ac:dyDescent="0.2">
      <c r="A152">
        <v>151</v>
      </c>
      <c r="B152">
        <f>LoanPool!L152</f>
        <v>257477.45804370061</v>
      </c>
      <c r="C152">
        <f>LoanPool!M152</f>
        <v>729564.8302144683</v>
      </c>
      <c r="D152">
        <f>LoanPool!H152</f>
        <v>18306.621923976887</v>
      </c>
      <c r="E152">
        <f t="shared" si="66"/>
        <v>6050497.1378574083</v>
      </c>
      <c r="F152">
        <f t="shared" si="67"/>
        <v>45000000</v>
      </c>
      <c r="G152">
        <f t="shared" si="68"/>
        <v>7801493.2721312903</v>
      </c>
      <c r="H152">
        <f t="shared" si="46"/>
        <v>18306.621923976887</v>
      </c>
      <c r="I152">
        <f t="shared" si="47"/>
        <v>0</v>
      </c>
      <c r="J152">
        <f t="shared" si="48"/>
        <v>0</v>
      </c>
      <c r="K152">
        <f t="shared" si="49"/>
        <v>6050497.1378574083</v>
      </c>
      <c r="L152">
        <f t="shared" si="50"/>
        <v>45000000</v>
      </c>
      <c r="M152">
        <f t="shared" si="51"/>
        <v>7783186.6502073137</v>
      </c>
      <c r="N152">
        <f>K152*Inputs!B6/12</f>
        <v>28991.965452233417</v>
      </c>
      <c r="O152">
        <f t="shared" si="52"/>
        <v>28991.965452233417</v>
      </c>
      <c r="P152">
        <f t="shared" si="53"/>
        <v>0</v>
      </c>
      <c r="Q152">
        <f>L152*Inputs!B6/12</f>
        <v>215625</v>
      </c>
      <c r="R152">
        <f t="shared" si="54"/>
        <v>215625</v>
      </c>
      <c r="S152">
        <f t="shared" si="55"/>
        <v>0</v>
      </c>
      <c r="T152">
        <f t="shared" si="56"/>
        <v>12860.492591467191</v>
      </c>
      <c r="U152">
        <f t="shared" si="57"/>
        <v>729564.8302144683</v>
      </c>
      <c r="V152">
        <f t="shared" si="58"/>
        <v>0</v>
      </c>
      <c r="W152">
        <f t="shared" si="59"/>
        <v>0</v>
      </c>
      <c r="X152">
        <f t="shared" si="60"/>
        <v>5320932.3076429404</v>
      </c>
      <c r="Y152">
        <f t="shared" si="61"/>
        <v>45000000</v>
      </c>
      <c r="Z152">
        <f t="shared" si="62"/>
        <v>7783186.6502073137</v>
      </c>
      <c r="AA152">
        <f t="shared" si="63"/>
        <v>0</v>
      </c>
      <c r="AB152">
        <f t="shared" si="64"/>
        <v>0</v>
      </c>
      <c r="AC152">
        <f t="shared" si="65"/>
        <v>0</v>
      </c>
    </row>
    <row r="153" spans="1:29" x14ac:dyDescent="0.2">
      <c r="A153">
        <v>152</v>
      </c>
      <c r="B153">
        <f>LoanPool!L153</f>
        <v>254205.52044059488</v>
      </c>
      <c r="C153">
        <f>LoanPool!M153</f>
        <v>722771.95506736485</v>
      </c>
      <c r="D153">
        <f>LoanPool!H153</f>
        <v>18073.206935018472</v>
      </c>
      <c r="E153">
        <f t="shared" si="66"/>
        <v>5320932.3076429404</v>
      </c>
      <c r="F153">
        <f t="shared" si="67"/>
        <v>45000000</v>
      </c>
      <c r="G153">
        <f t="shared" si="68"/>
        <v>7783186.6502073137</v>
      </c>
      <c r="H153">
        <f t="shared" si="46"/>
        <v>18073.206935018472</v>
      </c>
      <c r="I153">
        <f t="shared" si="47"/>
        <v>0</v>
      </c>
      <c r="J153">
        <f t="shared" si="48"/>
        <v>0</v>
      </c>
      <c r="K153">
        <f t="shared" si="49"/>
        <v>5320932.3076429404</v>
      </c>
      <c r="L153">
        <f t="shared" si="50"/>
        <v>45000000</v>
      </c>
      <c r="M153">
        <f t="shared" si="51"/>
        <v>7765113.4432722954</v>
      </c>
      <c r="N153">
        <f>K153*Inputs!B6/12</f>
        <v>25496.133974122422</v>
      </c>
      <c r="O153">
        <f t="shared" si="52"/>
        <v>25496.133974122422</v>
      </c>
      <c r="P153">
        <f t="shared" si="53"/>
        <v>0</v>
      </c>
      <c r="Q153">
        <f>L153*Inputs!B6/12</f>
        <v>215625</v>
      </c>
      <c r="R153">
        <f t="shared" si="54"/>
        <v>215625</v>
      </c>
      <c r="S153">
        <f t="shared" si="55"/>
        <v>0</v>
      </c>
      <c r="T153">
        <f t="shared" si="56"/>
        <v>13084.386466472468</v>
      </c>
      <c r="U153">
        <f t="shared" si="57"/>
        <v>722771.95506736485</v>
      </c>
      <c r="V153">
        <f t="shared" si="58"/>
        <v>0</v>
      </c>
      <c r="W153">
        <f t="shared" si="59"/>
        <v>0</v>
      </c>
      <c r="X153">
        <f t="shared" si="60"/>
        <v>4598160.3525755759</v>
      </c>
      <c r="Y153">
        <f t="shared" si="61"/>
        <v>45000000</v>
      </c>
      <c r="Z153">
        <f t="shared" si="62"/>
        <v>7765113.4432722954</v>
      </c>
      <c r="AA153">
        <f t="shared" si="63"/>
        <v>0</v>
      </c>
      <c r="AB153">
        <f t="shared" si="64"/>
        <v>0</v>
      </c>
      <c r="AC153">
        <f t="shared" si="65"/>
        <v>0</v>
      </c>
    </row>
    <row r="154" spans="1:29" x14ac:dyDescent="0.2">
      <c r="A154">
        <v>153</v>
      </c>
      <c r="B154">
        <f>LoanPool!L154</f>
        <v>250964.32285683442</v>
      </c>
      <c r="C154">
        <f>LoanPool!M154</f>
        <v>716037.44448107667</v>
      </c>
      <c r="D154">
        <f>LoanPool!H154</f>
        <v>17841.986609786287</v>
      </c>
      <c r="E154">
        <f t="shared" si="66"/>
        <v>4598160.3525755759</v>
      </c>
      <c r="F154">
        <f t="shared" si="67"/>
        <v>45000000</v>
      </c>
      <c r="G154">
        <f t="shared" si="68"/>
        <v>7765113.4432722954</v>
      </c>
      <c r="H154">
        <f t="shared" si="46"/>
        <v>17841.986609786287</v>
      </c>
      <c r="I154">
        <f t="shared" si="47"/>
        <v>0</v>
      </c>
      <c r="J154">
        <f t="shared" si="48"/>
        <v>0</v>
      </c>
      <c r="K154">
        <f t="shared" si="49"/>
        <v>4598160.3525755759</v>
      </c>
      <c r="L154">
        <f t="shared" si="50"/>
        <v>45000000</v>
      </c>
      <c r="M154">
        <f t="shared" si="51"/>
        <v>7747271.4566625087</v>
      </c>
      <c r="N154">
        <f>K154*Inputs!B6/12</f>
        <v>22032.851689424639</v>
      </c>
      <c r="O154">
        <f t="shared" si="52"/>
        <v>22032.851689424639</v>
      </c>
      <c r="P154">
        <f t="shared" si="53"/>
        <v>0</v>
      </c>
      <c r="Q154">
        <f>L154*Inputs!B6/12</f>
        <v>215625</v>
      </c>
      <c r="R154">
        <f t="shared" si="54"/>
        <v>215625</v>
      </c>
      <c r="S154">
        <f t="shared" si="55"/>
        <v>0</v>
      </c>
      <c r="T154">
        <f t="shared" si="56"/>
        <v>13306.471167409793</v>
      </c>
      <c r="U154">
        <f t="shared" si="57"/>
        <v>716037.44448107667</v>
      </c>
      <c r="V154">
        <f t="shared" si="58"/>
        <v>0</v>
      </c>
      <c r="W154">
        <f t="shared" si="59"/>
        <v>0</v>
      </c>
      <c r="X154">
        <f t="shared" si="60"/>
        <v>3882122.9080944993</v>
      </c>
      <c r="Y154">
        <f t="shared" si="61"/>
        <v>45000000</v>
      </c>
      <c r="Z154">
        <f t="shared" si="62"/>
        <v>7747271.4566625087</v>
      </c>
      <c r="AA154">
        <f t="shared" si="63"/>
        <v>0</v>
      </c>
      <c r="AB154">
        <f t="shared" si="64"/>
        <v>0</v>
      </c>
      <c r="AC154">
        <f t="shared" si="65"/>
        <v>0</v>
      </c>
    </row>
    <row r="155" spans="1:29" x14ac:dyDescent="0.2">
      <c r="A155">
        <v>154</v>
      </c>
      <c r="B155">
        <f>LoanPool!L155</f>
        <v>247753.60034581192</v>
      </c>
      <c r="C155">
        <f>LoanPool!M155</f>
        <v>709360.81165492709</v>
      </c>
      <c r="D155">
        <f>LoanPool!H155</f>
        <v>17612.942027474106</v>
      </c>
      <c r="E155">
        <f t="shared" si="66"/>
        <v>3882122.9080944993</v>
      </c>
      <c r="F155">
        <f t="shared" si="67"/>
        <v>45000000</v>
      </c>
      <c r="G155">
        <f t="shared" si="68"/>
        <v>7747271.4566625087</v>
      </c>
      <c r="H155">
        <f t="shared" si="46"/>
        <v>17612.942027474106</v>
      </c>
      <c r="I155">
        <f t="shared" si="47"/>
        <v>0</v>
      </c>
      <c r="J155">
        <f t="shared" si="48"/>
        <v>0</v>
      </c>
      <c r="K155">
        <f t="shared" si="49"/>
        <v>3882122.9080944993</v>
      </c>
      <c r="L155">
        <f t="shared" si="50"/>
        <v>45000000</v>
      </c>
      <c r="M155">
        <f t="shared" si="51"/>
        <v>7729658.5146350348</v>
      </c>
      <c r="N155">
        <f>K155*Inputs!B6/12</f>
        <v>18601.838934619478</v>
      </c>
      <c r="O155">
        <f t="shared" si="52"/>
        <v>18601.838934619478</v>
      </c>
      <c r="P155">
        <f t="shared" si="53"/>
        <v>0</v>
      </c>
      <c r="Q155">
        <f>L155*Inputs!B6/12</f>
        <v>215625</v>
      </c>
      <c r="R155">
        <f t="shared" si="54"/>
        <v>215625</v>
      </c>
      <c r="S155">
        <f t="shared" si="55"/>
        <v>0</v>
      </c>
      <c r="T155">
        <f t="shared" si="56"/>
        <v>13526.761411192449</v>
      </c>
      <c r="U155">
        <f t="shared" si="57"/>
        <v>709360.81165492709</v>
      </c>
      <c r="V155">
        <f t="shared" si="58"/>
        <v>0</v>
      </c>
      <c r="W155">
        <f t="shared" si="59"/>
        <v>0</v>
      </c>
      <c r="X155">
        <f t="shared" si="60"/>
        <v>3172762.0964395721</v>
      </c>
      <c r="Y155">
        <f t="shared" si="61"/>
        <v>45000000</v>
      </c>
      <c r="Z155">
        <f t="shared" si="62"/>
        <v>7729658.5146350348</v>
      </c>
      <c r="AA155">
        <f t="shared" si="63"/>
        <v>0</v>
      </c>
      <c r="AB155">
        <f t="shared" si="64"/>
        <v>0</v>
      </c>
      <c r="AC155">
        <f t="shared" si="65"/>
        <v>0</v>
      </c>
    </row>
    <row r="156" spans="1:29" x14ac:dyDescent="0.2">
      <c r="A156">
        <v>155</v>
      </c>
      <c r="B156">
        <f>LoanPool!L156</f>
        <v>244573.09017345143</v>
      </c>
      <c r="C156">
        <f>LoanPool!M156</f>
        <v>702741.57380073739</v>
      </c>
      <c r="D156">
        <f>LoanPool!H156</f>
        <v>17386.054425297272</v>
      </c>
      <c r="E156">
        <f t="shared" si="66"/>
        <v>3172762.0964395721</v>
      </c>
      <c r="F156">
        <f t="shared" si="67"/>
        <v>45000000</v>
      </c>
      <c r="G156">
        <f t="shared" si="68"/>
        <v>7729658.5146350348</v>
      </c>
      <c r="H156">
        <f t="shared" si="46"/>
        <v>17386.054425297272</v>
      </c>
      <c r="I156">
        <f t="shared" si="47"/>
        <v>0</v>
      </c>
      <c r="J156">
        <f t="shared" si="48"/>
        <v>0</v>
      </c>
      <c r="K156">
        <f t="shared" si="49"/>
        <v>3172762.0964395721</v>
      </c>
      <c r="L156">
        <f t="shared" si="50"/>
        <v>45000000</v>
      </c>
      <c r="M156">
        <f t="shared" si="51"/>
        <v>7712272.4602097375</v>
      </c>
      <c r="N156">
        <f>K156*Inputs!B6/12</f>
        <v>15202.81837877295</v>
      </c>
      <c r="O156">
        <f t="shared" si="52"/>
        <v>15202.81837877295</v>
      </c>
      <c r="P156">
        <f t="shared" si="53"/>
        <v>0</v>
      </c>
      <c r="Q156">
        <f>L156*Inputs!B6/12</f>
        <v>215625</v>
      </c>
      <c r="R156">
        <f t="shared" si="54"/>
        <v>215625</v>
      </c>
      <c r="S156">
        <f t="shared" si="55"/>
        <v>0</v>
      </c>
      <c r="T156">
        <f t="shared" si="56"/>
        <v>13745.271794678469</v>
      </c>
      <c r="U156">
        <f t="shared" si="57"/>
        <v>702741.57380073739</v>
      </c>
      <c r="V156">
        <f t="shared" si="58"/>
        <v>0</v>
      </c>
      <c r="W156">
        <f t="shared" si="59"/>
        <v>0</v>
      </c>
      <c r="X156">
        <f t="shared" si="60"/>
        <v>2470020.5226388345</v>
      </c>
      <c r="Y156">
        <f t="shared" si="61"/>
        <v>45000000</v>
      </c>
      <c r="Z156">
        <f t="shared" si="62"/>
        <v>7712272.4602097375</v>
      </c>
      <c r="AA156">
        <f t="shared" si="63"/>
        <v>0</v>
      </c>
      <c r="AB156">
        <f t="shared" si="64"/>
        <v>0</v>
      </c>
      <c r="AC156">
        <f t="shared" si="65"/>
        <v>0</v>
      </c>
    </row>
    <row r="157" spans="1:29" x14ac:dyDescent="0.2">
      <c r="A157">
        <v>156</v>
      </c>
      <c r="B157">
        <f>LoanPool!L157</f>
        <v>241422.53179996248</v>
      </c>
      <c r="C157">
        <f>LoanPool!M157</f>
        <v>696179.25210991316</v>
      </c>
      <c r="D157">
        <f>LoanPool!H157</f>
        <v>17161.305197189478</v>
      </c>
      <c r="E157">
        <f t="shared" si="66"/>
        <v>2470020.5226388345</v>
      </c>
      <c r="F157">
        <f t="shared" si="67"/>
        <v>45000000</v>
      </c>
      <c r="G157">
        <f t="shared" si="68"/>
        <v>7712272.4602097375</v>
      </c>
      <c r="H157">
        <f t="shared" si="46"/>
        <v>17161.305197189478</v>
      </c>
      <c r="I157">
        <f t="shared" si="47"/>
        <v>0</v>
      </c>
      <c r="J157">
        <f t="shared" si="48"/>
        <v>0</v>
      </c>
      <c r="K157">
        <f t="shared" si="49"/>
        <v>2470020.5226388345</v>
      </c>
      <c r="L157">
        <f t="shared" si="50"/>
        <v>45000000</v>
      </c>
      <c r="M157">
        <f t="shared" si="51"/>
        <v>7695111.155012548</v>
      </c>
      <c r="N157">
        <f>K157*Inputs!B6/12</f>
        <v>11835.515004311083</v>
      </c>
      <c r="O157">
        <f t="shared" si="52"/>
        <v>11835.515004311083</v>
      </c>
      <c r="P157">
        <f t="shared" si="53"/>
        <v>0</v>
      </c>
      <c r="Q157">
        <f>L157*Inputs!B6/12</f>
        <v>215625</v>
      </c>
      <c r="R157">
        <f t="shared" si="54"/>
        <v>215625</v>
      </c>
      <c r="S157">
        <f t="shared" si="55"/>
        <v>0</v>
      </c>
      <c r="T157">
        <f t="shared" si="56"/>
        <v>13962.016795651405</v>
      </c>
      <c r="U157">
        <f t="shared" si="57"/>
        <v>696179.25210991316</v>
      </c>
      <c r="V157">
        <f t="shared" si="58"/>
        <v>0</v>
      </c>
      <c r="W157">
        <f t="shared" si="59"/>
        <v>0</v>
      </c>
      <c r="X157">
        <f t="shared" si="60"/>
        <v>1773841.2705289214</v>
      </c>
      <c r="Y157">
        <f t="shared" si="61"/>
        <v>45000000</v>
      </c>
      <c r="Z157">
        <f t="shared" si="62"/>
        <v>7695111.155012548</v>
      </c>
      <c r="AA157">
        <f t="shared" si="63"/>
        <v>0</v>
      </c>
      <c r="AB157">
        <f t="shared" si="64"/>
        <v>0</v>
      </c>
      <c r="AC157">
        <f t="shared" si="65"/>
        <v>0</v>
      </c>
    </row>
    <row r="158" spans="1:29" x14ac:dyDescent="0.2">
      <c r="A158">
        <v>157</v>
      </c>
      <c r="B158">
        <f>LoanPool!L158</f>
        <v>238301.66686174393</v>
      </c>
      <c r="C158">
        <f>LoanPool!M158</f>
        <v>689673.37172080134</v>
      </c>
      <c r="D158">
        <f>LoanPool!H158</f>
        <v>16938.675892510277</v>
      </c>
      <c r="E158">
        <f t="shared" si="66"/>
        <v>1773841.2705289214</v>
      </c>
      <c r="F158">
        <f t="shared" si="67"/>
        <v>45000000</v>
      </c>
      <c r="G158">
        <f t="shared" si="68"/>
        <v>7695111.155012548</v>
      </c>
      <c r="H158">
        <f t="shared" si="46"/>
        <v>16938.675892510277</v>
      </c>
      <c r="I158">
        <f t="shared" si="47"/>
        <v>0</v>
      </c>
      <c r="J158">
        <f t="shared" si="48"/>
        <v>0</v>
      </c>
      <c r="K158">
        <f t="shared" si="49"/>
        <v>1773841.2705289214</v>
      </c>
      <c r="L158">
        <f t="shared" si="50"/>
        <v>45000000</v>
      </c>
      <c r="M158">
        <f t="shared" si="51"/>
        <v>7678172.4791200375</v>
      </c>
      <c r="N158">
        <f>K158*Inputs!B6/12</f>
        <v>8499.6560879510816</v>
      </c>
      <c r="O158">
        <f t="shared" si="52"/>
        <v>8499.6560879510816</v>
      </c>
      <c r="P158">
        <f t="shared" si="53"/>
        <v>0</v>
      </c>
      <c r="Q158">
        <f>L158*Inputs!B6/12</f>
        <v>215625</v>
      </c>
      <c r="R158">
        <f t="shared" si="54"/>
        <v>215625</v>
      </c>
      <c r="S158">
        <f t="shared" si="55"/>
        <v>0</v>
      </c>
      <c r="T158">
        <f t="shared" si="56"/>
        <v>14177.010773792834</v>
      </c>
      <c r="U158">
        <f t="shared" si="57"/>
        <v>689673.37172080134</v>
      </c>
      <c r="V158">
        <f t="shared" si="58"/>
        <v>0</v>
      </c>
      <c r="W158">
        <f t="shared" si="59"/>
        <v>0</v>
      </c>
      <c r="X158">
        <f t="shared" si="60"/>
        <v>1084167.8988081201</v>
      </c>
      <c r="Y158">
        <f t="shared" si="61"/>
        <v>45000000</v>
      </c>
      <c r="Z158">
        <f t="shared" si="62"/>
        <v>7678172.4791200375</v>
      </c>
      <c r="AA158">
        <f t="shared" si="63"/>
        <v>0</v>
      </c>
      <c r="AB158">
        <f t="shared" si="64"/>
        <v>0</v>
      </c>
      <c r="AC158">
        <f t="shared" si="65"/>
        <v>0</v>
      </c>
    </row>
    <row r="159" spans="1:29" x14ac:dyDescent="0.2">
      <c r="A159">
        <v>158</v>
      </c>
      <c r="B159">
        <f>LoanPool!L159</f>
        <v>235210.23915343569</v>
      </c>
      <c r="C159">
        <f>LoanPool!M159</f>
        <v>683223.46168631245</v>
      </c>
      <c r="D159">
        <f>LoanPool!H159</f>
        <v>16718.148214763129</v>
      </c>
      <c r="E159">
        <f t="shared" si="66"/>
        <v>1084167.8988081201</v>
      </c>
      <c r="F159">
        <f t="shared" si="67"/>
        <v>45000000</v>
      </c>
      <c r="G159">
        <f t="shared" si="68"/>
        <v>7678172.4791200375</v>
      </c>
      <c r="H159">
        <f t="shared" si="46"/>
        <v>16718.148214763129</v>
      </c>
      <c r="I159">
        <f t="shared" si="47"/>
        <v>0</v>
      </c>
      <c r="J159">
        <f t="shared" si="48"/>
        <v>0</v>
      </c>
      <c r="K159">
        <f t="shared" si="49"/>
        <v>1084167.8988081201</v>
      </c>
      <c r="L159">
        <f t="shared" si="50"/>
        <v>45000000</v>
      </c>
      <c r="M159">
        <f t="shared" si="51"/>
        <v>7661454.3309052745</v>
      </c>
      <c r="N159">
        <f>K159*Inputs!B6/12</f>
        <v>5194.9711817889083</v>
      </c>
      <c r="O159">
        <f t="shared" si="52"/>
        <v>5194.9711817889083</v>
      </c>
      <c r="P159">
        <f t="shared" si="53"/>
        <v>0</v>
      </c>
      <c r="Q159">
        <f>L159*Inputs!B6/12</f>
        <v>215625</v>
      </c>
      <c r="R159">
        <f t="shared" si="54"/>
        <v>215625</v>
      </c>
      <c r="S159">
        <f t="shared" si="55"/>
        <v>0</v>
      </c>
      <c r="T159">
        <f t="shared" si="56"/>
        <v>14390.267971646768</v>
      </c>
      <c r="U159">
        <f t="shared" si="57"/>
        <v>683223.46168631245</v>
      </c>
      <c r="V159">
        <f t="shared" si="58"/>
        <v>0</v>
      </c>
      <c r="W159">
        <f t="shared" si="59"/>
        <v>0</v>
      </c>
      <c r="X159">
        <f t="shared" si="60"/>
        <v>400944.4371218076</v>
      </c>
      <c r="Y159">
        <f t="shared" si="61"/>
        <v>45000000</v>
      </c>
      <c r="Z159">
        <f t="shared" si="62"/>
        <v>7661454.3309052745</v>
      </c>
      <c r="AA159">
        <f t="shared" si="63"/>
        <v>0</v>
      </c>
      <c r="AB159">
        <f t="shared" si="64"/>
        <v>0</v>
      </c>
      <c r="AC159">
        <f t="shared" si="65"/>
        <v>0</v>
      </c>
    </row>
    <row r="160" spans="1:29" x14ac:dyDescent="0.2">
      <c r="A160">
        <v>159</v>
      </c>
      <c r="B160">
        <f>LoanPool!L160</f>
        <v>232147.99461011848</v>
      </c>
      <c r="C160">
        <f>LoanPool!M160</f>
        <v>676829.05494181009</v>
      </c>
      <c r="D160">
        <f>LoanPool!H160</f>
        <v>16499.70402032405</v>
      </c>
      <c r="E160">
        <f t="shared" si="66"/>
        <v>400944.4371218076</v>
      </c>
      <c r="F160">
        <f t="shared" si="67"/>
        <v>45000000</v>
      </c>
      <c r="G160">
        <f t="shared" si="68"/>
        <v>7661454.3309052745</v>
      </c>
      <c r="H160">
        <f t="shared" si="46"/>
        <v>16499.70402032405</v>
      </c>
      <c r="I160">
        <f t="shared" si="47"/>
        <v>0</v>
      </c>
      <c r="J160">
        <f t="shared" si="48"/>
        <v>0</v>
      </c>
      <c r="K160">
        <f t="shared" si="49"/>
        <v>400944.4371218076</v>
      </c>
      <c r="L160">
        <f t="shared" si="50"/>
        <v>45000000</v>
      </c>
      <c r="M160">
        <f t="shared" si="51"/>
        <v>7644954.6268849503</v>
      </c>
      <c r="N160">
        <f>K160*Inputs!B6/12</f>
        <v>1921.1920945419949</v>
      </c>
      <c r="O160">
        <f t="shared" si="52"/>
        <v>1921.1920945419949</v>
      </c>
      <c r="P160">
        <f t="shared" si="53"/>
        <v>0</v>
      </c>
      <c r="Q160">
        <f>L160*Inputs!B6/12</f>
        <v>215625</v>
      </c>
      <c r="R160">
        <f t="shared" si="54"/>
        <v>215625</v>
      </c>
      <c r="S160">
        <f t="shared" si="55"/>
        <v>0</v>
      </c>
      <c r="T160">
        <f t="shared" si="56"/>
        <v>14601.802515576477</v>
      </c>
      <c r="U160">
        <f t="shared" si="57"/>
        <v>400944.4371218076</v>
      </c>
      <c r="V160">
        <f t="shared" si="58"/>
        <v>275884.61782000249</v>
      </c>
      <c r="W160">
        <f t="shared" si="59"/>
        <v>0</v>
      </c>
      <c r="X160">
        <f t="shared" si="60"/>
        <v>0</v>
      </c>
      <c r="Y160">
        <f t="shared" si="61"/>
        <v>44724115.382179998</v>
      </c>
      <c r="Z160">
        <f t="shared" si="62"/>
        <v>7644954.6268849503</v>
      </c>
      <c r="AA160">
        <f t="shared" si="63"/>
        <v>0</v>
      </c>
      <c r="AB160">
        <f t="shared" si="64"/>
        <v>0</v>
      </c>
      <c r="AC160">
        <f t="shared" si="65"/>
        <v>0</v>
      </c>
    </row>
    <row r="161" spans="1:29" x14ac:dyDescent="0.2">
      <c r="A161">
        <v>160</v>
      </c>
      <c r="B161">
        <f>LoanPool!L161</f>
        <v>229114.68128965911</v>
      </c>
      <c r="C161">
        <f>LoanPool!M161</f>
        <v>670489.68827326235</v>
      </c>
      <c r="D161">
        <f>LoanPool!H161</f>
        <v>16283.325317180632</v>
      </c>
      <c r="E161">
        <f t="shared" si="66"/>
        <v>0</v>
      </c>
      <c r="F161">
        <f t="shared" si="67"/>
        <v>44724115.382179998</v>
      </c>
      <c r="G161">
        <f t="shared" si="68"/>
        <v>7644954.6268849503</v>
      </c>
      <c r="H161">
        <f t="shared" si="46"/>
        <v>16283.325317180632</v>
      </c>
      <c r="I161">
        <f t="shared" si="47"/>
        <v>0</v>
      </c>
      <c r="J161">
        <f t="shared" si="48"/>
        <v>0</v>
      </c>
      <c r="K161">
        <f t="shared" si="49"/>
        <v>0</v>
      </c>
      <c r="L161">
        <f t="shared" si="50"/>
        <v>44724115.382179998</v>
      </c>
      <c r="M161">
        <f t="shared" si="51"/>
        <v>7628671.3015677696</v>
      </c>
      <c r="N161">
        <f>K161*Inputs!B6/12</f>
        <v>0</v>
      </c>
      <c r="O161">
        <f t="shared" si="52"/>
        <v>0</v>
      </c>
      <c r="P161">
        <f t="shared" si="53"/>
        <v>0</v>
      </c>
      <c r="Q161">
        <f>L161*Inputs!B6/12</f>
        <v>214303.05287294582</v>
      </c>
      <c r="R161">
        <f t="shared" si="54"/>
        <v>214303.05287294582</v>
      </c>
      <c r="S161">
        <f t="shared" si="55"/>
        <v>0</v>
      </c>
      <c r="T161">
        <f t="shared" si="56"/>
        <v>14811.628416713298</v>
      </c>
      <c r="U161">
        <f t="shared" si="57"/>
        <v>0</v>
      </c>
      <c r="V161">
        <f t="shared" si="58"/>
        <v>670489.68827326235</v>
      </c>
      <c r="W161">
        <f t="shared" si="59"/>
        <v>0</v>
      </c>
      <c r="X161">
        <f t="shared" si="60"/>
        <v>0</v>
      </c>
      <c r="Y161">
        <f t="shared" si="61"/>
        <v>44053625.693906732</v>
      </c>
      <c r="Z161">
        <f t="shared" si="62"/>
        <v>7628671.3015677696</v>
      </c>
      <c r="AA161">
        <f t="shared" si="63"/>
        <v>0</v>
      </c>
      <c r="AB161">
        <f t="shared" si="64"/>
        <v>0</v>
      </c>
      <c r="AC161">
        <f t="shared" si="65"/>
        <v>0</v>
      </c>
    </row>
    <row r="162" spans="1:29" x14ac:dyDescent="0.2">
      <c r="A162">
        <v>161</v>
      </c>
      <c r="B162">
        <f>LoanPool!L162</f>
        <v>226110.04935520096</v>
      </c>
      <c r="C162">
        <f>LoanPool!M162</f>
        <v>664204.90228565282</v>
      </c>
      <c r="D162">
        <f>LoanPool!H162</f>
        <v>16068.994263681428</v>
      </c>
      <c r="E162">
        <f t="shared" si="66"/>
        <v>0</v>
      </c>
      <c r="F162">
        <f t="shared" si="67"/>
        <v>44053625.693906732</v>
      </c>
      <c r="G162">
        <f t="shared" si="68"/>
        <v>7628671.3015677696</v>
      </c>
      <c r="H162">
        <f t="shared" si="46"/>
        <v>16068.994263681428</v>
      </c>
      <c r="I162">
        <f t="shared" si="47"/>
        <v>0</v>
      </c>
      <c r="J162">
        <f t="shared" si="48"/>
        <v>0</v>
      </c>
      <c r="K162">
        <f t="shared" si="49"/>
        <v>0</v>
      </c>
      <c r="L162">
        <f t="shared" si="50"/>
        <v>44053625.693906732</v>
      </c>
      <c r="M162">
        <f t="shared" si="51"/>
        <v>7612602.307304088</v>
      </c>
      <c r="N162">
        <f>K162*Inputs!B6/12</f>
        <v>0</v>
      </c>
      <c r="O162">
        <f t="shared" si="52"/>
        <v>0</v>
      </c>
      <c r="P162">
        <f t="shared" si="53"/>
        <v>0</v>
      </c>
      <c r="Q162">
        <f>L162*Inputs!B6/12</f>
        <v>211090.28978330307</v>
      </c>
      <c r="R162">
        <f t="shared" si="54"/>
        <v>211090.28978330307</v>
      </c>
      <c r="S162">
        <f t="shared" si="55"/>
        <v>0</v>
      </c>
      <c r="T162">
        <f t="shared" si="56"/>
        <v>15019.759571897885</v>
      </c>
      <c r="U162">
        <f t="shared" si="57"/>
        <v>0</v>
      </c>
      <c r="V162">
        <f t="shared" si="58"/>
        <v>664204.90228565282</v>
      </c>
      <c r="W162">
        <f t="shared" si="59"/>
        <v>0</v>
      </c>
      <c r="X162">
        <f t="shared" si="60"/>
        <v>0</v>
      </c>
      <c r="Y162">
        <f t="shared" si="61"/>
        <v>43389420.791621082</v>
      </c>
      <c r="Z162">
        <f t="shared" si="62"/>
        <v>7612602.307304088</v>
      </c>
      <c r="AA162">
        <f t="shared" si="63"/>
        <v>0</v>
      </c>
      <c r="AB162">
        <f t="shared" si="64"/>
        <v>0</v>
      </c>
      <c r="AC162">
        <f t="shared" si="65"/>
        <v>0</v>
      </c>
    </row>
    <row r="163" spans="1:29" x14ac:dyDescent="0.2">
      <c r="A163">
        <v>162</v>
      </c>
      <c r="B163">
        <f>LoanPool!L163</f>
        <v>223133.85105779761</v>
      </c>
      <c r="C163">
        <f>LoanPool!M163</f>
        <v>657974.24137165234</v>
      </c>
      <c r="D163">
        <f>LoanPool!H163</f>
        <v>15856.693167295593</v>
      </c>
      <c r="E163">
        <f t="shared" si="66"/>
        <v>0</v>
      </c>
      <c r="F163">
        <f t="shared" si="67"/>
        <v>43389420.791621082</v>
      </c>
      <c r="G163">
        <f t="shared" si="68"/>
        <v>7612602.307304088</v>
      </c>
      <c r="H163">
        <f t="shared" si="46"/>
        <v>15856.693167295593</v>
      </c>
      <c r="I163">
        <f t="shared" si="47"/>
        <v>0</v>
      </c>
      <c r="J163">
        <f t="shared" si="48"/>
        <v>0</v>
      </c>
      <c r="K163">
        <f t="shared" si="49"/>
        <v>0</v>
      </c>
      <c r="L163">
        <f t="shared" si="50"/>
        <v>43389420.791621082</v>
      </c>
      <c r="M163">
        <f t="shared" si="51"/>
        <v>7596745.6141367927</v>
      </c>
      <c r="N163">
        <f>K163*Inputs!B6/12</f>
        <v>0</v>
      </c>
      <c r="O163">
        <f t="shared" si="52"/>
        <v>0</v>
      </c>
      <c r="P163">
        <f t="shared" si="53"/>
        <v>0</v>
      </c>
      <c r="Q163">
        <f>L163*Inputs!B6/12</f>
        <v>207907.64129318437</v>
      </c>
      <c r="R163">
        <f t="shared" si="54"/>
        <v>207907.64129318437</v>
      </c>
      <c r="S163">
        <f t="shared" si="55"/>
        <v>0</v>
      </c>
      <c r="T163">
        <f t="shared" si="56"/>
        <v>15226.209764613246</v>
      </c>
      <c r="U163">
        <f t="shared" si="57"/>
        <v>0</v>
      </c>
      <c r="V163">
        <f t="shared" si="58"/>
        <v>657974.24137165234</v>
      </c>
      <c r="W163">
        <f t="shared" si="59"/>
        <v>0</v>
      </c>
      <c r="X163">
        <f t="shared" si="60"/>
        <v>0</v>
      </c>
      <c r="Y163">
        <f t="shared" si="61"/>
        <v>42731446.550249428</v>
      </c>
      <c r="Z163">
        <f t="shared" si="62"/>
        <v>7596745.6141367927</v>
      </c>
      <c r="AA163">
        <f t="shared" si="63"/>
        <v>0</v>
      </c>
      <c r="AB163">
        <f t="shared" si="64"/>
        <v>0</v>
      </c>
      <c r="AC163">
        <f t="shared" si="65"/>
        <v>0</v>
      </c>
    </row>
    <row r="164" spans="1:29" x14ac:dyDescent="0.2">
      <c r="A164">
        <v>163</v>
      </c>
      <c r="B164">
        <f>LoanPool!L164</f>
        <v>220185.84071918976</v>
      </c>
      <c r="C164">
        <f>LoanPool!M164</f>
        <v>651797.25368054584</v>
      </c>
      <c r="D164">
        <f>LoanPool!H164</f>
        <v>15646.404483382727</v>
      </c>
      <c r="E164">
        <f t="shared" si="66"/>
        <v>0</v>
      </c>
      <c r="F164">
        <f t="shared" si="67"/>
        <v>42731446.550249428</v>
      </c>
      <c r="G164">
        <f t="shared" si="68"/>
        <v>7596745.6141367927</v>
      </c>
      <c r="H164">
        <f t="shared" si="46"/>
        <v>15646.404483382727</v>
      </c>
      <c r="I164">
        <f t="shared" si="47"/>
        <v>0</v>
      </c>
      <c r="J164">
        <f t="shared" si="48"/>
        <v>0</v>
      </c>
      <c r="K164">
        <f t="shared" si="49"/>
        <v>0</v>
      </c>
      <c r="L164">
        <f t="shared" si="50"/>
        <v>42731446.550249428</v>
      </c>
      <c r="M164">
        <f t="shared" si="51"/>
        <v>7581099.2096534101</v>
      </c>
      <c r="N164">
        <f>K164*Inputs!B6/12</f>
        <v>0</v>
      </c>
      <c r="O164">
        <f t="shared" si="52"/>
        <v>0</v>
      </c>
      <c r="P164">
        <f t="shared" si="53"/>
        <v>0</v>
      </c>
      <c r="Q164">
        <f>L164*Inputs!B6/12</f>
        <v>204754.84805327852</v>
      </c>
      <c r="R164">
        <f t="shared" si="54"/>
        <v>204754.84805327852</v>
      </c>
      <c r="S164">
        <f t="shared" si="55"/>
        <v>0</v>
      </c>
      <c r="T164">
        <f t="shared" si="56"/>
        <v>15430.992665911239</v>
      </c>
      <c r="U164">
        <f t="shared" si="57"/>
        <v>0</v>
      </c>
      <c r="V164">
        <f t="shared" si="58"/>
        <v>651797.25368054584</v>
      </c>
      <c r="W164">
        <f t="shared" si="59"/>
        <v>0</v>
      </c>
      <c r="X164">
        <f t="shared" si="60"/>
        <v>0</v>
      </c>
      <c r="Y164">
        <f t="shared" si="61"/>
        <v>42079649.296568885</v>
      </c>
      <c r="Z164">
        <f t="shared" si="62"/>
        <v>7581099.2096534101</v>
      </c>
      <c r="AA164">
        <f t="shared" si="63"/>
        <v>0</v>
      </c>
      <c r="AB164">
        <f t="shared" si="64"/>
        <v>0</v>
      </c>
      <c r="AC164">
        <f t="shared" si="65"/>
        <v>0</v>
      </c>
    </row>
    <row r="165" spans="1:29" x14ac:dyDescent="0.2">
      <c r="A165">
        <v>164</v>
      </c>
      <c r="B165">
        <f>LoanPool!L165</f>
        <v>217265.77471472253</v>
      </c>
      <c r="C165">
        <f>LoanPool!M165</f>
        <v>645673.49108741386</v>
      </c>
      <c r="D165">
        <f>LoanPool!H165</f>
        <v>15438.110813972766</v>
      </c>
      <c r="E165">
        <f t="shared" si="66"/>
        <v>0</v>
      </c>
      <c r="F165">
        <f t="shared" si="67"/>
        <v>42079649.296568885</v>
      </c>
      <c r="G165">
        <f t="shared" si="68"/>
        <v>7581099.2096534101</v>
      </c>
      <c r="H165">
        <f t="shared" si="46"/>
        <v>15438.110813972766</v>
      </c>
      <c r="I165">
        <f t="shared" si="47"/>
        <v>0</v>
      </c>
      <c r="J165">
        <f t="shared" si="48"/>
        <v>0</v>
      </c>
      <c r="K165">
        <f t="shared" si="49"/>
        <v>0</v>
      </c>
      <c r="L165">
        <f t="shared" si="50"/>
        <v>42079649.296568885</v>
      </c>
      <c r="M165">
        <f t="shared" si="51"/>
        <v>7565661.0988394376</v>
      </c>
      <c r="N165">
        <f>K165*Inputs!B6/12</f>
        <v>0</v>
      </c>
      <c r="O165">
        <f t="shared" si="52"/>
        <v>0</v>
      </c>
      <c r="P165">
        <f t="shared" si="53"/>
        <v>0</v>
      </c>
      <c r="Q165">
        <f>L165*Inputs!B6/12</f>
        <v>201631.65287939258</v>
      </c>
      <c r="R165">
        <f t="shared" si="54"/>
        <v>201631.65287939258</v>
      </c>
      <c r="S165">
        <f t="shared" si="55"/>
        <v>0</v>
      </c>
      <c r="T165">
        <f t="shared" si="56"/>
        <v>15634.121835329948</v>
      </c>
      <c r="U165">
        <f t="shared" si="57"/>
        <v>0</v>
      </c>
      <c r="V165">
        <f t="shared" si="58"/>
        <v>645673.49108741386</v>
      </c>
      <c r="W165">
        <f t="shared" si="59"/>
        <v>0</v>
      </c>
      <c r="X165">
        <f t="shared" si="60"/>
        <v>0</v>
      </c>
      <c r="Y165">
        <f t="shared" si="61"/>
        <v>41433975.805481471</v>
      </c>
      <c r="Z165">
        <f t="shared" si="62"/>
        <v>7565661.0988394376</v>
      </c>
      <c r="AA165">
        <f t="shared" si="63"/>
        <v>0</v>
      </c>
      <c r="AB165">
        <f t="shared" si="64"/>
        <v>0</v>
      </c>
      <c r="AC165">
        <f t="shared" si="65"/>
        <v>0</v>
      </c>
    </row>
    <row r="166" spans="1:29" x14ac:dyDescent="0.2">
      <c r="A166">
        <v>165</v>
      </c>
      <c r="B166">
        <f>LoanPool!L166</f>
        <v>214373.41145640396</v>
      </c>
      <c r="C166">
        <f>LoanPool!M166</f>
        <v>639602.50916256593</v>
      </c>
      <c r="D166">
        <f>LoanPool!H166</f>
        <v>15231.794906555942</v>
      </c>
      <c r="E166">
        <f t="shared" si="66"/>
        <v>0</v>
      </c>
      <c r="F166">
        <f t="shared" si="67"/>
        <v>41433975.805481471</v>
      </c>
      <c r="G166">
        <f t="shared" si="68"/>
        <v>7565661.0988394376</v>
      </c>
      <c r="H166">
        <f t="shared" si="46"/>
        <v>15231.794906555942</v>
      </c>
      <c r="I166">
        <f t="shared" si="47"/>
        <v>0</v>
      </c>
      <c r="J166">
        <f t="shared" si="48"/>
        <v>0</v>
      </c>
      <c r="K166">
        <f t="shared" si="49"/>
        <v>0</v>
      </c>
      <c r="L166">
        <f t="shared" si="50"/>
        <v>41433975.805481471</v>
      </c>
      <c r="M166">
        <f t="shared" si="51"/>
        <v>7550429.3039328819</v>
      </c>
      <c r="N166">
        <f>K166*Inputs!B6/12</f>
        <v>0</v>
      </c>
      <c r="O166">
        <f t="shared" si="52"/>
        <v>0</v>
      </c>
      <c r="P166">
        <f t="shared" si="53"/>
        <v>0</v>
      </c>
      <c r="Q166">
        <f>L166*Inputs!B6/12</f>
        <v>198537.80073459874</v>
      </c>
      <c r="R166">
        <f t="shared" si="54"/>
        <v>198537.80073459874</v>
      </c>
      <c r="S166">
        <f t="shared" si="55"/>
        <v>0</v>
      </c>
      <c r="T166">
        <f t="shared" si="56"/>
        <v>15835.61072180522</v>
      </c>
      <c r="U166">
        <f t="shared" si="57"/>
        <v>0</v>
      </c>
      <c r="V166">
        <f t="shared" si="58"/>
        <v>639602.50916256593</v>
      </c>
      <c r="W166">
        <f t="shared" si="59"/>
        <v>0</v>
      </c>
      <c r="X166">
        <f t="shared" si="60"/>
        <v>0</v>
      </c>
      <c r="Y166">
        <f t="shared" si="61"/>
        <v>40794373.296318904</v>
      </c>
      <c r="Z166">
        <f t="shared" si="62"/>
        <v>7550429.3039328819</v>
      </c>
      <c r="AA166">
        <f t="shared" si="63"/>
        <v>0</v>
      </c>
      <c r="AB166">
        <f t="shared" si="64"/>
        <v>0</v>
      </c>
      <c r="AC166">
        <f t="shared" si="65"/>
        <v>0</v>
      </c>
    </row>
    <row r="167" spans="1:29" x14ac:dyDescent="0.2">
      <c r="A167">
        <v>166</v>
      </c>
      <c r="B167">
        <f>LoanPool!L167</f>
        <v>211508.51137610152</v>
      </c>
      <c r="C167">
        <f>LoanPool!M167</f>
        <v>633583.86714122596</v>
      </c>
      <c r="D167">
        <f>LoanPool!H167</f>
        <v>15027.43965288262</v>
      </c>
      <c r="E167">
        <f t="shared" si="66"/>
        <v>0</v>
      </c>
      <c r="F167">
        <f t="shared" si="67"/>
        <v>40794373.296318904</v>
      </c>
      <c r="G167">
        <f t="shared" si="68"/>
        <v>7550429.3039328819</v>
      </c>
      <c r="H167">
        <f t="shared" si="46"/>
        <v>15027.43965288262</v>
      </c>
      <c r="I167">
        <f t="shared" si="47"/>
        <v>0</v>
      </c>
      <c r="J167">
        <f t="shared" si="48"/>
        <v>0</v>
      </c>
      <c r="K167">
        <f t="shared" si="49"/>
        <v>0</v>
      </c>
      <c r="L167">
        <f t="shared" si="50"/>
        <v>40794373.296318904</v>
      </c>
      <c r="M167">
        <f t="shared" si="51"/>
        <v>7535401.8642799994</v>
      </c>
      <c r="N167">
        <f>K167*Inputs!B6/12</f>
        <v>0</v>
      </c>
      <c r="O167">
        <f t="shared" si="52"/>
        <v>0</v>
      </c>
      <c r="P167">
        <f t="shared" si="53"/>
        <v>0</v>
      </c>
      <c r="Q167">
        <f>L167*Inputs!B6/12</f>
        <v>195473.03871152809</v>
      </c>
      <c r="R167">
        <f t="shared" si="54"/>
        <v>195473.03871152809</v>
      </c>
      <c r="S167">
        <f t="shared" si="55"/>
        <v>0</v>
      </c>
      <c r="T167">
        <f t="shared" si="56"/>
        <v>16035.472664573434</v>
      </c>
      <c r="U167">
        <f t="shared" si="57"/>
        <v>0</v>
      </c>
      <c r="V167">
        <f t="shared" si="58"/>
        <v>633583.86714122596</v>
      </c>
      <c r="W167">
        <f t="shared" si="59"/>
        <v>0</v>
      </c>
      <c r="X167">
        <f t="shared" si="60"/>
        <v>0</v>
      </c>
      <c r="Y167">
        <f t="shared" si="61"/>
        <v>40160789.429177679</v>
      </c>
      <c r="Z167">
        <f t="shared" si="62"/>
        <v>7535401.8642799994</v>
      </c>
      <c r="AA167">
        <f t="shared" si="63"/>
        <v>0</v>
      </c>
      <c r="AB167">
        <f t="shared" si="64"/>
        <v>0</v>
      </c>
      <c r="AC167">
        <f t="shared" si="65"/>
        <v>0</v>
      </c>
    </row>
    <row r="168" spans="1:29" x14ac:dyDescent="0.2">
      <c r="A168">
        <v>167</v>
      </c>
      <c r="B168">
        <f>LoanPool!L168</f>
        <v>208670.83690887733</v>
      </c>
      <c r="C168">
        <f>LoanPool!M168</f>
        <v>627617.12789346266</v>
      </c>
      <c r="D168">
        <f>LoanPool!H168</f>
        <v>14825.028087773015</v>
      </c>
      <c r="E168">
        <f t="shared" si="66"/>
        <v>0</v>
      </c>
      <c r="F168">
        <f t="shared" si="67"/>
        <v>40160789.429177679</v>
      </c>
      <c r="G168">
        <f t="shared" si="68"/>
        <v>7535401.8642799994</v>
      </c>
      <c r="H168">
        <f t="shared" si="46"/>
        <v>14825.028087773015</v>
      </c>
      <c r="I168">
        <f t="shared" si="47"/>
        <v>0</v>
      </c>
      <c r="J168">
        <f t="shared" si="48"/>
        <v>0</v>
      </c>
      <c r="K168">
        <f t="shared" si="49"/>
        <v>0</v>
      </c>
      <c r="L168">
        <f t="shared" si="50"/>
        <v>40160789.429177679</v>
      </c>
      <c r="M168">
        <f t="shared" si="51"/>
        <v>7520576.836192226</v>
      </c>
      <c r="N168">
        <f>K168*Inputs!B6/12</f>
        <v>0</v>
      </c>
      <c r="O168">
        <f t="shared" si="52"/>
        <v>0</v>
      </c>
      <c r="P168">
        <f t="shared" si="53"/>
        <v>0</v>
      </c>
      <c r="Q168">
        <f>L168*Inputs!B6/12</f>
        <v>192437.11601480973</v>
      </c>
      <c r="R168">
        <f t="shared" si="54"/>
        <v>192437.11601480973</v>
      </c>
      <c r="S168">
        <f t="shared" si="55"/>
        <v>0</v>
      </c>
      <c r="T168">
        <f t="shared" si="56"/>
        <v>16233.720894067606</v>
      </c>
      <c r="U168">
        <f t="shared" si="57"/>
        <v>0</v>
      </c>
      <c r="V168">
        <f t="shared" si="58"/>
        <v>627617.12789346266</v>
      </c>
      <c r="W168">
        <f t="shared" si="59"/>
        <v>0</v>
      </c>
      <c r="X168">
        <f t="shared" si="60"/>
        <v>0</v>
      </c>
      <c r="Y168">
        <f t="shared" si="61"/>
        <v>39533172.301284216</v>
      </c>
      <c r="Z168">
        <f t="shared" si="62"/>
        <v>7520576.836192226</v>
      </c>
      <c r="AA168">
        <f t="shared" si="63"/>
        <v>0</v>
      </c>
      <c r="AB168">
        <f t="shared" si="64"/>
        <v>0</v>
      </c>
      <c r="AC168">
        <f t="shared" si="65"/>
        <v>0</v>
      </c>
    </row>
    <row r="169" spans="1:29" x14ac:dyDescent="0.2">
      <c r="A169">
        <v>168</v>
      </c>
      <c r="B169">
        <f>LoanPool!L169</f>
        <v>205860.15247645939</v>
      </c>
      <c r="C169">
        <f>LoanPool!M169</f>
        <v>621701.85789436975</v>
      </c>
      <c r="D169">
        <f>LoanPool!H169</f>
        <v>14624.543387936668</v>
      </c>
      <c r="E169">
        <f t="shared" si="66"/>
        <v>0</v>
      </c>
      <c r="F169">
        <f t="shared" si="67"/>
        <v>39533172.301284216</v>
      </c>
      <c r="G169">
        <f t="shared" si="68"/>
        <v>7520576.836192226</v>
      </c>
      <c r="H169">
        <f t="shared" si="46"/>
        <v>14624.543387936668</v>
      </c>
      <c r="I169">
        <f t="shared" si="47"/>
        <v>0</v>
      </c>
      <c r="J169">
        <f t="shared" si="48"/>
        <v>0</v>
      </c>
      <c r="K169">
        <f t="shared" si="49"/>
        <v>0</v>
      </c>
      <c r="L169">
        <f t="shared" si="50"/>
        <v>39533172.301284216</v>
      </c>
      <c r="M169">
        <f t="shared" si="51"/>
        <v>7505952.2928042896</v>
      </c>
      <c r="N169">
        <f>K169*Inputs!B6/12</f>
        <v>0</v>
      </c>
      <c r="O169">
        <f t="shared" si="52"/>
        <v>0</v>
      </c>
      <c r="P169">
        <f t="shared" si="53"/>
        <v>0</v>
      </c>
      <c r="Q169">
        <f>L169*Inputs!B6/12</f>
        <v>189429.78394365354</v>
      </c>
      <c r="R169">
        <f t="shared" si="54"/>
        <v>189429.78394365354</v>
      </c>
      <c r="S169">
        <f t="shared" si="55"/>
        <v>0</v>
      </c>
      <c r="T169">
        <f t="shared" si="56"/>
        <v>16430.368532805849</v>
      </c>
      <c r="U169">
        <f t="shared" si="57"/>
        <v>0</v>
      </c>
      <c r="V169">
        <f t="shared" si="58"/>
        <v>621701.85789436975</v>
      </c>
      <c r="W169">
        <f t="shared" si="59"/>
        <v>0</v>
      </c>
      <c r="X169">
        <f t="shared" si="60"/>
        <v>0</v>
      </c>
      <c r="Y169">
        <f t="shared" si="61"/>
        <v>38911470.443389848</v>
      </c>
      <c r="Z169">
        <f t="shared" si="62"/>
        <v>7505952.2928042896</v>
      </c>
      <c r="AA169">
        <f t="shared" si="63"/>
        <v>0</v>
      </c>
      <c r="AB169">
        <f t="shared" si="64"/>
        <v>0</v>
      </c>
      <c r="AC169">
        <f t="shared" si="65"/>
        <v>0</v>
      </c>
    </row>
    <row r="170" spans="1:29" x14ac:dyDescent="0.2">
      <c r="A170">
        <v>169</v>
      </c>
      <c r="B170">
        <f>LoanPool!L170</f>
        <v>203076.22447084935</v>
      </c>
      <c r="C170">
        <f>LoanPool!M170</f>
        <v>615837.62719448726</v>
      </c>
      <c r="D170">
        <f>LoanPool!H170</f>
        <v>14425.968870801609</v>
      </c>
      <c r="E170">
        <f t="shared" si="66"/>
        <v>0</v>
      </c>
      <c r="F170">
        <f t="shared" si="67"/>
        <v>38911470.443389848</v>
      </c>
      <c r="G170">
        <f t="shared" si="68"/>
        <v>7505952.2928042896</v>
      </c>
      <c r="H170">
        <f t="shared" si="46"/>
        <v>14425.968870801609</v>
      </c>
      <c r="I170">
        <f t="shared" si="47"/>
        <v>0</v>
      </c>
      <c r="J170">
        <f t="shared" si="48"/>
        <v>0</v>
      </c>
      <c r="K170">
        <f t="shared" si="49"/>
        <v>0</v>
      </c>
      <c r="L170">
        <f t="shared" si="50"/>
        <v>38911470.443389848</v>
      </c>
      <c r="M170">
        <f t="shared" si="51"/>
        <v>7491526.3239334878</v>
      </c>
      <c r="N170">
        <f>K170*Inputs!B6/12</f>
        <v>0</v>
      </c>
      <c r="O170">
        <f t="shared" si="52"/>
        <v>0</v>
      </c>
      <c r="P170">
        <f t="shared" si="53"/>
        <v>0</v>
      </c>
      <c r="Q170">
        <f>L170*Inputs!B6/12</f>
        <v>186450.79587457635</v>
      </c>
      <c r="R170">
        <f t="shared" si="54"/>
        <v>186450.79587457635</v>
      </c>
      <c r="S170">
        <f t="shared" si="55"/>
        <v>0</v>
      </c>
      <c r="T170">
        <f t="shared" si="56"/>
        <v>16625.428596273006</v>
      </c>
      <c r="U170">
        <f t="shared" si="57"/>
        <v>0</v>
      </c>
      <c r="V170">
        <f t="shared" si="58"/>
        <v>615837.62719448726</v>
      </c>
      <c r="W170">
        <f t="shared" si="59"/>
        <v>0</v>
      </c>
      <c r="X170">
        <f t="shared" si="60"/>
        <v>0</v>
      </c>
      <c r="Y170">
        <f t="shared" si="61"/>
        <v>38295632.816195361</v>
      </c>
      <c r="Z170">
        <f t="shared" si="62"/>
        <v>7491526.3239334878</v>
      </c>
      <c r="AA170">
        <f t="shared" si="63"/>
        <v>0</v>
      </c>
      <c r="AB170">
        <f t="shared" si="64"/>
        <v>0</v>
      </c>
      <c r="AC170">
        <f t="shared" si="65"/>
        <v>0</v>
      </c>
    </row>
    <row r="171" spans="1:29" x14ac:dyDescent="0.2">
      <c r="A171">
        <v>170</v>
      </c>
      <c r="B171">
        <f>LoanPool!L171</f>
        <v>200318.82123806368</v>
      </c>
      <c r="C171">
        <f>LoanPool!M171</f>
        <v>610024.00939046661</v>
      </c>
      <c r="D171">
        <f>LoanPool!H171</f>
        <v>14229.287993353119</v>
      </c>
      <c r="E171">
        <f t="shared" si="66"/>
        <v>0</v>
      </c>
      <c r="F171">
        <f t="shared" si="67"/>
        <v>38295632.816195361</v>
      </c>
      <c r="G171">
        <f t="shared" si="68"/>
        <v>7491526.3239334878</v>
      </c>
      <c r="H171">
        <f t="shared" si="46"/>
        <v>14229.287993353119</v>
      </c>
      <c r="I171">
        <f t="shared" si="47"/>
        <v>0</v>
      </c>
      <c r="J171">
        <f t="shared" si="48"/>
        <v>0</v>
      </c>
      <c r="K171">
        <f t="shared" si="49"/>
        <v>0</v>
      </c>
      <c r="L171">
        <f t="shared" si="50"/>
        <v>38295632.816195361</v>
      </c>
      <c r="M171">
        <f t="shared" si="51"/>
        <v>7477297.0359401349</v>
      </c>
      <c r="N171">
        <f>K171*Inputs!B6/12</f>
        <v>0</v>
      </c>
      <c r="O171">
        <f t="shared" si="52"/>
        <v>0</v>
      </c>
      <c r="P171">
        <f t="shared" si="53"/>
        <v>0</v>
      </c>
      <c r="Q171">
        <f>L171*Inputs!B6/12</f>
        <v>183499.90724426947</v>
      </c>
      <c r="R171">
        <f t="shared" si="54"/>
        <v>183499.90724426947</v>
      </c>
      <c r="S171">
        <f t="shared" si="55"/>
        <v>0</v>
      </c>
      <c r="T171">
        <f t="shared" si="56"/>
        <v>16818.913993794209</v>
      </c>
      <c r="U171">
        <f t="shared" si="57"/>
        <v>0</v>
      </c>
      <c r="V171">
        <f t="shared" si="58"/>
        <v>610024.00939046661</v>
      </c>
      <c r="W171">
        <f t="shared" si="59"/>
        <v>0</v>
      </c>
      <c r="X171">
        <f t="shared" si="60"/>
        <v>0</v>
      </c>
      <c r="Y171">
        <f t="shared" si="61"/>
        <v>37685608.806804895</v>
      </c>
      <c r="Z171">
        <f t="shared" si="62"/>
        <v>7477297.0359401349</v>
      </c>
      <c r="AA171">
        <f t="shared" si="63"/>
        <v>0</v>
      </c>
      <c r="AB171">
        <f t="shared" si="64"/>
        <v>0</v>
      </c>
      <c r="AC171">
        <f t="shared" si="65"/>
        <v>0</v>
      </c>
    </row>
    <row r="172" spans="1:29" x14ac:dyDescent="0.2">
      <c r="A172">
        <v>171</v>
      </c>
      <c r="B172">
        <f>LoanPool!L172</f>
        <v>197587.71306200945</v>
      </c>
      <c r="C172">
        <f>LoanPool!M172</f>
        <v>604260.58159597567</v>
      </c>
      <c r="D172">
        <f>LoanPool!H172</f>
        <v>14034.484350982042</v>
      </c>
      <c r="E172">
        <f t="shared" si="66"/>
        <v>0</v>
      </c>
      <c r="F172">
        <f t="shared" si="67"/>
        <v>37685608.806804895</v>
      </c>
      <c r="G172">
        <f t="shared" si="68"/>
        <v>7477297.0359401349</v>
      </c>
      <c r="H172">
        <f t="shared" si="46"/>
        <v>14034.484350982042</v>
      </c>
      <c r="I172">
        <f t="shared" si="47"/>
        <v>0</v>
      </c>
      <c r="J172">
        <f t="shared" si="48"/>
        <v>0</v>
      </c>
      <c r="K172">
        <f t="shared" si="49"/>
        <v>0</v>
      </c>
      <c r="L172">
        <f t="shared" si="50"/>
        <v>37685608.806804895</v>
      </c>
      <c r="M172">
        <f t="shared" si="51"/>
        <v>7463262.5515891528</v>
      </c>
      <c r="N172">
        <f>K172*Inputs!B6/12</f>
        <v>0</v>
      </c>
      <c r="O172">
        <f t="shared" si="52"/>
        <v>0</v>
      </c>
      <c r="P172">
        <f t="shared" si="53"/>
        <v>0</v>
      </c>
      <c r="Q172">
        <f>L172*Inputs!B6/12</f>
        <v>180576.87553260682</v>
      </c>
      <c r="R172">
        <f t="shared" si="54"/>
        <v>180576.87553260682</v>
      </c>
      <c r="S172">
        <f t="shared" si="55"/>
        <v>0</v>
      </c>
      <c r="T172">
        <f t="shared" si="56"/>
        <v>17010.837529402634</v>
      </c>
      <c r="U172">
        <f t="shared" si="57"/>
        <v>0</v>
      </c>
      <c r="V172">
        <f t="shared" si="58"/>
        <v>604260.58159597567</v>
      </c>
      <c r="W172">
        <f t="shared" si="59"/>
        <v>0</v>
      </c>
      <c r="X172">
        <f t="shared" si="60"/>
        <v>0</v>
      </c>
      <c r="Y172">
        <f t="shared" si="61"/>
        <v>37081348.225208923</v>
      </c>
      <c r="Z172">
        <f t="shared" si="62"/>
        <v>7463262.5515891528</v>
      </c>
      <c r="AA172">
        <f t="shared" si="63"/>
        <v>0</v>
      </c>
      <c r="AB172">
        <f t="shared" si="64"/>
        <v>0</v>
      </c>
      <c r="AC172">
        <f t="shared" si="65"/>
        <v>0</v>
      </c>
    </row>
    <row r="173" spans="1:29" x14ac:dyDescent="0.2">
      <c r="A173">
        <v>172</v>
      </c>
      <c r="B173">
        <f>LoanPool!L173</f>
        <v>194882.67214849152</v>
      </c>
      <c r="C173">
        <f>LoanPool!M173</f>
        <v>598546.92441284179</v>
      </c>
      <c r="D173">
        <f>LoanPool!H173</f>
        <v>13841.541676342553</v>
      </c>
      <c r="E173">
        <f t="shared" si="66"/>
        <v>0</v>
      </c>
      <c r="F173">
        <f t="shared" si="67"/>
        <v>37081348.225208923</v>
      </c>
      <c r="G173">
        <f t="shared" si="68"/>
        <v>7463262.5515891528</v>
      </c>
      <c r="H173">
        <f t="shared" si="46"/>
        <v>13841.541676342553</v>
      </c>
      <c r="I173">
        <f t="shared" si="47"/>
        <v>0</v>
      </c>
      <c r="J173">
        <f t="shared" si="48"/>
        <v>0</v>
      </c>
      <c r="K173">
        <f t="shared" si="49"/>
        <v>0</v>
      </c>
      <c r="L173">
        <f t="shared" si="50"/>
        <v>37081348.225208923</v>
      </c>
      <c r="M173">
        <f t="shared" si="51"/>
        <v>7449421.0099128103</v>
      </c>
      <c r="N173">
        <f>K173*Inputs!B6/12</f>
        <v>0</v>
      </c>
      <c r="O173">
        <f t="shared" si="52"/>
        <v>0</v>
      </c>
      <c r="P173">
        <f t="shared" si="53"/>
        <v>0</v>
      </c>
      <c r="Q173">
        <f>L173*Inputs!B6/12</f>
        <v>177681.46024579275</v>
      </c>
      <c r="R173">
        <f t="shared" si="54"/>
        <v>177681.46024579275</v>
      </c>
      <c r="S173">
        <f t="shared" si="55"/>
        <v>0</v>
      </c>
      <c r="T173">
        <f t="shared" si="56"/>
        <v>17201.211902698764</v>
      </c>
      <c r="U173">
        <f t="shared" si="57"/>
        <v>0</v>
      </c>
      <c r="V173">
        <f t="shared" si="58"/>
        <v>598546.92441284179</v>
      </c>
      <c r="W173">
        <f t="shared" si="59"/>
        <v>0</v>
      </c>
      <c r="X173">
        <f t="shared" si="60"/>
        <v>0</v>
      </c>
      <c r="Y173">
        <f t="shared" si="61"/>
        <v>36482801.300796084</v>
      </c>
      <c r="Z173">
        <f t="shared" si="62"/>
        <v>7449421.0099128103</v>
      </c>
      <c r="AA173">
        <f t="shared" si="63"/>
        <v>0</v>
      </c>
      <c r="AB173">
        <f t="shared" si="64"/>
        <v>0</v>
      </c>
      <c r="AC173">
        <f t="shared" si="65"/>
        <v>0</v>
      </c>
    </row>
    <row r="174" spans="1:29" x14ac:dyDescent="0.2">
      <c r="A174">
        <v>173</v>
      </c>
      <c r="B174">
        <f>LoanPool!L174</f>
        <v>192203.47260935136</v>
      </c>
      <c r="C174">
        <f>LoanPool!M174</f>
        <v>592882.62190243148</v>
      </c>
      <c r="D174">
        <f>LoanPool!H174</f>
        <v>13650.443838219242</v>
      </c>
      <c r="E174">
        <f t="shared" si="66"/>
        <v>0</v>
      </c>
      <c r="F174">
        <f t="shared" si="67"/>
        <v>36482801.300796084</v>
      </c>
      <c r="G174">
        <f t="shared" si="68"/>
        <v>7449421.0099128103</v>
      </c>
      <c r="H174">
        <f t="shared" si="46"/>
        <v>13650.443838219242</v>
      </c>
      <c r="I174">
        <f t="shared" si="47"/>
        <v>0</v>
      </c>
      <c r="J174">
        <f t="shared" si="48"/>
        <v>0</v>
      </c>
      <c r="K174">
        <f t="shared" si="49"/>
        <v>0</v>
      </c>
      <c r="L174">
        <f t="shared" si="50"/>
        <v>36482801.300796084</v>
      </c>
      <c r="M174">
        <f t="shared" si="51"/>
        <v>7435770.5660745911</v>
      </c>
      <c r="N174">
        <f>K174*Inputs!B6/12</f>
        <v>0</v>
      </c>
      <c r="O174">
        <f t="shared" si="52"/>
        <v>0</v>
      </c>
      <c r="P174">
        <f t="shared" si="53"/>
        <v>0</v>
      </c>
      <c r="Q174">
        <f>L174*Inputs!B6/12</f>
        <v>174813.42289964794</v>
      </c>
      <c r="R174">
        <f t="shared" si="54"/>
        <v>174813.42289964794</v>
      </c>
      <c r="S174">
        <f t="shared" si="55"/>
        <v>0</v>
      </c>
      <c r="T174">
        <f t="shared" si="56"/>
        <v>17390.049709703424</v>
      </c>
      <c r="U174">
        <f t="shared" si="57"/>
        <v>0</v>
      </c>
      <c r="V174">
        <f t="shared" si="58"/>
        <v>592882.62190243148</v>
      </c>
      <c r="W174">
        <f t="shared" si="59"/>
        <v>0</v>
      </c>
      <c r="X174">
        <f t="shared" si="60"/>
        <v>0</v>
      </c>
      <c r="Y174">
        <f t="shared" si="61"/>
        <v>35889918.678893656</v>
      </c>
      <c r="Z174">
        <f t="shared" si="62"/>
        <v>7435770.5660745911</v>
      </c>
      <c r="AA174">
        <f t="shared" si="63"/>
        <v>0</v>
      </c>
      <c r="AB174">
        <f t="shared" si="64"/>
        <v>0</v>
      </c>
      <c r="AC174">
        <f t="shared" si="65"/>
        <v>0</v>
      </c>
    </row>
    <row r="175" spans="1:29" x14ac:dyDescent="0.2">
      <c r="A175">
        <v>174</v>
      </c>
      <c r="B175">
        <f>LoanPool!L175</f>
        <v>189549.89044673601</v>
      </c>
      <c r="C175">
        <f>LoanPool!M175</f>
        <v>587267.26155726286</v>
      </c>
      <c r="D175">
        <f>LoanPool!H175</f>
        <v>13461.174840403588</v>
      </c>
      <c r="E175">
        <f t="shared" si="66"/>
        <v>0</v>
      </c>
      <c r="F175">
        <f t="shared" si="67"/>
        <v>35889918.678893656</v>
      </c>
      <c r="G175">
        <f t="shared" si="68"/>
        <v>7435770.5660745911</v>
      </c>
      <c r="H175">
        <f t="shared" si="46"/>
        <v>13461.174840403588</v>
      </c>
      <c r="I175">
        <f t="shared" si="47"/>
        <v>0</v>
      </c>
      <c r="J175">
        <f t="shared" si="48"/>
        <v>0</v>
      </c>
      <c r="K175">
        <f t="shared" si="49"/>
        <v>0</v>
      </c>
      <c r="L175">
        <f t="shared" si="50"/>
        <v>35889918.678893656</v>
      </c>
      <c r="M175">
        <f t="shared" si="51"/>
        <v>7422309.3912341874</v>
      </c>
      <c r="N175">
        <f>K175*Inputs!B6/12</f>
        <v>0</v>
      </c>
      <c r="O175">
        <f t="shared" si="52"/>
        <v>0</v>
      </c>
      <c r="P175">
        <f t="shared" si="53"/>
        <v>0</v>
      </c>
      <c r="Q175">
        <f>L175*Inputs!B6/12</f>
        <v>171972.52700303213</v>
      </c>
      <c r="R175">
        <f t="shared" si="54"/>
        <v>171972.52700303213</v>
      </c>
      <c r="S175">
        <f t="shared" si="55"/>
        <v>0</v>
      </c>
      <c r="T175">
        <f t="shared" si="56"/>
        <v>17577.363443703885</v>
      </c>
      <c r="U175">
        <f t="shared" si="57"/>
        <v>0</v>
      </c>
      <c r="V175">
        <f t="shared" si="58"/>
        <v>587267.26155726286</v>
      </c>
      <c r="W175">
        <f t="shared" si="59"/>
        <v>0</v>
      </c>
      <c r="X175">
        <f t="shared" si="60"/>
        <v>0</v>
      </c>
      <c r="Y175">
        <f t="shared" si="61"/>
        <v>35302651.417336389</v>
      </c>
      <c r="Z175">
        <f t="shared" si="62"/>
        <v>7422309.3912341874</v>
      </c>
      <c r="AA175">
        <f t="shared" si="63"/>
        <v>0</v>
      </c>
      <c r="AB175">
        <f t="shared" si="64"/>
        <v>0</v>
      </c>
      <c r="AC175">
        <f t="shared" si="65"/>
        <v>0</v>
      </c>
    </row>
    <row r="176" spans="1:29" x14ac:dyDescent="0.2">
      <c r="A176">
        <v>175</v>
      </c>
      <c r="B176">
        <f>LoanPool!L176</f>
        <v>186921.70353749624</v>
      </c>
      <c r="C176">
        <f>LoanPool!M176</f>
        <v>581700.43427285366</v>
      </c>
      <c r="D176">
        <f>LoanPool!H176</f>
        <v>13273.718820579574</v>
      </c>
      <c r="E176">
        <f t="shared" si="66"/>
        <v>0</v>
      </c>
      <c r="F176">
        <f t="shared" si="67"/>
        <v>35302651.417336389</v>
      </c>
      <c r="G176">
        <f t="shared" si="68"/>
        <v>7422309.3912341874</v>
      </c>
      <c r="H176">
        <f t="shared" si="46"/>
        <v>13273.718820579574</v>
      </c>
      <c r="I176">
        <f t="shared" si="47"/>
        <v>0</v>
      </c>
      <c r="J176">
        <f t="shared" si="48"/>
        <v>0</v>
      </c>
      <c r="K176">
        <f t="shared" si="49"/>
        <v>0</v>
      </c>
      <c r="L176">
        <f t="shared" si="50"/>
        <v>35302651.417336389</v>
      </c>
      <c r="M176">
        <f t="shared" si="51"/>
        <v>7409035.6724136081</v>
      </c>
      <c r="N176">
        <f>K176*Inputs!B6/12</f>
        <v>0</v>
      </c>
      <c r="O176">
        <f t="shared" si="52"/>
        <v>0</v>
      </c>
      <c r="P176">
        <f t="shared" si="53"/>
        <v>0</v>
      </c>
      <c r="Q176">
        <f>L176*Inputs!B6/12</f>
        <v>169158.53804140355</v>
      </c>
      <c r="R176">
        <f t="shared" si="54"/>
        <v>169158.53804140355</v>
      </c>
      <c r="S176">
        <f t="shared" si="55"/>
        <v>0</v>
      </c>
      <c r="T176">
        <f t="shared" si="56"/>
        <v>17763.165496092697</v>
      </c>
      <c r="U176">
        <f t="shared" si="57"/>
        <v>0</v>
      </c>
      <c r="V176">
        <f t="shared" si="58"/>
        <v>581700.43427285366</v>
      </c>
      <c r="W176">
        <f t="shared" si="59"/>
        <v>0</v>
      </c>
      <c r="X176">
        <f t="shared" si="60"/>
        <v>0</v>
      </c>
      <c r="Y176">
        <f t="shared" si="61"/>
        <v>34720950.983063534</v>
      </c>
      <c r="Z176">
        <f t="shared" si="62"/>
        <v>7409035.6724136081</v>
      </c>
      <c r="AA176">
        <f t="shared" si="63"/>
        <v>0</v>
      </c>
      <c r="AB176">
        <f t="shared" si="64"/>
        <v>0</v>
      </c>
      <c r="AC176">
        <f t="shared" si="65"/>
        <v>0</v>
      </c>
    </row>
    <row r="177" spans="1:29" x14ac:dyDescent="0.2">
      <c r="A177">
        <v>176</v>
      </c>
      <c r="B177">
        <f>LoanPool!L177</f>
        <v>184318.69161771247</v>
      </c>
      <c r="C177">
        <f>LoanPool!M177</f>
        <v>576181.73431979527</v>
      </c>
      <c r="D177">
        <f>LoanPool!H177</f>
        <v>13088.06004921848</v>
      </c>
      <c r="E177">
        <f t="shared" si="66"/>
        <v>0</v>
      </c>
      <c r="F177">
        <f t="shared" si="67"/>
        <v>34720950.983063534</v>
      </c>
      <c r="G177">
        <f t="shared" si="68"/>
        <v>7409035.6724136081</v>
      </c>
      <c r="H177">
        <f t="shared" si="46"/>
        <v>13088.06004921848</v>
      </c>
      <c r="I177">
        <f t="shared" si="47"/>
        <v>0</v>
      </c>
      <c r="J177">
        <f t="shared" si="48"/>
        <v>0</v>
      </c>
      <c r="K177">
        <f t="shared" si="49"/>
        <v>0</v>
      </c>
      <c r="L177">
        <f t="shared" si="50"/>
        <v>34720950.983063534</v>
      </c>
      <c r="M177">
        <f t="shared" si="51"/>
        <v>7395947.6123643899</v>
      </c>
      <c r="N177">
        <f>K177*Inputs!B6/12</f>
        <v>0</v>
      </c>
      <c r="O177">
        <f t="shared" si="52"/>
        <v>0</v>
      </c>
      <c r="P177">
        <f t="shared" si="53"/>
        <v>0</v>
      </c>
      <c r="Q177">
        <f>L177*Inputs!B6/12</f>
        <v>166371.22346051279</v>
      </c>
      <c r="R177">
        <f t="shared" si="54"/>
        <v>166371.22346051279</v>
      </c>
      <c r="S177">
        <f t="shared" si="55"/>
        <v>0</v>
      </c>
      <c r="T177">
        <f t="shared" si="56"/>
        <v>17947.468157199677</v>
      </c>
      <c r="U177">
        <f t="shared" si="57"/>
        <v>0</v>
      </c>
      <c r="V177">
        <f t="shared" si="58"/>
        <v>576181.73431979527</v>
      </c>
      <c r="W177">
        <f t="shared" si="59"/>
        <v>0</v>
      </c>
      <c r="X177">
        <f t="shared" si="60"/>
        <v>0</v>
      </c>
      <c r="Y177">
        <f t="shared" si="61"/>
        <v>34144769.248743735</v>
      </c>
      <c r="Z177">
        <f t="shared" si="62"/>
        <v>7395947.6123643899</v>
      </c>
      <c r="AA177">
        <f t="shared" si="63"/>
        <v>0</v>
      </c>
      <c r="AB177">
        <f t="shared" si="64"/>
        <v>0</v>
      </c>
      <c r="AC177">
        <f t="shared" si="65"/>
        <v>0</v>
      </c>
    </row>
    <row r="178" spans="1:29" x14ac:dyDescent="0.2">
      <c r="A178">
        <v>177</v>
      </c>
      <c r="B178">
        <f>LoanPool!L178</f>
        <v>181740.63626734802</v>
      </c>
      <c r="C178">
        <f>LoanPool!M178</f>
        <v>570710.75931606069</v>
      </c>
      <c r="D178">
        <f>LoanPool!H178</f>
        <v>12904.182928482775</v>
      </c>
      <c r="E178">
        <f t="shared" si="66"/>
        <v>0</v>
      </c>
      <c r="F178">
        <f t="shared" si="67"/>
        <v>34144769.248743735</v>
      </c>
      <c r="G178">
        <f t="shared" si="68"/>
        <v>7395947.6123643899</v>
      </c>
      <c r="H178">
        <f t="shared" si="46"/>
        <v>12904.182928482775</v>
      </c>
      <c r="I178">
        <f t="shared" si="47"/>
        <v>0</v>
      </c>
      <c r="J178">
        <f t="shared" si="48"/>
        <v>0</v>
      </c>
      <c r="K178">
        <f t="shared" si="49"/>
        <v>0</v>
      </c>
      <c r="L178">
        <f t="shared" si="50"/>
        <v>34144769.248743735</v>
      </c>
      <c r="M178">
        <f t="shared" si="51"/>
        <v>7383043.4294359069</v>
      </c>
      <c r="N178">
        <f>K178*Inputs!B6/12</f>
        <v>0</v>
      </c>
      <c r="O178">
        <f t="shared" si="52"/>
        <v>0</v>
      </c>
      <c r="P178">
        <f t="shared" si="53"/>
        <v>0</v>
      </c>
      <c r="Q178">
        <f>L178*Inputs!B6/12</f>
        <v>163610.3526502304</v>
      </c>
      <c r="R178">
        <f t="shared" si="54"/>
        <v>163610.3526502304</v>
      </c>
      <c r="S178">
        <f t="shared" si="55"/>
        <v>0</v>
      </c>
      <c r="T178">
        <f t="shared" si="56"/>
        <v>18130.283617117617</v>
      </c>
      <c r="U178">
        <f t="shared" si="57"/>
        <v>0</v>
      </c>
      <c r="V178">
        <f t="shared" si="58"/>
        <v>570710.75931606069</v>
      </c>
      <c r="W178">
        <f t="shared" si="59"/>
        <v>0</v>
      </c>
      <c r="X178">
        <f t="shared" si="60"/>
        <v>0</v>
      </c>
      <c r="Y178">
        <f t="shared" si="61"/>
        <v>33574058.489427671</v>
      </c>
      <c r="Z178">
        <f t="shared" si="62"/>
        <v>7383043.4294359069</v>
      </c>
      <c r="AA178">
        <f t="shared" si="63"/>
        <v>0</v>
      </c>
      <c r="AB178">
        <f t="shared" si="64"/>
        <v>0</v>
      </c>
      <c r="AC178">
        <f t="shared" si="65"/>
        <v>0</v>
      </c>
    </row>
    <row r="179" spans="1:29" x14ac:dyDescent="0.2">
      <c r="A179">
        <v>178</v>
      </c>
      <c r="B179">
        <f>LoanPool!L179</f>
        <v>179187.3208950281</v>
      </c>
      <c r="C179">
        <f>LoanPool!M179</f>
        <v>565287.11019953468</v>
      </c>
      <c r="D179">
        <f>LoanPool!H179</f>
        <v>12722.071991138941</v>
      </c>
      <c r="E179">
        <f t="shared" si="66"/>
        <v>0</v>
      </c>
      <c r="F179">
        <f t="shared" si="67"/>
        <v>33574058.489427671</v>
      </c>
      <c r="G179">
        <f t="shared" si="68"/>
        <v>7383043.4294359069</v>
      </c>
      <c r="H179">
        <f t="shared" si="46"/>
        <v>12722.071991138941</v>
      </c>
      <c r="I179">
        <f t="shared" si="47"/>
        <v>0</v>
      </c>
      <c r="J179">
        <f t="shared" si="48"/>
        <v>0</v>
      </c>
      <c r="K179">
        <f t="shared" si="49"/>
        <v>0</v>
      </c>
      <c r="L179">
        <f t="shared" si="50"/>
        <v>33574058.489427671</v>
      </c>
      <c r="M179">
        <f t="shared" si="51"/>
        <v>7370321.3574447678</v>
      </c>
      <c r="N179">
        <f>K179*Inputs!B6/12</f>
        <v>0</v>
      </c>
      <c r="O179">
        <f t="shared" si="52"/>
        <v>0</v>
      </c>
      <c r="P179">
        <f t="shared" si="53"/>
        <v>0</v>
      </c>
      <c r="Q179">
        <f>L179*Inputs!B6/12</f>
        <v>160875.69692850759</v>
      </c>
      <c r="R179">
        <f t="shared" si="54"/>
        <v>160875.69692850759</v>
      </c>
      <c r="S179">
        <f t="shared" si="55"/>
        <v>0</v>
      </c>
      <c r="T179">
        <f t="shared" si="56"/>
        <v>18311.623966520507</v>
      </c>
      <c r="U179">
        <f t="shared" si="57"/>
        <v>0</v>
      </c>
      <c r="V179">
        <f t="shared" si="58"/>
        <v>565287.11019953468</v>
      </c>
      <c r="W179">
        <f t="shared" si="59"/>
        <v>0</v>
      </c>
      <c r="X179">
        <f t="shared" si="60"/>
        <v>0</v>
      </c>
      <c r="Y179">
        <f t="shared" si="61"/>
        <v>33008771.379228137</v>
      </c>
      <c r="Z179">
        <f t="shared" si="62"/>
        <v>7370321.3574447678</v>
      </c>
      <c r="AA179">
        <f t="shared" si="63"/>
        <v>0</v>
      </c>
      <c r="AB179">
        <f t="shared" si="64"/>
        <v>0</v>
      </c>
      <c r="AC179">
        <f t="shared" si="65"/>
        <v>0</v>
      </c>
    </row>
    <row r="180" spans="1:29" x14ac:dyDescent="0.2">
      <c r="A180">
        <v>179</v>
      </c>
      <c r="B180">
        <f>LoanPool!L180</f>
        <v>176658.53072294395</v>
      </c>
      <c r="C180">
        <f>LoanPool!M180</f>
        <v>559910.39120077039</v>
      </c>
      <c r="D180">
        <f>LoanPool!H180</f>
        <v>12541.71189947928</v>
      </c>
      <c r="E180">
        <f t="shared" si="66"/>
        <v>0</v>
      </c>
      <c r="F180">
        <f t="shared" si="67"/>
        <v>33008771.379228137</v>
      </c>
      <c r="G180">
        <f t="shared" si="68"/>
        <v>7370321.3574447678</v>
      </c>
      <c r="H180">
        <f t="shared" si="46"/>
        <v>12541.71189947928</v>
      </c>
      <c r="I180">
        <f t="shared" si="47"/>
        <v>0</v>
      </c>
      <c r="J180">
        <f t="shared" si="48"/>
        <v>0</v>
      </c>
      <c r="K180">
        <f t="shared" si="49"/>
        <v>0</v>
      </c>
      <c r="L180">
        <f t="shared" si="50"/>
        <v>33008771.379228137</v>
      </c>
      <c r="M180">
        <f t="shared" si="51"/>
        <v>7357779.6455452889</v>
      </c>
      <c r="N180">
        <f>K180*Inputs!B6/12</f>
        <v>0</v>
      </c>
      <c r="O180">
        <f t="shared" si="52"/>
        <v>0</v>
      </c>
      <c r="P180">
        <f t="shared" si="53"/>
        <v>0</v>
      </c>
      <c r="Q180">
        <f>L180*Inputs!B6/12</f>
        <v>158167.02952546816</v>
      </c>
      <c r="R180">
        <f t="shared" si="54"/>
        <v>158167.02952546816</v>
      </c>
      <c r="S180">
        <f t="shared" si="55"/>
        <v>0</v>
      </c>
      <c r="T180">
        <f t="shared" si="56"/>
        <v>18491.501197475794</v>
      </c>
      <c r="U180">
        <f t="shared" si="57"/>
        <v>0</v>
      </c>
      <c r="V180">
        <f t="shared" si="58"/>
        <v>559910.39120077039</v>
      </c>
      <c r="W180">
        <f t="shared" si="59"/>
        <v>0</v>
      </c>
      <c r="X180">
        <f t="shared" si="60"/>
        <v>0</v>
      </c>
      <c r="Y180">
        <f t="shared" si="61"/>
        <v>32448860.988027368</v>
      </c>
      <c r="Z180">
        <f t="shared" si="62"/>
        <v>7357779.6455452889</v>
      </c>
      <c r="AA180">
        <f t="shared" si="63"/>
        <v>0</v>
      </c>
      <c r="AB180">
        <f t="shared" si="64"/>
        <v>0</v>
      </c>
      <c r="AC180">
        <f t="shared" si="65"/>
        <v>0</v>
      </c>
    </row>
    <row r="181" spans="1:29" x14ac:dyDescent="0.2">
      <c r="A181">
        <v>180</v>
      </c>
      <c r="B181">
        <f>LoanPool!L181</f>
        <v>174154.05277188038</v>
      </c>
      <c r="C181">
        <f>LoanPool!M181</f>
        <v>554580.20981597074</v>
      </c>
      <c r="D181">
        <f>LoanPool!H181</f>
        <v>12363.087444252542</v>
      </c>
      <c r="E181">
        <f t="shared" si="66"/>
        <v>0</v>
      </c>
      <c r="F181">
        <f t="shared" si="67"/>
        <v>32448860.988027368</v>
      </c>
      <c r="G181">
        <f t="shared" si="68"/>
        <v>7357779.6455452889</v>
      </c>
      <c r="H181">
        <f t="shared" si="46"/>
        <v>12363.087444252542</v>
      </c>
      <c r="I181">
        <f t="shared" si="47"/>
        <v>0</v>
      </c>
      <c r="J181">
        <f t="shared" si="48"/>
        <v>0</v>
      </c>
      <c r="K181">
        <f t="shared" si="49"/>
        <v>0</v>
      </c>
      <c r="L181">
        <f t="shared" si="50"/>
        <v>32448860.988027368</v>
      </c>
      <c r="M181">
        <f t="shared" si="51"/>
        <v>7345416.5581010366</v>
      </c>
      <c r="N181">
        <f>K181*Inputs!B6/12</f>
        <v>0</v>
      </c>
      <c r="O181">
        <f t="shared" si="52"/>
        <v>0</v>
      </c>
      <c r="P181">
        <f t="shared" si="53"/>
        <v>0</v>
      </c>
      <c r="Q181">
        <f>L181*Inputs!B6/12</f>
        <v>155484.12556763113</v>
      </c>
      <c r="R181">
        <f t="shared" si="54"/>
        <v>155484.12556763113</v>
      </c>
      <c r="S181">
        <f t="shared" si="55"/>
        <v>0</v>
      </c>
      <c r="T181">
        <f t="shared" si="56"/>
        <v>18669.927204249252</v>
      </c>
      <c r="U181">
        <f t="shared" si="57"/>
        <v>0</v>
      </c>
      <c r="V181">
        <f t="shared" si="58"/>
        <v>554580.20981597074</v>
      </c>
      <c r="W181">
        <f t="shared" si="59"/>
        <v>0</v>
      </c>
      <c r="X181">
        <f t="shared" si="60"/>
        <v>0</v>
      </c>
      <c r="Y181">
        <f t="shared" si="61"/>
        <v>31894280.778211396</v>
      </c>
      <c r="Z181">
        <f t="shared" si="62"/>
        <v>7345416.5581010366</v>
      </c>
      <c r="AA181">
        <f t="shared" si="63"/>
        <v>0</v>
      </c>
      <c r="AB181">
        <f t="shared" si="64"/>
        <v>0</v>
      </c>
      <c r="AC181">
        <f t="shared" si="65"/>
        <v>0</v>
      </c>
    </row>
    <row r="182" spans="1:29" x14ac:dyDescent="0.2">
      <c r="A182">
        <v>181</v>
      </c>
      <c r="B182">
        <f>LoanPool!L182</f>
        <v>171673.67584636691</v>
      </c>
      <c r="C182">
        <f>LoanPool!M182</f>
        <v>549296.17678018881</v>
      </c>
      <c r="D182">
        <f>LoanPool!H182</f>
        <v>12186.183543603323</v>
      </c>
      <c r="E182">
        <f t="shared" si="66"/>
        <v>0</v>
      </c>
      <c r="F182">
        <f t="shared" si="67"/>
        <v>31894280.778211396</v>
      </c>
      <c r="G182">
        <f t="shared" si="68"/>
        <v>7345416.5581010366</v>
      </c>
      <c r="H182">
        <f t="shared" si="46"/>
        <v>12186.183543603323</v>
      </c>
      <c r="I182">
        <f t="shared" si="47"/>
        <v>0</v>
      </c>
      <c r="J182">
        <f t="shared" si="48"/>
        <v>0</v>
      </c>
      <c r="K182">
        <f t="shared" si="49"/>
        <v>0</v>
      </c>
      <c r="L182">
        <f t="shared" si="50"/>
        <v>31894280.778211396</v>
      </c>
      <c r="M182">
        <f t="shared" si="51"/>
        <v>7333230.3745574336</v>
      </c>
      <c r="N182">
        <f>K182*Inputs!B6/12</f>
        <v>0</v>
      </c>
      <c r="O182">
        <f t="shared" si="52"/>
        <v>0</v>
      </c>
      <c r="P182">
        <f t="shared" si="53"/>
        <v>0</v>
      </c>
      <c r="Q182">
        <f>L182*Inputs!B6/12</f>
        <v>152826.76206226295</v>
      </c>
      <c r="R182">
        <f t="shared" si="54"/>
        <v>152826.76206226295</v>
      </c>
      <c r="S182">
        <f t="shared" si="55"/>
        <v>0</v>
      </c>
      <c r="T182">
        <f t="shared" si="56"/>
        <v>18846.913784103963</v>
      </c>
      <c r="U182">
        <f t="shared" si="57"/>
        <v>0</v>
      </c>
      <c r="V182">
        <f t="shared" si="58"/>
        <v>549296.17678018881</v>
      </c>
      <c r="W182">
        <f t="shared" si="59"/>
        <v>0</v>
      </c>
      <c r="X182">
        <f t="shared" si="60"/>
        <v>0</v>
      </c>
      <c r="Y182">
        <f t="shared" si="61"/>
        <v>31344984.601431206</v>
      </c>
      <c r="Z182">
        <f t="shared" si="62"/>
        <v>7333230.3745574336</v>
      </c>
      <c r="AA182">
        <f t="shared" si="63"/>
        <v>0</v>
      </c>
      <c r="AB182">
        <f t="shared" si="64"/>
        <v>0</v>
      </c>
      <c r="AC182">
        <f t="shared" si="65"/>
        <v>0</v>
      </c>
    </row>
    <row r="183" spans="1:29" x14ac:dyDescent="0.2">
      <c r="A183">
        <v>182</v>
      </c>
      <c r="B183">
        <f>LoanPool!L183</f>
        <v>169217.19051995029</v>
      </c>
      <c r="C183">
        <f>LoanPool!M183</f>
        <v>544057.9060407473</v>
      </c>
      <c r="D183">
        <f>LoanPool!H183</f>
        <v>12010.985242020208</v>
      </c>
      <c r="E183">
        <f t="shared" si="66"/>
        <v>0</v>
      </c>
      <c r="F183">
        <f t="shared" si="67"/>
        <v>31344984.601431206</v>
      </c>
      <c r="G183">
        <f t="shared" si="68"/>
        <v>7333230.3745574336</v>
      </c>
      <c r="H183">
        <f t="shared" si="46"/>
        <v>12010.985242020208</v>
      </c>
      <c r="I183">
        <f t="shared" si="47"/>
        <v>0</v>
      </c>
      <c r="J183">
        <f t="shared" si="48"/>
        <v>0</v>
      </c>
      <c r="K183">
        <f t="shared" si="49"/>
        <v>0</v>
      </c>
      <c r="L183">
        <f t="shared" si="50"/>
        <v>31344984.601431206</v>
      </c>
      <c r="M183">
        <f t="shared" si="51"/>
        <v>7321219.3893154133</v>
      </c>
      <c r="N183">
        <f>K183*Inputs!B6/12</f>
        <v>0</v>
      </c>
      <c r="O183">
        <f t="shared" si="52"/>
        <v>0</v>
      </c>
      <c r="P183">
        <f t="shared" si="53"/>
        <v>0</v>
      </c>
      <c r="Q183">
        <f>L183*Inputs!B6/12</f>
        <v>150194.71788185785</v>
      </c>
      <c r="R183">
        <f t="shared" si="54"/>
        <v>150194.71788185785</v>
      </c>
      <c r="S183">
        <f t="shared" si="55"/>
        <v>0</v>
      </c>
      <c r="T183">
        <f t="shared" si="56"/>
        <v>19022.47263809244</v>
      </c>
      <c r="U183">
        <f t="shared" si="57"/>
        <v>0</v>
      </c>
      <c r="V183">
        <f t="shared" si="58"/>
        <v>544057.9060407473</v>
      </c>
      <c r="W183">
        <f t="shared" si="59"/>
        <v>0</v>
      </c>
      <c r="X183">
        <f t="shared" si="60"/>
        <v>0</v>
      </c>
      <c r="Y183">
        <f t="shared" si="61"/>
        <v>30800926.695390459</v>
      </c>
      <c r="Z183">
        <f t="shared" si="62"/>
        <v>7321219.3893154133</v>
      </c>
      <c r="AA183">
        <f t="shared" si="63"/>
        <v>0</v>
      </c>
      <c r="AB183">
        <f t="shared" si="64"/>
        <v>0</v>
      </c>
      <c r="AC183">
        <f t="shared" si="65"/>
        <v>0</v>
      </c>
    </row>
    <row r="184" spans="1:29" x14ac:dyDescent="0.2">
      <c r="A184">
        <v>183</v>
      </c>
      <c r="B184">
        <f>LoanPool!L184</f>
        <v>166784.3891205882</v>
      </c>
      <c r="C184">
        <f>LoanPool!M184</f>
        <v>538865.01473087864</v>
      </c>
      <c r="D184">
        <f>LoanPool!H184</f>
        <v>11837.477709292498</v>
      </c>
      <c r="E184">
        <f t="shared" si="66"/>
        <v>0</v>
      </c>
      <c r="F184">
        <f t="shared" si="67"/>
        <v>30800926.695390459</v>
      </c>
      <c r="G184">
        <f t="shared" si="68"/>
        <v>7321219.3893154133</v>
      </c>
      <c r="H184">
        <f t="shared" si="46"/>
        <v>11837.477709292498</v>
      </c>
      <c r="I184">
        <f t="shared" si="47"/>
        <v>0</v>
      </c>
      <c r="J184">
        <f t="shared" si="48"/>
        <v>0</v>
      </c>
      <c r="K184">
        <f t="shared" si="49"/>
        <v>0</v>
      </c>
      <c r="L184">
        <f t="shared" si="50"/>
        <v>30800926.695390459</v>
      </c>
      <c r="M184">
        <f t="shared" si="51"/>
        <v>7309381.9116061209</v>
      </c>
      <c r="N184">
        <f>K184*Inputs!B6/12</f>
        <v>0</v>
      </c>
      <c r="O184">
        <f t="shared" si="52"/>
        <v>0</v>
      </c>
      <c r="P184">
        <f t="shared" si="53"/>
        <v>0</v>
      </c>
      <c r="Q184">
        <f>L184*Inputs!B6/12</f>
        <v>147587.77374874594</v>
      </c>
      <c r="R184">
        <f t="shared" si="54"/>
        <v>147587.77374874594</v>
      </c>
      <c r="S184">
        <f t="shared" si="55"/>
        <v>0</v>
      </c>
      <c r="T184">
        <f t="shared" si="56"/>
        <v>19196.615371842257</v>
      </c>
      <c r="U184">
        <f t="shared" si="57"/>
        <v>0</v>
      </c>
      <c r="V184">
        <f t="shared" si="58"/>
        <v>538865.01473087864</v>
      </c>
      <c r="W184">
        <f t="shared" si="59"/>
        <v>0</v>
      </c>
      <c r="X184">
        <f t="shared" si="60"/>
        <v>0</v>
      </c>
      <c r="Y184">
        <f t="shared" si="61"/>
        <v>30262061.680659581</v>
      </c>
      <c r="Z184">
        <f t="shared" si="62"/>
        <v>7309381.9116061209</v>
      </c>
      <c r="AA184">
        <f t="shared" si="63"/>
        <v>0</v>
      </c>
      <c r="AB184">
        <f t="shared" si="64"/>
        <v>0</v>
      </c>
      <c r="AC184">
        <f t="shared" si="65"/>
        <v>0</v>
      </c>
    </row>
    <row r="185" spans="1:29" x14ac:dyDescent="0.2">
      <c r="A185">
        <v>184</v>
      </c>
      <c r="B185">
        <f>LoanPool!L185</f>
        <v>164375.06571616241</v>
      </c>
      <c r="C185">
        <f>LoanPool!M185</f>
        <v>533717.12314357772</v>
      </c>
      <c r="D185">
        <f>LoanPool!H185</f>
        <v>11665.646239475538</v>
      </c>
      <c r="E185">
        <f t="shared" si="66"/>
        <v>0</v>
      </c>
      <c r="F185">
        <f t="shared" si="67"/>
        <v>30262061.680659581</v>
      </c>
      <c r="G185">
        <f t="shared" si="68"/>
        <v>7309381.9116061209</v>
      </c>
      <c r="H185">
        <f t="shared" si="46"/>
        <v>11665.646239475538</v>
      </c>
      <c r="I185">
        <f t="shared" si="47"/>
        <v>0</v>
      </c>
      <c r="J185">
        <f t="shared" si="48"/>
        <v>0</v>
      </c>
      <c r="K185">
        <f t="shared" si="49"/>
        <v>0</v>
      </c>
      <c r="L185">
        <f t="shared" si="50"/>
        <v>30262061.680659581</v>
      </c>
      <c r="M185">
        <f t="shared" si="51"/>
        <v>7297716.2653666455</v>
      </c>
      <c r="N185">
        <f>K185*Inputs!B6/12</f>
        <v>0</v>
      </c>
      <c r="O185">
        <f t="shared" si="52"/>
        <v>0</v>
      </c>
      <c r="P185">
        <f t="shared" si="53"/>
        <v>0</v>
      </c>
      <c r="Q185">
        <f>L185*Inputs!B6/12</f>
        <v>145005.71221982717</v>
      </c>
      <c r="R185">
        <f t="shared" si="54"/>
        <v>145005.71221982717</v>
      </c>
      <c r="S185">
        <f t="shared" si="55"/>
        <v>0</v>
      </c>
      <c r="T185">
        <f t="shared" si="56"/>
        <v>19369.353496335243</v>
      </c>
      <c r="U185">
        <f t="shared" si="57"/>
        <v>0</v>
      </c>
      <c r="V185">
        <f t="shared" si="58"/>
        <v>533717.12314357772</v>
      </c>
      <c r="W185">
        <f t="shared" si="59"/>
        <v>0</v>
      </c>
      <c r="X185">
        <f t="shared" si="60"/>
        <v>0</v>
      </c>
      <c r="Y185">
        <f t="shared" si="61"/>
        <v>29728344.557516005</v>
      </c>
      <c r="Z185">
        <f t="shared" si="62"/>
        <v>7297716.2653666455</v>
      </c>
      <c r="AA185">
        <f t="shared" si="63"/>
        <v>0</v>
      </c>
      <c r="AB185">
        <f t="shared" si="64"/>
        <v>0</v>
      </c>
      <c r="AC185">
        <f t="shared" si="65"/>
        <v>0</v>
      </c>
    </row>
    <row r="186" spans="1:29" x14ac:dyDescent="0.2">
      <c r="A186">
        <v>185</v>
      </c>
      <c r="B186">
        <f>LoanPool!L186</f>
        <v>161989.01610011159</v>
      </c>
      <c r="C186">
        <f>LoanPool!M186</f>
        <v>528613.85470566968</v>
      </c>
      <c r="D186">
        <f>LoanPool!H186</f>
        <v>11495.476249864512</v>
      </c>
      <c r="E186">
        <f t="shared" si="66"/>
        <v>0</v>
      </c>
      <c r="F186">
        <f t="shared" si="67"/>
        <v>29728344.557516005</v>
      </c>
      <c r="G186">
        <f t="shared" si="68"/>
        <v>7297716.2653666455</v>
      </c>
      <c r="H186">
        <f t="shared" si="46"/>
        <v>11495.476249864512</v>
      </c>
      <c r="I186">
        <f t="shared" si="47"/>
        <v>0</v>
      </c>
      <c r="J186">
        <f t="shared" si="48"/>
        <v>0</v>
      </c>
      <c r="K186">
        <f t="shared" si="49"/>
        <v>0</v>
      </c>
      <c r="L186">
        <f t="shared" si="50"/>
        <v>29728344.557516005</v>
      </c>
      <c r="M186">
        <f t="shared" si="51"/>
        <v>7286220.7891167812</v>
      </c>
      <c r="N186">
        <f>K186*Inputs!B6/12</f>
        <v>0</v>
      </c>
      <c r="O186">
        <f t="shared" si="52"/>
        <v>0</v>
      </c>
      <c r="P186">
        <f t="shared" si="53"/>
        <v>0</v>
      </c>
      <c r="Q186">
        <f>L186*Inputs!B6/12</f>
        <v>142448.31767143085</v>
      </c>
      <c r="R186">
        <f t="shared" si="54"/>
        <v>142448.31767143085</v>
      </c>
      <c r="S186">
        <f t="shared" si="55"/>
        <v>0</v>
      </c>
      <c r="T186">
        <f t="shared" si="56"/>
        <v>19540.698428680742</v>
      </c>
      <c r="U186">
        <f t="shared" si="57"/>
        <v>0</v>
      </c>
      <c r="V186">
        <f t="shared" si="58"/>
        <v>528613.85470566968</v>
      </c>
      <c r="W186">
        <f t="shared" si="59"/>
        <v>0</v>
      </c>
      <c r="X186">
        <f t="shared" si="60"/>
        <v>0</v>
      </c>
      <c r="Y186">
        <f t="shared" si="61"/>
        <v>29199730.702810336</v>
      </c>
      <c r="Z186">
        <f t="shared" si="62"/>
        <v>7286220.7891167812</v>
      </c>
      <c r="AA186">
        <f t="shared" si="63"/>
        <v>0</v>
      </c>
      <c r="AB186">
        <f t="shared" si="64"/>
        <v>0</v>
      </c>
      <c r="AC186">
        <f t="shared" si="65"/>
        <v>0</v>
      </c>
    </row>
    <row r="187" spans="1:29" x14ac:dyDescent="0.2">
      <c r="A187">
        <v>186</v>
      </c>
      <c r="B187">
        <f>LoanPool!L187</f>
        <v>159626.0377771811</v>
      </c>
      <c r="C187">
        <f>LoanPool!M187</f>
        <v>523554.83595209225</v>
      </c>
      <c r="D187">
        <f>LoanPool!H187</f>
        <v>11326.953279976698</v>
      </c>
      <c r="E187">
        <f t="shared" si="66"/>
        <v>0</v>
      </c>
      <c r="F187">
        <f t="shared" si="67"/>
        <v>29199730.702810336</v>
      </c>
      <c r="G187">
        <f t="shared" si="68"/>
        <v>7286220.7891167812</v>
      </c>
      <c r="H187">
        <f t="shared" si="46"/>
        <v>11326.953279976698</v>
      </c>
      <c r="I187">
        <f t="shared" si="47"/>
        <v>0</v>
      </c>
      <c r="J187">
        <f t="shared" si="48"/>
        <v>0</v>
      </c>
      <c r="K187">
        <f t="shared" si="49"/>
        <v>0</v>
      </c>
      <c r="L187">
        <f t="shared" si="50"/>
        <v>29199730.702810336</v>
      </c>
      <c r="M187">
        <f t="shared" si="51"/>
        <v>7274893.8358368045</v>
      </c>
      <c r="N187">
        <f>K187*Inputs!B6/12</f>
        <v>0</v>
      </c>
      <c r="O187">
        <f t="shared" si="52"/>
        <v>0</v>
      </c>
      <c r="P187">
        <f t="shared" si="53"/>
        <v>0</v>
      </c>
      <c r="Q187">
        <f>L187*Inputs!B6/12</f>
        <v>139915.37628429953</v>
      </c>
      <c r="R187">
        <f t="shared" si="54"/>
        <v>139915.37628429953</v>
      </c>
      <c r="S187">
        <f t="shared" si="55"/>
        <v>0</v>
      </c>
      <c r="T187">
        <f t="shared" si="56"/>
        <v>19710.661492881569</v>
      </c>
      <c r="U187">
        <f t="shared" si="57"/>
        <v>0</v>
      </c>
      <c r="V187">
        <f t="shared" si="58"/>
        <v>523554.83595209225</v>
      </c>
      <c r="W187">
        <f t="shared" si="59"/>
        <v>0</v>
      </c>
      <c r="X187">
        <f t="shared" si="60"/>
        <v>0</v>
      </c>
      <c r="Y187">
        <f t="shared" si="61"/>
        <v>28676175.866858244</v>
      </c>
      <c r="Z187">
        <f t="shared" si="62"/>
        <v>7274893.8358368045</v>
      </c>
      <c r="AA187">
        <f t="shared" si="63"/>
        <v>0</v>
      </c>
      <c r="AB187">
        <f t="shared" si="64"/>
        <v>0</v>
      </c>
      <c r="AC187">
        <f t="shared" si="65"/>
        <v>0</v>
      </c>
    </row>
    <row r="188" spans="1:29" x14ac:dyDescent="0.2">
      <c r="A188">
        <v>187</v>
      </c>
      <c r="B188">
        <f>LoanPool!L188</f>
        <v>157285.92994929082</v>
      </c>
      <c r="C188">
        <f>LoanPool!M188</f>
        <v>518539.69650038378</v>
      </c>
      <c r="D188">
        <f>LoanPool!H188</f>
        <v>11160.062990542034</v>
      </c>
      <c r="E188">
        <f t="shared" si="66"/>
        <v>0</v>
      </c>
      <c r="F188">
        <f t="shared" si="67"/>
        <v>28676175.866858244</v>
      </c>
      <c r="G188">
        <f t="shared" si="68"/>
        <v>7274893.8358368045</v>
      </c>
      <c r="H188">
        <f t="shared" si="46"/>
        <v>11160.062990542034</v>
      </c>
      <c r="I188">
        <f t="shared" si="47"/>
        <v>0</v>
      </c>
      <c r="J188">
        <f t="shared" si="48"/>
        <v>0</v>
      </c>
      <c r="K188">
        <f t="shared" si="49"/>
        <v>0</v>
      </c>
      <c r="L188">
        <f t="shared" si="50"/>
        <v>28676175.866858244</v>
      </c>
      <c r="M188">
        <f t="shared" si="51"/>
        <v>7263733.7728462629</v>
      </c>
      <c r="N188">
        <f>K188*Inputs!B6/12</f>
        <v>0</v>
      </c>
      <c r="O188">
        <f t="shared" si="52"/>
        <v>0</v>
      </c>
      <c r="P188">
        <f t="shared" si="53"/>
        <v>0</v>
      </c>
      <c r="Q188">
        <f>L188*Inputs!B6/12</f>
        <v>137406.67602869574</v>
      </c>
      <c r="R188">
        <f t="shared" si="54"/>
        <v>137406.67602869574</v>
      </c>
      <c r="S188">
        <f t="shared" si="55"/>
        <v>0</v>
      </c>
      <c r="T188">
        <f t="shared" si="56"/>
        <v>19879.253920595074</v>
      </c>
      <c r="U188">
        <f t="shared" si="57"/>
        <v>0</v>
      </c>
      <c r="V188">
        <f t="shared" si="58"/>
        <v>518539.69650038378</v>
      </c>
      <c r="W188">
        <f t="shared" si="59"/>
        <v>0</v>
      </c>
      <c r="X188">
        <f t="shared" si="60"/>
        <v>0</v>
      </c>
      <c r="Y188">
        <f t="shared" si="61"/>
        <v>28157636.170357861</v>
      </c>
      <c r="Z188">
        <f t="shared" si="62"/>
        <v>7263733.7728462629</v>
      </c>
      <c r="AA188">
        <f t="shared" si="63"/>
        <v>0</v>
      </c>
      <c r="AB188">
        <f t="shared" si="64"/>
        <v>0</v>
      </c>
      <c r="AC188">
        <f t="shared" si="65"/>
        <v>0</v>
      </c>
    </row>
    <row r="189" spans="1:29" x14ac:dyDescent="0.2">
      <c r="A189">
        <v>188</v>
      </c>
      <c r="B189">
        <f>LoanPool!L189</f>
        <v>154968.49350151804</v>
      </c>
      <c r="C189">
        <f>LoanPool!M189</f>
        <v>513568.06902538647</v>
      </c>
      <c r="D189">
        <f>LoanPool!H189</f>
        <v>10994.791162501997</v>
      </c>
      <c r="E189">
        <f t="shared" si="66"/>
        <v>0</v>
      </c>
      <c r="F189">
        <f t="shared" si="67"/>
        <v>28157636.170357861</v>
      </c>
      <c r="G189">
        <f t="shared" si="68"/>
        <v>7263733.7728462629</v>
      </c>
      <c r="H189">
        <f t="shared" si="46"/>
        <v>10994.791162501997</v>
      </c>
      <c r="I189">
        <f t="shared" si="47"/>
        <v>0</v>
      </c>
      <c r="J189">
        <f t="shared" si="48"/>
        <v>0</v>
      </c>
      <c r="K189">
        <f t="shared" si="49"/>
        <v>0</v>
      </c>
      <c r="L189">
        <f t="shared" si="50"/>
        <v>28157636.170357861</v>
      </c>
      <c r="M189">
        <f t="shared" si="51"/>
        <v>7252738.9816837609</v>
      </c>
      <c r="N189">
        <f>K189*Inputs!B6/12</f>
        <v>0</v>
      </c>
      <c r="O189">
        <f t="shared" si="52"/>
        <v>0</v>
      </c>
      <c r="P189">
        <f t="shared" si="53"/>
        <v>0</v>
      </c>
      <c r="Q189">
        <f>L189*Inputs!B6/12</f>
        <v>134922.00664963142</v>
      </c>
      <c r="R189">
        <f t="shared" si="54"/>
        <v>134922.00664963142</v>
      </c>
      <c r="S189">
        <f t="shared" si="55"/>
        <v>0</v>
      </c>
      <c r="T189">
        <f t="shared" si="56"/>
        <v>20046.486851886613</v>
      </c>
      <c r="U189">
        <f t="shared" si="57"/>
        <v>0</v>
      </c>
      <c r="V189">
        <f t="shared" si="58"/>
        <v>513568.06902538647</v>
      </c>
      <c r="W189">
        <f t="shared" si="59"/>
        <v>0</v>
      </c>
      <c r="X189">
        <f t="shared" si="60"/>
        <v>0</v>
      </c>
      <c r="Y189">
        <f t="shared" si="61"/>
        <v>27644068.101332474</v>
      </c>
      <c r="Z189">
        <f t="shared" si="62"/>
        <v>7252738.9816837609</v>
      </c>
      <c r="AA189">
        <f t="shared" si="63"/>
        <v>0</v>
      </c>
      <c r="AB189">
        <f t="shared" si="64"/>
        <v>0</v>
      </c>
      <c r="AC189">
        <f t="shared" si="65"/>
        <v>0</v>
      </c>
    </row>
    <row r="190" spans="1:29" x14ac:dyDescent="0.2">
      <c r="A190">
        <v>189</v>
      </c>
      <c r="B190">
        <f>LoanPool!L190</f>
        <v>152673.53098819603</v>
      </c>
      <c r="C190">
        <f>LoanPool!M190</f>
        <v>508639.58923415048</v>
      </c>
      <c r="D190">
        <f>LoanPool!H190</f>
        <v>10831.123696016708</v>
      </c>
      <c r="E190">
        <f t="shared" si="66"/>
        <v>0</v>
      </c>
      <c r="F190">
        <f t="shared" si="67"/>
        <v>27644068.101332474</v>
      </c>
      <c r="G190">
        <f t="shared" si="68"/>
        <v>7252738.9816837609</v>
      </c>
      <c r="H190">
        <f t="shared" si="46"/>
        <v>10831.123696016708</v>
      </c>
      <c r="I190">
        <f t="shared" si="47"/>
        <v>0</v>
      </c>
      <c r="J190">
        <f t="shared" si="48"/>
        <v>0</v>
      </c>
      <c r="K190">
        <f t="shared" si="49"/>
        <v>0</v>
      </c>
      <c r="L190">
        <f t="shared" si="50"/>
        <v>27644068.101332474</v>
      </c>
      <c r="M190">
        <f t="shared" si="51"/>
        <v>7241907.8579877438</v>
      </c>
      <c r="N190">
        <f>K190*Inputs!B6/12</f>
        <v>0</v>
      </c>
      <c r="O190">
        <f t="shared" si="52"/>
        <v>0</v>
      </c>
      <c r="P190">
        <f t="shared" si="53"/>
        <v>0</v>
      </c>
      <c r="Q190">
        <f>L190*Inputs!B6/12</f>
        <v>132461.15965221811</v>
      </c>
      <c r="R190">
        <f t="shared" si="54"/>
        <v>132461.15965221811</v>
      </c>
      <c r="S190">
        <f t="shared" si="55"/>
        <v>0</v>
      </c>
      <c r="T190">
        <f t="shared" si="56"/>
        <v>20212.371335977921</v>
      </c>
      <c r="U190">
        <f t="shared" si="57"/>
        <v>0</v>
      </c>
      <c r="V190">
        <f t="shared" si="58"/>
        <v>508639.58923415048</v>
      </c>
      <c r="W190">
        <f t="shared" si="59"/>
        <v>0</v>
      </c>
      <c r="X190">
        <f t="shared" si="60"/>
        <v>0</v>
      </c>
      <c r="Y190">
        <f t="shared" si="61"/>
        <v>27135428.512098324</v>
      </c>
      <c r="Z190">
        <f t="shared" si="62"/>
        <v>7241907.8579877438</v>
      </c>
      <c r="AA190">
        <f t="shared" si="63"/>
        <v>0</v>
      </c>
      <c r="AB190">
        <f t="shared" si="64"/>
        <v>0</v>
      </c>
      <c r="AC190">
        <f t="shared" si="65"/>
        <v>0</v>
      </c>
    </row>
    <row r="191" spans="1:29" x14ac:dyDescent="0.2">
      <c r="A191">
        <v>190</v>
      </c>
      <c r="B191">
        <f>LoanPool!L191</f>
        <v>150400.84661912653</v>
      </c>
      <c r="C191">
        <f>LoanPool!M191</f>
        <v>503753.89584104839</v>
      </c>
      <c r="D191">
        <f>LoanPool!H191</f>
        <v>10669.046609480156</v>
      </c>
      <c r="E191">
        <f t="shared" si="66"/>
        <v>0</v>
      </c>
      <c r="F191">
        <f t="shared" si="67"/>
        <v>27135428.512098324</v>
      </c>
      <c r="G191">
        <f t="shared" si="68"/>
        <v>7241907.8579877438</v>
      </c>
      <c r="H191">
        <f t="shared" si="46"/>
        <v>10669.046609480156</v>
      </c>
      <c r="I191">
        <f t="shared" si="47"/>
        <v>0</v>
      </c>
      <c r="J191">
        <f t="shared" si="48"/>
        <v>0</v>
      </c>
      <c r="K191">
        <f t="shared" si="49"/>
        <v>0</v>
      </c>
      <c r="L191">
        <f t="shared" si="50"/>
        <v>27135428.512098324</v>
      </c>
      <c r="M191">
        <f t="shared" si="51"/>
        <v>7231238.8113782639</v>
      </c>
      <c r="N191">
        <f>K191*Inputs!B6/12</f>
        <v>0</v>
      </c>
      <c r="O191">
        <f t="shared" si="52"/>
        <v>0</v>
      </c>
      <c r="P191">
        <f t="shared" si="53"/>
        <v>0</v>
      </c>
      <c r="Q191">
        <f>L191*Inputs!B6/12</f>
        <v>130023.92828713781</v>
      </c>
      <c r="R191">
        <f t="shared" si="54"/>
        <v>130023.92828713781</v>
      </c>
      <c r="S191">
        <f t="shared" si="55"/>
        <v>0</v>
      </c>
      <c r="T191">
        <f t="shared" si="56"/>
        <v>20376.918331988723</v>
      </c>
      <c r="U191">
        <f t="shared" si="57"/>
        <v>0</v>
      </c>
      <c r="V191">
        <f t="shared" si="58"/>
        <v>503753.89584104839</v>
      </c>
      <c r="W191">
        <f t="shared" si="59"/>
        <v>0</v>
      </c>
      <c r="X191">
        <f t="shared" si="60"/>
        <v>0</v>
      </c>
      <c r="Y191">
        <f t="shared" si="61"/>
        <v>26631674.616257276</v>
      </c>
      <c r="Z191">
        <f t="shared" si="62"/>
        <v>7231238.8113782639</v>
      </c>
      <c r="AA191">
        <f t="shared" si="63"/>
        <v>0</v>
      </c>
      <c r="AB191">
        <f t="shared" si="64"/>
        <v>0</v>
      </c>
      <c r="AC191">
        <f t="shared" si="65"/>
        <v>0</v>
      </c>
    </row>
    <row r="192" spans="1:29" x14ac:dyDescent="0.2">
      <c r="A192">
        <v>191</v>
      </c>
      <c r="B192">
        <f>LoanPool!L192</f>
        <v>148150.24624590547</v>
      </c>
      <c r="C192">
        <f>LoanPool!M192</f>
        <v>498910.63054309011</v>
      </c>
      <c r="D192">
        <f>LoanPool!H192</f>
        <v>10508.546038543549</v>
      </c>
      <c r="E192">
        <f t="shared" si="66"/>
        <v>0</v>
      </c>
      <c r="F192">
        <f t="shared" si="67"/>
        <v>26631674.616257276</v>
      </c>
      <c r="G192">
        <f t="shared" si="68"/>
        <v>7231238.8113782639</v>
      </c>
      <c r="H192">
        <f t="shared" si="46"/>
        <v>10508.546038543549</v>
      </c>
      <c r="I192">
        <f t="shared" si="47"/>
        <v>0</v>
      </c>
      <c r="J192">
        <f t="shared" si="48"/>
        <v>0</v>
      </c>
      <c r="K192">
        <f t="shared" si="49"/>
        <v>0</v>
      </c>
      <c r="L192">
        <f t="shared" si="50"/>
        <v>26631674.616257276</v>
      </c>
      <c r="M192">
        <f t="shared" si="51"/>
        <v>7220730.2653397201</v>
      </c>
      <c r="N192">
        <f>K192*Inputs!B6/12</f>
        <v>0</v>
      </c>
      <c r="O192">
        <f t="shared" si="52"/>
        <v>0</v>
      </c>
      <c r="P192">
        <f t="shared" si="53"/>
        <v>0</v>
      </c>
      <c r="Q192">
        <f>L192*Inputs!B6/12</f>
        <v>127610.1075362328</v>
      </c>
      <c r="R192">
        <f t="shared" si="54"/>
        <v>127610.1075362328</v>
      </c>
      <c r="S192">
        <f t="shared" si="55"/>
        <v>0</v>
      </c>
      <c r="T192">
        <f t="shared" si="56"/>
        <v>20540.138709672668</v>
      </c>
      <c r="U192">
        <f t="shared" si="57"/>
        <v>0</v>
      </c>
      <c r="V192">
        <f t="shared" si="58"/>
        <v>498910.63054309011</v>
      </c>
      <c r="W192">
        <f t="shared" si="59"/>
        <v>0</v>
      </c>
      <c r="X192">
        <f t="shared" si="60"/>
        <v>0</v>
      </c>
      <c r="Y192">
        <f t="shared" si="61"/>
        <v>26132763.985714186</v>
      </c>
      <c r="Z192">
        <f t="shared" si="62"/>
        <v>7220730.2653397201</v>
      </c>
      <c r="AA192">
        <f t="shared" si="63"/>
        <v>0</v>
      </c>
      <c r="AB192">
        <f t="shared" si="64"/>
        <v>0</v>
      </c>
      <c r="AC192">
        <f t="shared" si="65"/>
        <v>0</v>
      </c>
    </row>
    <row r="193" spans="1:29" x14ac:dyDescent="0.2">
      <c r="A193">
        <v>192</v>
      </c>
      <c r="B193">
        <f>LoanPool!L193</f>
        <v>145921.53734836084</v>
      </c>
      <c r="C193">
        <f>LoanPool!M193</f>
        <v>494109.43799544277</v>
      </c>
      <c r="D193">
        <f>LoanPool!H193</f>
        <v>10349.608235146639</v>
      </c>
      <c r="E193">
        <f t="shared" si="66"/>
        <v>0</v>
      </c>
      <c r="F193">
        <f t="shared" si="67"/>
        <v>26132763.985714186</v>
      </c>
      <c r="G193">
        <f t="shared" si="68"/>
        <v>7220730.2653397201</v>
      </c>
      <c r="H193">
        <f t="shared" si="46"/>
        <v>10349.608235146639</v>
      </c>
      <c r="I193">
        <f t="shared" si="47"/>
        <v>0</v>
      </c>
      <c r="J193">
        <f t="shared" si="48"/>
        <v>0</v>
      </c>
      <c r="K193">
        <f t="shared" si="49"/>
        <v>0</v>
      </c>
      <c r="L193">
        <f t="shared" si="50"/>
        <v>26132763.985714186</v>
      </c>
      <c r="M193">
        <f t="shared" si="51"/>
        <v>7210380.6571045732</v>
      </c>
      <c r="N193">
        <f>K193*Inputs!B6/12</f>
        <v>0</v>
      </c>
      <c r="O193">
        <f t="shared" si="52"/>
        <v>0</v>
      </c>
      <c r="P193">
        <f t="shared" si="53"/>
        <v>0</v>
      </c>
      <c r="Q193">
        <f>L193*Inputs!B6/12</f>
        <v>125219.49409821381</v>
      </c>
      <c r="R193">
        <f t="shared" si="54"/>
        <v>125219.49409821381</v>
      </c>
      <c r="S193">
        <f t="shared" si="55"/>
        <v>0</v>
      </c>
      <c r="T193">
        <f t="shared" si="56"/>
        <v>20702.043250147035</v>
      </c>
      <c r="U193">
        <f t="shared" si="57"/>
        <v>0</v>
      </c>
      <c r="V193">
        <f t="shared" si="58"/>
        <v>494109.43799544277</v>
      </c>
      <c r="W193">
        <f t="shared" si="59"/>
        <v>0</v>
      </c>
      <c r="X193">
        <f t="shared" si="60"/>
        <v>0</v>
      </c>
      <c r="Y193">
        <f t="shared" si="61"/>
        <v>25638654.547718745</v>
      </c>
      <c r="Z193">
        <f t="shared" si="62"/>
        <v>7210380.6571045732</v>
      </c>
      <c r="AA193">
        <f t="shared" si="63"/>
        <v>0</v>
      </c>
      <c r="AB193">
        <f t="shared" si="64"/>
        <v>0</v>
      </c>
      <c r="AC193">
        <f t="shared" si="65"/>
        <v>0</v>
      </c>
    </row>
    <row r="194" spans="1:29" x14ac:dyDescent="0.2">
      <c r="A194">
        <v>193</v>
      </c>
      <c r="B194">
        <f>LoanPool!L194</f>
        <v>143714.529021102</v>
      </c>
      <c r="C194">
        <f>LoanPool!M194</f>
        <v>489349.9657871481</v>
      </c>
      <c r="D194">
        <f>LoanPool!H194</f>
        <v>10192.219566557047</v>
      </c>
      <c r="E194">
        <f t="shared" si="66"/>
        <v>0</v>
      </c>
      <c r="F194">
        <f t="shared" si="67"/>
        <v>25638654.547718745</v>
      </c>
      <c r="G194">
        <f t="shared" si="68"/>
        <v>7210380.6571045732</v>
      </c>
      <c r="H194">
        <f t="shared" ref="H194:H257" si="69">MIN(D194,G194)</f>
        <v>10192.219566557047</v>
      </c>
      <c r="I194">
        <f t="shared" ref="I194:I257" si="70">MIN(MAX(D194-H194,0),F194)</f>
        <v>0</v>
      </c>
      <c r="J194">
        <f t="shared" ref="J194:J257" si="71">MIN(MAX(D194-H194-I194,0),E194)</f>
        <v>0</v>
      </c>
      <c r="K194">
        <f t="shared" ref="K194:K257" si="72">MAX(E194-J194,0)</f>
        <v>0</v>
      </c>
      <c r="L194">
        <f t="shared" ref="L194:L257" si="73">MAX(F194-I194,0)</f>
        <v>25638654.547718745</v>
      </c>
      <c r="M194">
        <f t="shared" ref="M194:M257" si="74">MAX(G194-H194,0)</f>
        <v>7200188.4375380166</v>
      </c>
      <c r="N194">
        <f>K194*Inputs!B6/12</f>
        <v>0</v>
      </c>
      <c r="O194">
        <f t="shared" ref="O194:O257" si="75">MIN(B194,N194)</f>
        <v>0</v>
      </c>
      <c r="P194">
        <f t="shared" ref="P194:P257" si="76">N194-O194</f>
        <v>0</v>
      </c>
      <c r="Q194">
        <f>L194*Inputs!B6/12</f>
        <v>122851.88637448566</v>
      </c>
      <c r="R194">
        <f t="shared" ref="R194:R257" si="77">MIN(MAX(B194-O194,0),Q194)</f>
        <v>122851.88637448566</v>
      </c>
      <c r="S194">
        <f t="shared" ref="S194:S257" si="78">Q194-R194</f>
        <v>0</v>
      </c>
      <c r="T194">
        <f t="shared" ref="T194:T257" si="79">MAX(B194-O194-R194,0)</f>
        <v>20862.642646616339</v>
      </c>
      <c r="U194">
        <f t="shared" ref="U194:U257" si="80">MIN(C194,K194)</f>
        <v>0</v>
      </c>
      <c r="V194">
        <f t="shared" ref="V194:V257" si="81">MIN(MAX(C194-U194,0),L194)</f>
        <v>489349.9657871481</v>
      </c>
      <c r="W194">
        <f t="shared" ref="W194:W257" si="82">MIN(MAX(C194-U194-V194,0),M194)</f>
        <v>0</v>
      </c>
      <c r="X194">
        <f t="shared" ref="X194:X257" si="83">MAX(K194-U194,0)</f>
        <v>0</v>
      </c>
      <c r="Y194">
        <f t="shared" ref="Y194:Y257" si="84">MAX(L194-V194,0)</f>
        <v>25149304.581931598</v>
      </c>
      <c r="Z194">
        <f t="shared" ref="Z194:Z257" si="85">MAX(M194-W194,0)</f>
        <v>7200188.4375380166</v>
      </c>
      <c r="AA194">
        <f t="shared" ref="AA194:AA257" si="86">C194-(U194+V194+W194)</f>
        <v>0</v>
      </c>
      <c r="AB194">
        <f t="shared" ref="AB194:AB257" si="87">B194-(O194+R194+T194)</f>
        <v>0</v>
      </c>
      <c r="AC194">
        <f t="shared" ref="AC194:AC257" si="88">D194-(H194+I194+J194)</f>
        <v>0</v>
      </c>
    </row>
    <row r="195" spans="1:29" x14ac:dyDescent="0.2">
      <c r="A195">
        <v>194</v>
      </c>
      <c r="B195">
        <f>LoanPool!L195</f>
        <v>141529.03196017956</v>
      </c>
      <c r="C195">
        <f>LoanPool!M195</f>
        <v>484631.86441704113</v>
      </c>
      <c r="D195">
        <f>LoanPool!H195</f>
        <v>10036.366514417425</v>
      </c>
      <c r="E195">
        <f t="shared" ref="E195:E258" si="89">X194</f>
        <v>0</v>
      </c>
      <c r="F195">
        <f t="shared" ref="F195:F258" si="90">Y194</f>
        <v>25149304.581931598</v>
      </c>
      <c r="G195">
        <f t="shared" ref="G195:G258" si="91">Z194</f>
        <v>7200188.4375380166</v>
      </c>
      <c r="H195">
        <f t="shared" si="69"/>
        <v>10036.366514417425</v>
      </c>
      <c r="I195">
        <f t="shared" si="70"/>
        <v>0</v>
      </c>
      <c r="J195">
        <f t="shared" si="71"/>
        <v>0</v>
      </c>
      <c r="K195">
        <f t="shared" si="72"/>
        <v>0</v>
      </c>
      <c r="L195">
        <f t="shared" si="73"/>
        <v>25149304.581931598</v>
      </c>
      <c r="M195">
        <f t="shared" si="74"/>
        <v>7190152.0710235992</v>
      </c>
      <c r="N195">
        <f>K195*Inputs!B6/12</f>
        <v>0</v>
      </c>
      <c r="O195">
        <f t="shared" si="75"/>
        <v>0</v>
      </c>
      <c r="P195">
        <f t="shared" si="76"/>
        <v>0</v>
      </c>
      <c r="Q195">
        <f>L195*Inputs!B6/12</f>
        <v>120507.0844550889</v>
      </c>
      <c r="R195">
        <f t="shared" si="77"/>
        <v>120507.0844550889</v>
      </c>
      <c r="S195">
        <f t="shared" si="78"/>
        <v>0</v>
      </c>
      <c r="T195">
        <f t="shared" si="79"/>
        <v>21021.947505090662</v>
      </c>
      <c r="U195">
        <f t="shared" si="80"/>
        <v>0</v>
      </c>
      <c r="V195">
        <f t="shared" si="81"/>
        <v>484631.86441704113</v>
      </c>
      <c r="W195">
        <f t="shared" si="82"/>
        <v>0</v>
      </c>
      <c r="X195">
        <f t="shared" si="83"/>
        <v>0</v>
      </c>
      <c r="Y195">
        <f t="shared" si="84"/>
        <v>24664672.717514556</v>
      </c>
      <c r="Z195">
        <f t="shared" si="85"/>
        <v>7190152.0710235992</v>
      </c>
      <c r="AA195">
        <f t="shared" si="86"/>
        <v>0</v>
      </c>
      <c r="AB195">
        <f t="shared" si="87"/>
        <v>0</v>
      </c>
      <c r="AC195">
        <f t="shared" si="88"/>
        <v>0</v>
      </c>
    </row>
    <row r="196" spans="1:29" x14ac:dyDescent="0.2">
      <c r="A196">
        <v>195</v>
      </c>
      <c r="B196">
        <f>LoanPool!L196</f>
        <v>139364.85844985445</v>
      </c>
      <c r="C196">
        <f>LoanPool!M196</f>
        <v>479954.7872698647</v>
      </c>
      <c r="D196">
        <f>LoanPool!H196</f>
        <v>9882.0356738004848</v>
      </c>
      <c r="E196">
        <f t="shared" si="89"/>
        <v>0</v>
      </c>
      <c r="F196">
        <f t="shared" si="90"/>
        <v>24664672.717514556</v>
      </c>
      <c r="G196">
        <f t="shared" si="91"/>
        <v>7190152.0710235992</v>
      </c>
      <c r="H196">
        <f t="shared" si="69"/>
        <v>9882.0356738004848</v>
      </c>
      <c r="I196">
        <f t="shared" si="70"/>
        <v>0</v>
      </c>
      <c r="J196">
        <f t="shared" si="71"/>
        <v>0</v>
      </c>
      <c r="K196">
        <f t="shared" si="72"/>
        <v>0</v>
      </c>
      <c r="L196">
        <f t="shared" si="73"/>
        <v>24664672.717514556</v>
      </c>
      <c r="M196">
        <f t="shared" si="74"/>
        <v>7180270.0353497984</v>
      </c>
      <c r="N196">
        <f>K196*Inputs!B6/12</f>
        <v>0</v>
      </c>
      <c r="O196">
        <f t="shared" si="75"/>
        <v>0</v>
      </c>
      <c r="P196">
        <f t="shared" si="76"/>
        <v>0</v>
      </c>
      <c r="Q196">
        <f>L196*Inputs!B6/12</f>
        <v>118184.89010475726</v>
      </c>
      <c r="R196">
        <f t="shared" si="77"/>
        <v>118184.89010475726</v>
      </c>
      <c r="S196">
        <f t="shared" si="78"/>
        <v>0</v>
      </c>
      <c r="T196">
        <f t="shared" si="79"/>
        <v>21179.968345097193</v>
      </c>
      <c r="U196">
        <f t="shared" si="80"/>
        <v>0</v>
      </c>
      <c r="V196">
        <f t="shared" si="81"/>
        <v>479954.7872698647</v>
      </c>
      <c r="W196">
        <f t="shared" si="82"/>
        <v>0</v>
      </c>
      <c r="X196">
        <f t="shared" si="83"/>
        <v>0</v>
      </c>
      <c r="Y196">
        <f t="shared" si="84"/>
        <v>24184717.930244692</v>
      </c>
      <c r="Z196">
        <f t="shared" si="85"/>
        <v>7180270.0353497984</v>
      </c>
      <c r="AA196">
        <f t="shared" si="86"/>
        <v>0</v>
      </c>
      <c r="AB196">
        <f t="shared" si="87"/>
        <v>0</v>
      </c>
      <c r="AC196">
        <f t="shared" si="88"/>
        <v>0</v>
      </c>
    </row>
    <row r="197" spans="1:29" x14ac:dyDescent="0.2">
      <c r="A197">
        <v>196</v>
      </c>
      <c r="B197">
        <f>LoanPool!L197</f>
        <v>137221.8223494759</v>
      </c>
      <c r="C197">
        <f>LoanPool!M197</f>
        <v>475318.39059257996</v>
      </c>
      <c r="D197">
        <f>LoanPool!H197</f>
        <v>9729.2137522717676</v>
      </c>
      <c r="E197">
        <f t="shared" si="89"/>
        <v>0</v>
      </c>
      <c r="F197">
        <f t="shared" si="90"/>
        <v>24184717.930244692</v>
      </c>
      <c r="G197">
        <f t="shared" si="91"/>
        <v>7180270.0353497984</v>
      </c>
      <c r="H197">
        <f t="shared" si="69"/>
        <v>9729.2137522717676</v>
      </c>
      <c r="I197">
        <f t="shared" si="70"/>
        <v>0</v>
      </c>
      <c r="J197">
        <f t="shared" si="71"/>
        <v>0</v>
      </c>
      <c r="K197">
        <f t="shared" si="72"/>
        <v>0</v>
      </c>
      <c r="L197">
        <f t="shared" si="73"/>
        <v>24184717.930244692</v>
      </c>
      <c r="M197">
        <f t="shared" si="74"/>
        <v>7170540.8215975268</v>
      </c>
      <c r="N197">
        <f>K197*Inputs!B6/12</f>
        <v>0</v>
      </c>
      <c r="O197">
        <f t="shared" si="75"/>
        <v>0</v>
      </c>
      <c r="P197">
        <f t="shared" si="76"/>
        <v>0</v>
      </c>
      <c r="Q197">
        <f>L197*Inputs!B6/12</f>
        <v>115885.10674908914</v>
      </c>
      <c r="R197">
        <f t="shared" si="77"/>
        <v>115885.10674908914</v>
      </c>
      <c r="S197">
        <f t="shared" si="78"/>
        <v>0</v>
      </c>
      <c r="T197">
        <f t="shared" si="79"/>
        <v>21336.715600386757</v>
      </c>
      <c r="U197">
        <f t="shared" si="80"/>
        <v>0</v>
      </c>
      <c r="V197">
        <f t="shared" si="81"/>
        <v>475318.39059257996</v>
      </c>
      <c r="W197">
        <f t="shared" si="82"/>
        <v>0</v>
      </c>
      <c r="X197">
        <f t="shared" si="83"/>
        <v>0</v>
      </c>
      <c r="Y197">
        <f t="shared" si="84"/>
        <v>23709399.539652113</v>
      </c>
      <c r="Z197">
        <f t="shared" si="85"/>
        <v>7170540.8215975268</v>
      </c>
      <c r="AA197">
        <f t="shared" si="86"/>
        <v>0</v>
      </c>
      <c r="AB197">
        <f t="shared" si="87"/>
        <v>0</v>
      </c>
      <c r="AC197">
        <f t="shared" si="88"/>
        <v>0</v>
      </c>
    </row>
    <row r="198" spans="1:29" x14ac:dyDescent="0.2">
      <c r="A198">
        <v>197</v>
      </c>
      <c r="B198">
        <f>LoanPool!L198</f>
        <v>135099.73908046717</v>
      </c>
      <c r="C198">
        <f>LoanPool!M198</f>
        <v>470722.33347087115</v>
      </c>
      <c r="D198">
        <f>LoanPool!H198</f>
        <v>9577.8875689600955</v>
      </c>
      <c r="E198">
        <f t="shared" si="89"/>
        <v>0</v>
      </c>
      <c r="F198">
        <f t="shared" si="90"/>
        <v>23709399.539652113</v>
      </c>
      <c r="G198">
        <f t="shared" si="91"/>
        <v>7170540.8215975268</v>
      </c>
      <c r="H198">
        <f t="shared" si="69"/>
        <v>9577.8875689600955</v>
      </c>
      <c r="I198">
        <f t="shared" si="70"/>
        <v>0</v>
      </c>
      <c r="J198">
        <f t="shared" si="71"/>
        <v>0</v>
      </c>
      <c r="K198">
        <f t="shared" si="72"/>
        <v>0</v>
      </c>
      <c r="L198">
        <f t="shared" si="73"/>
        <v>23709399.539652113</v>
      </c>
      <c r="M198">
        <f t="shared" si="74"/>
        <v>7160962.9340285668</v>
      </c>
      <c r="N198">
        <f>K198*Inputs!B6/12</f>
        <v>0</v>
      </c>
      <c r="O198">
        <f t="shared" si="75"/>
        <v>0</v>
      </c>
      <c r="P198">
        <f t="shared" si="76"/>
        <v>0</v>
      </c>
      <c r="Q198">
        <f>L198*Inputs!B6/12</f>
        <v>113607.53946083305</v>
      </c>
      <c r="R198">
        <f t="shared" si="77"/>
        <v>113607.53946083305</v>
      </c>
      <c r="S198">
        <f t="shared" si="78"/>
        <v>0</v>
      </c>
      <c r="T198">
        <f t="shared" si="79"/>
        <v>21492.199619634121</v>
      </c>
      <c r="U198">
        <f t="shared" si="80"/>
        <v>0</v>
      </c>
      <c r="V198">
        <f t="shared" si="81"/>
        <v>470722.33347087115</v>
      </c>
      <c r="W198">
        <f t="shared" si="82"/>
        <v>0</v>
      </c>
      <c r="X198">
        <f t="shared" si="83"/>
        <v>0</v>
      </c>
      <c r="Y198">
        <f t="shared" si="84"/>
        <v>23238677.206181243</v>
      </c>
      <c r="Z198">
        <f t="shared" si="85"/>
        <v>7160962.9340285668</v>
      </c>
      <c r="AA198">
        <f t="shared" si="86"/>
        <v>0</v>
      </c>
      <c r="AB198">
        <f t="shared" si="87"/>
        <v>0</v>
      </c>
      <c r="AC198">
        <f t="shared" si="88"/>
        <v>0</v>
      </c>
    </row>
    <row r="199" spans="1:29" x14ac:dyDescent="0.2">
      <c r="A199">
        <v>198</v>
      </c>
      <c r="B199">
        <f>LoanPool!L199</f>
        <v>132998.4256134179</v>
      </c>
      <c r="C199">
        <f>LoanPool!M199</f>
        <v>466166.2778058417</v>
      </c>
      <c r="D199">
        <f>LoanPool!H199</f>
        <v>9428.0440536356928</v>
      </c>
      <c r="E199">
        <f t="shared" si="89"/>
        <v>0</v>
      </c>
      <c r="F199">
        <f t="shared" si="90"/>
        <v>23238677.206181243</v>
      </c>
      <c r="G199">
        <f t="shared" si="91"/>
        <v>7160962.9340285668</v>
      </c>
      <c r="H199">
        <f t="shared" si="69"/>
        <v>9428.0440536356928</v>
      </c>
      <c r="I199">
        <f t="shared" si="70"/>
        <v>0</v>
      </c>
      <c r="J199">
        <f t="shared" si="71"/>
        <v>0</v>
      </c>
      <c r="K199">
        <f t="shared" si="72"/>
        <v>0</v>
      </c>
      <c r="L199">
        <f t="shared" si="73"/>
        <v>23238677.206181243</v>
      </c>
      <c r="M199">
        <f t="shared" si="74"/>
        <v>7151534.8899749313</v>
      </c>
      <c r="N199">
        <f>K199*Inputs!B6/12</f>
        <v>0</v>
      </c>
      <c r="O199">
        <f t="shared" si="75"/>
        <v>0</v>
      </c>
      <c r="P199">
        <f t="shared" si="76"/>
        <v>0</v>
      </c>
      <c r="Q199">
        <f>L199*Inputs!B6/12</f>
        <v>111351.99494628514</v>
      </c>
      <c r="R199">
        <f t="shared" si="77"/>
        <v>111351.99494628514</v>
      </c>
      <c r="S199">
        <f t="shared" si="78"/>
        <v>0</v>
      </c>
      <c r="T199">
        <f t="shared" si="79"/>
        <v>21646.430667132765</v>
      </c>
      <c r="U199">
        <f t="shared" si="80"/>
        <v>0</v>
      </c>
      <c r="V199">
        <f t="shared" si="81"/>
        <v>466166.2778058417</v>
      </c>
      <c r="W199">
        <f t="shared" si="82"/>
        <v>0</v>
      </c>
      <c r="X199">
        <f t="shared" si="83"/>
        <v>0</v>
      </c>
      <c r="Y199">
        <f t="shared" si="84"/>
        <v>22772510.928375401</v>
      </c>
      <c r="Z199">
        <f t="shared" si="85"/>
        <v>7151534.8899749313</v>
      </c>
      <c r="AA199">
        <f t="shared" si="86"/>
        <v>0</v>
      </c>
      <c r="AB199">
        <f t="shared" si="87"/>
        <v>0</v>
      </c>
      <c r="AC199">
        <f t="shared" si="88"/>
        <v>0</v>
      </c>
    </row>
    <row r="200" spans="1:29" x14ac:dyDescent="0.2">
      <c r="A200">
        <v>199</v>
      </c>
      <c r="B200">
        <f>LoanPool!L200</f>
        <v>130917.70045528268</v>
      </c>
      <c r="C200">
        <f>LoanPool!M200</f>
        <v>461649.88829090289</v>
      </c>
      <c r="D200">
        <f>LoanPool!H200</f>
        <v>9279.6702457958272</v>
      </c>
      <c r="E200">
        <f t="shared" si="89"/>
        <v>0</v>
      </c>
      <c r="F200">
        <f t="shared" si="90"/>
        <v>22772510.928375401</v>
      </c>
      <c r="G200">
        <f t="shared" si="91"/>
        <v>7151534.8899749313</v>
      </c>
      <c r="H200">
        <f t="shared" si="69"/>
        <v>9279.6702457958272</v>
      </c>
      <c r="I200">
        <f t="shared" si="70"/>
        <v>0</v>
      </c>
      <c r="J200">
        <f t="shared" si="71"/>
        <v>0</v>
      </c>
      <c r="K200">
        <f t="shared" si="72"/>
        <v>0</v>
      </c>
      <c r="L200">
        <f t="shared" si="73"/>
        <v>22772510.928375401</v>
      </c>
      <c r="M200">
        <f t="shared" si="74"/>
        <v>7142255.2197291357</v>
      </c>
      <c r="N200">
        <f>K200*Inputs!B6/12</f>
        <v>0</v>
      </c>
      <c r="O200">
        <f t="shared" si="75"/>
        <v>0</v>
      </c>
      <c r="P200">
        <f t="shared" si="76"/>
        <v>0</v>
      </c>
      <c r="Q200">
        <f>L200*Inputs!B6/12</f>
        <v>109118.28153179881</v>
      </c>
      <c r="R200">
        <f t="shared" si="77"/>
        <v>109118.28153179881</v>
      </c>
      <c r="S200">
        <f t="shared" si="78"/>
        <v>0</v>
      </c>
      <c r="T200">
        <f t="shared" si="79"/>
        <v>21799.41892348387</v>
      </c>
      <c r="U200">
        <f t="shared" si="80"/>
        <v>0</v>
      </c>
      <c r="V200">
        <f t="shared" si="81"/>
        <v>461649.88829090289</v>
      </c>
      <c r="W200">
        <f t="shared" si="82"/>
        <v>0</v>
      </c>
      <c r="X200">
        <f t="shared" si="83"/>
        <v>0</v>
      </c>
      <c r="Y200">
        <f t="shared" si="84"/>
        <v>22310861.040084496</v>
      </c>
      <c r="Z200">
        <f t="shared" si="85"/>
        <v>7142255.2197291357</v>
      </c>
      <c r="AA200">
        <f t="shared" si="86"/>
        <v>0</v>
      </c>
      <c r="AB200">
        <f t="shared" si="87"/>
        <v>0</v>
      </c>
      <c r="AC200">
        <f t="shared" si="88"/>
        <v>0</v>
      </c>
    </row>
    <row r="201" spans="1:29" x14ac:dyDescent="0.2">
      <c r="A201">
        <v>200</v>
      </c>
      <c r="B201">
        <f>LoanPool!L201</f>
        <v>128857.38363668462</v>
      </c>
      <c r="C201">
        <f>LoanPool!M201</f>
        <v>457172.83238884987</v>
      </c>
      <c r="D201">
        <f>LoanPool!H201</f>
        <v>9132.7532937580108</v>
      </c>
      <c r="E201">
        <f t="shared" si="89"/>
        <v>0</v>
      </c>
      <c r="F201">
        <f t="shared" si="90"/>
        <v>22310861.040084496</v>
      </c>
      <c r="G201">
        <f t="shared" si="91"/>
        <v>7142255.2197291357</v>
      </c>
      <c r="H201">
        <f t="shared" si="69"/>
        <v>9132.7532937580108</v>
      </c>
      <c r="I201">
        <f t="shared" si="70"/>
        <v>0</v>
      </c>
      <c r="J201">
        <f t="shared" si="71"/>
        <v>0</v>
      </c>
      <c r="K201">
        <f t="shared" si="72"/>
        <v>0</v>
      </c>
      <c r="L201">
        <f t="shared" si="73"/>
        <v>22310861.040084496</v>
      </c>
      <c r="M201">
        <f t="shared" si="74"/>
        <v>7133122.4664353775</v>
      </c>
      <c r="N201">
        <f>K201*Inputs!B6/12</f>
        <v>0</v>
      </c>
      <c r="O201">
        <f t="shared" si="75"/>
        <v>0</v>
      </c>
      <c r="P201">
        <f t="shared" si="76"/>
        <v>0</v>
      </c>
      <c r="Q201">
        <f>L201*Inputs!B6/12</f>
        <v>106906.20915040489</v>
      </c>
      <c r="R201">
        <f t="shared" si="77"/>
        <v>106906.20915040489</v>
      </c>
      <c r="S201">
        <f t="shared" si="78"/>
        <v>0</v>
      </c>
      <c r="T201">
        <f t="shared" si="79"/>
        <v>21951.174486279735</v>
      </c>
      <c r="U201">
        <f t="shared" si="80"/>
        <v>0</v>
      </c>
      <c r="V201">
        <f t="shared" si="81"/>
        <v>457172.83238884987</v>
      </c>
      <c r="W201">
        <f t="shared" si="82"/>
        <v>0</v>
      </c>
      <c r="X201">
        <f t="shared" si="83"/>
        <v>0</v>
      </c>
      <c r="Y201">
        <f t="shared" si="84"/>
        <v>21853688.207695648</v>
      </c>
      <c r="Z201">
        <f t="shared" si="85"/>
        <v>7133122.4664353775</v>
      </c>
      <c r="AA201">
        <f t="shared" si="86"/>
        <v>0</v>
      </c>
      <c r="AB201">
        <f t="shared" si="87"/>
        <v>0</v>
      </c>
      <c r="AC201">
        <f t="shared" si="88"/>
        <v>0</v>
      </c>
    </row>
    <row r="202" spans="1:29" x14ac:dyDescent="0.2">
      <c r="A202">
        <v>201</v>
      </c>
      <c r="B202">
        <f>LoanPool!L202</f>
        <v>126817.29669932323</v>
      </c>
      <c r="C202">
        <f>LoanPool!M202</f>
        <v>452734.78030912735</v>
      </c>
      <c r="D202">
        <f>LoanPool!H202</f>
        <v>8987.2804537606025</v>
      </c>
      <c r="E202">
        <f t="shared" si="89"/>
        <v>0</v>
      </c>
      <c r="F202">
        <f t="shared" si="90"/>
        <v>21853688.207695648</v>
      </c>
      <c r="G202">
        <f t="shared" si="91"/>
        <v>7133122.4664353775</v>
      </c>
      <c r="H202">
        <f t="shared" si="69"/>
        <v>8987.2804537606025</v>
      </c>
      <c r="I202">
        <f t="shared" si="70"/>
        <v>0</v>
      </c>
      <c r="J202">
        <f t="shared" si="71"/>
        <v>0</v>
      </c>
      <c r="K202">
        <f t="shared" si="72"/>
        <v>0</v>
      </c>
      <c r="L202">
        <f t="shared" si="73"/>
        <v>21853688.207695648</v>
      </c>
      <c r="M202">
        <f t="shared" si="74"/>
        <v>7124135.1859816173</v>
      </c>
      <c r="N202">
        <f>K202*Inputs!B6/12</f>
        <v>0</v>
      </c>
      <c r="O202">
        <f t="shared" si="75"/>
        <v>0</v>
      </c>
      <c r="P202">
        <f t="shared" si="76"/>
        <v>0</v>
      </c>
      <c r="Q202">
        <f>L202*Inputs!B6/12</f>
        <v>104715.58932854165</v>
      </c>
      <c r="R202">
        <f t="shared" si="77"/>
        <v>104715.58932854165</v>
      </c>
      <c r="S202">
        <f t="shared" si="78"/>
        <v>0</v>
      </c>
      <c r="T202">
        <f t="shared" si="79"/>
        <v>22101.707370781573</v>
      </c>
      <c r="U202">
        <f t="shared" si="80"/>
        <v>0</v>
      </c>
      <c r="V202">
        <f t="shared" si="81"/>
        <v>452734.78030912735</v>
      </c>
      <c r="W202">
        <f t="shared" si="82"/>
        <v>0</v>
      </c>
      <c r="X202">
        <f t="shared" si="83"/>
        <v>0</v>
      </c>
      <c r="Y202">
        <f t="shared" si="84"/>
        <v>21400953.427386522</v>
      </c>
      <c r="Z202">
        <f t="shared" si="85"/>
        <v>7124135.1859816173</v>
      </c>
      <c r="AA202">
        <f t="shared" si="86"/>
        <v>0</v>
      </c>
      <c r="AB202">
        <f t="shared" si="87"/>
        <v>0</v>
      </c>
      <c r="AC202">
        <f t="shared" si="88"/>
        <v>0</v>
      </c>
    </row>
    <row r="203" spans="1:29" x14ac:dyDescent="0.2">
      <c r="A203">
        <v>202</v>
      </c>
      <c r="B203">
        <f>LoanPool!L203</f>
        <v>124797.26268348558</v>
      </c>
      <c r="C203">
        <f>LoanPool!M203</f>
        <v>448335.40498527949</v>
      </c>
      <c r="D203">
        <f>LoanPool!H203</f>
        <v>8843.2390890708321</v>
      </c>
      <c r="E203">
        <f t="shared" si="89"/>
        <v>0</v>
      </c>
      <c r="F203">
        <f t="shared" si="90"/>
        <v>21400953.427386522</v>
      </c>
      <c r="G203">
        <f t="shared" si="91"/>
        <v>7124135.1859816173</v>
      </c>
      <c r="H203">
        <f t="shared" si="69"/>
        <v>8843.2390890708321</v>
      </c>
      <c r="I203">
        <f t="shared" si="70"/>
        <v>0</v>
      </c>
      <c r="J203">
        <f t="shared" si="71"/>
        <v>0</v>
      </c>
      <c r="K203">
        <f t="shared" si="72"/>
        <v>0</v>
      </c>
      <c r="L203">
        <f t="shared" si="73"/>
        <v>21400953.427386522</v>
      </c>
      <c r="M203">
        <f t="shared" si="74"/>
        <v>7115291.9468925465</v>
      </c>
      <c r="N203">
        <f>K203*Inputs!B6/12</f>
        <v>0</v>
      </c>
      <c r="O203">
        <f t="shared" si="75"/>
        <v>0</v>
      </c>
      <c r="P203">
        <f t="shared" si="76"/>
        <v>0</v>
      </c>
      <c r="Q203">
        <f>L203*Inputs!B6/12</f>
        <v>102546.23517289375</v>
      </c>
      <c r="R203">
        <f t="shared" si="77"/>
        <v>102546.23517289375</v>
      </c>
      <c r="S203">
        <f t="shared" si="78"/>
        <v>0</v>
      </c>
      <c r="T203">
        <f t="shared" si="79"/>
        <v>22251.027510591826</v>
      </c>
      <c r="U203">
        <f t="shared" si="80"/>
        <v>0</v>
      </c>
      <c r="V203">
        <f t="shared" si="81"/>
        <v>448335.40498527949</v>
      </c>
      <c r="W203">
        <f t="shared" si="82"/>
        <v>0</v>
      </c>
      <c r="X203">
        <f t="shared" si="83"/>
        <v>0</v>
      </c>
      <c r="Y203">
        <f t="shared" si="84"/>
        <v>20952618.022401243</v>
      </c>
      <c r="Z203">
        <f t="shared" si="85"/>
        <v>7115291.9468925465</v>
      </c>
      <c r="AA203">
        <f t="shared" si="86"/>
        <v>0</v>
      </c>
      <c r="AB203">
        <f t="shared" si="87"/>
        <v>0</v>
      </c>
      <c r="AC203">
        <f t="shared" si="88"/>
        <v>0</v>
      </c>
    </row>
    <row r="204" spans="1:29" x14ac:dyDescent="0.2">
      <c r="A204">
        <v>203</v>
      </c>
      <c r="B204">
        <f>LoanPool!L204</f>
        <v>122797.10611566031</v>
      </c>
      <c r="C204">
        <f>LoanPool!M204</f>
        <v>443974.38205258595</v>
      </c>
      <c r="D204">
        <f>LoanPool!H204</f>
        <v>8700.6166691001217</v>
      </c>
      <c r="E204">
        <f t="shared" si="89"/>
        <v>0</v>
      </c>
      <c r="F204">
        <f t="shared" si="90"/>
        <v>20952618.022401243</v>
      </c>
      <c r="G204">
        <f t="shared" si="91"/>
        <v>7115291.9468925465</v>
      </c>
      <c r="H204">
        <f t="shared" si="69"/>
        <v>8700.6166691001217</v>
      </c>
      <c r="I204">
        <f t="shared" si="70"/>
        <v>0</v>
      </c>
      <c r="J204">
        <f t="shared" si="71"/>
        <v>0</v>
      </c>
      <c r="K204">
        <f t="shared" si="72"/>
        <v>0</v>
      </c>
      <c r="L204">
        <f t="shared" si="73"/>
        <v>20952618.022401243</v>
      </c>
      <c r="M204">
        <f t="shared" si="74"/>
        <v>7106591.3302234467</v>
      </c>
      <c r="N204">
        <f>K204*Inputs!B6/12</f>
        <v>0</v>
      </c>
      <c r="O204">
        <f t="shared" si="75"/>
        <v>0</v>
      </c>
      <c r="P204">
        <f t="shared" si="76"/>
        <v>0</v>
      </c>
      <c r="Q204">
        <f>L204*Inputs!B6/12</f>
        <v>100397.9613573393</v>
      </c>
      <c r="R204">
        <f t="shared" si="77"/>
        <v>100397.9613573393</v>
      </c>
      <c r="S204">
        <f t="shared" si="78"/>
        <v>0</v>
      </c>
      <c r="T204">
        <f t="shared" si="79"/>
        <v>22399.14475832101</v>
      </c>
      <c r="U204">
        <f t="shared" si="80"/>
        <v>0</v>
      </c>
      <c r="V204">
        <f t="shared" si="81"/>
        <v>443974.38205258595</v>
      </c>
      <c r="W204">
        <f t="shared" si="82"/>
        <v>0</v>
      </c>
      <c r="X204">
        <f t="shared" si="83"/>
        <v>0</v>
      </c>
      <c r="Y204">
        <f t="shared" si="84"/>
        <v>20508643.640348658</v>
      </c>
      <c r="Z204">
        <f t="shared" si="85"/>
        <v>7106591.3302234467</v>
      </c>
      <c r="AA204">
        <f t="shared" si="86"/>
        <v>0</v>
      </c>
      <c r="AB204">
        <f t="shared" si="87"/>
        <v>0</v>
      </c>
      <c r="AC204">
        <f t="shared" si="88"/>
        <v>0</v>
      </c>
    </row>
    <row r="205" spans="1:29" x14ac:dyDescent="0.2">
      <c r="A205">
        <v>204</v>
      </c>
      <c r="B205">
        <f>LoanPool!L205</f>
        <v>120816.65299625293</v>
      </c>
      <c r="C205">
        <f>LoanPool!M205</f>
        <v>439651.38982588018</v>
      </c>
      <c r="D205">
        <f>LoanPool!H205</f>
        <v>8559.4007685266915</v>
      </c>
      <c r="E205">
        <f t="shared" si="89"/>
        <v>0</v>
      </c>
      <c r="F205">
        <f t="shared" si="90"/>
        <v>20508643.640348658</v>
      </c>
      <c r="G205">
        <f t="shared" si="91"/>
        <v>7106591.3302234467</v>
      </c>
      <c r="H205">
        <f t="shared" si="69"/>
        <v>8559.4007685266915</v>
      </c>
      <c r="I205">
        <f t="shared" si="70"/>
        <v>0</v>
      </c>
      <c r="J205">
        <f t="shared" si="71"/>
        <v>0</v>
      </c>
      <c r="K205">
        <f t="shared" si="72"/>
        <v>0</v>
      </c>
      <c r="L205">
        <f t="shared" si="73"/>
        <v>20508643.640348658</v>
      </c>
      <c r="M205">
        <f t="shared" si="74"/>
        <v>7098031.9294549199</v>
      </c>
      <c r="N205">
        <f>K205*Inputs!B6/12</f>
        <v>0</v>
      </c>
      <c r="O205">
        <f t="shared" si="75"/>
        <v>0</v>
      </c>
      <c r="P205">
        <f t="shared" si="76"/>
        <v>0</v>
      </c>
      <c r="Q205">
        <f>L205*Inputs!B6/12</f>
        <v>98270.584110003998</v>
      </c>
      <c r="R205">
        <f t="shared" si="77"/>
        <v>98270.584110003998</v>
      </c>
      <c r="S205">
        <f t="shared" si="78"/>
        <v>0</v>
      </c>
      <c r="T205">
        <f t="shared" si="79"/>
        <v>22546.068886248933</v>
      </c>
      <c r="U205">
        <f t="shared" si="80"/>
        <v>0</v>
      </c>
      <c r="V205">
        <f t="shared" si="81"/>
        <v>439651.38982588018</v>
      </c>
      <c r="W205">
        <f t="shared" si="82"/>
        <v>0</v>
      </c>
      <c r="X205">
        <f t="shared" si="83"/>
        <v>0</v>
      </c>
      <c r="Y205">
        <f t="shared" si="84"/>
        <v>20068992.250522777</v>
      </c>
      <c r="Z205">
        <f t="shared" si="85"/>
        <v>7098031.9294549199</v>
      </c>
      <c r="AA205">
        <f t="shared" si="86"/>
        <v>0</v>
      </c>
      <c r="AB205">
        <f t="shared" si="87"/>
        <v>0</v>
      </c>
      <c r="AC205">
        <f t="shared" si="88"/>
        <v>0</v>
      </c>
    </row>
    <row r="206" spans="1:29" x14ac:dyDescent="0.2">
      <c r="A206">
        <v>205</v>
      </c>
      <c r="B206">
        <f>LoanPool!L206</f>
        <v>118855.73078740238</v>
      </c>
      <c r="C206">
        <f>LoanPool!M206</f>
        <v>435366.1092775506</v>
      </c>
      <c r="D206">
        <f>LoanPool!H206</f>
        <v>8419.5790664253564</v>
      </c>
      <c r="E206">
        <f t="shared" si="89"/>
        <v>0</v>
      </c>
      <c r="F206">
        <f t="shared" si="90"/>
        <v>20068992.250522777</v>
      </c>
      <c r="G206">
        <f t="shared" si="91"/>
        <v>7098031.9294549199</v>
      </c>
      <c r="H206">
        <f t="shared" si="69"/>
        <v>8419.5790664253564</v>
      </c>
      <c r="I206">
        <f t="shared" si="70"/>
        <v>0</v>
      </c>
      <c r="J206">
        <f t="shared" si="71"/>
        <v>0</v>
      </c>
      <c r="K206">
        <f t="shared" si="72"/>
        <v>0</v>
      </c>
      <c r="L206">
        <f t="shared" si="73"/>
        <v>20068992.250522777</v>
      </c>
      <c r="M206">
        <f t="shared" si="74"/>
        <v>7089612.3503884943</v>
      </c>
      <c r="N206">
        <f>K206*Inputs!B6/12</f>
        <v>0</v>
      </c>
      <c r="O206">
        <f t="shared" si="75"/>
        <v>0</v>
      </c>
      <c r="P206">
        <f t="shared" si="76"/>
        <v>0</v>
      </c>
      <c r="Q206">
        <f>L206*Inputs!B6/12</f>
        <v>96163.921200421639</v>
      </c>
      <c r="R206">
        <f t="shared" si="77"/>
        <v>96163.921200421639</v>
      </c>
      <c r="S206">
        <f t="shared" si="78"/>
        <v>0</v>
      </c>
      <c r="T206">
        <f t="shared" si="79"/>
        <v>22691.809586980744</v>
      </c>
      <c r="U206">
        <f t="shared" si="80"/>
        <v>0</v>
      </c>
      <c r="V206">
        <f t="shared" si="81"/>
        <v>435366.1092775506</v>
      </c>
      <c r="W206">
        <f t="shared" si="82"/>
        <v>0</v>
      </c>
      <c r="X206">
        <f t="shared" si="83"/>
        <v>0</v>
      </c>
      <c r="Y206">
        <f t="shared" si="84"/>
        <v>19633626.141245227</v>
      </c>
      <c r="Z206">
        <f t="shared" si="85"/>
        <v>7089612.3503884943</v>
      </c>
      <c r="AA206">
        <f t="shared" si="86"/>
        <v>0</v>
      </c>
      <c r="AB206">
        <f t="shared" si="87"/>
        <v>0</v>
      </c>
      <c r="AC206">
        <f t="shared" si="88"/>
        <v>0</v>
      </c>
    </row>
    <row r="207" spans="1:29" x14ac:dyDescent="0.2">
      <c r="A207">
        <v>206</v>
      </c>
      <c r="B207">
        <f>LoanPool!L207</f>
        <v>116914.1684008975</v>
      </c>
      <c r="C207">
        <f>LoanPool!M207</f>
        <v>431118.22401571949</v>
      </c>
      <c r="D207">
        <f>LoanPool!H207</f>
        <v>8281.1393454044864</v>
      </c>
      <c r="E207">
        <f t="shared" si="89"/>
        <v>0</v>
      </c>
      <c r="F207">
        <f t="shared" si="90"/>
        <v>19633626.141245227</v>
      </c>
      <c r="G207">
        <f t="shared" si="91"/>
        <v>7089612.3503884943</v>
      </c>
      <c r="H207">
        <f t="shared" si="69"/>
        <v>8281.1393454044864</v>
      </c>
      <c r="I207">
        <f t="shared" si="70"/>
        <v>0</v>
      </c>
      <c r="J207">
        <f t="shared" si="71"/>
        <v>0</v>
      </c>
      <c r="K207">
        <f t="shared" si="72"/>
        <v>0</v>
      </c>
      <c r="L207">
        <f t="shared" si="73"/>
        <v>19633626.141245227</v>
      </c>
      <c r="M207">
        <f t="shared" si="74"/>
        <v>7081331.2110430896</v>
      </c>
      <c r="N207">
        <f>K207*Inputs!B6/12</f>
        <v>0</v>
      </c>
      <c r="O207">
        <f t="shared" si="75"/>
        <v>0</v>
      </c>
      <c r="P207">
        <f t="shared" si="76"/>
        <v>0</v>
      </c>
      <c r="Q207">
        <f>L207*Inputs!B6/12</f>
        <v>94077.791926800055</v>
      </c>
      <c r="R207">
        <f t="shared" si="77"/>
        <v>94077.791926800055</v>
      </c>
      <c r="S207">
        <f t="shared" si="78"/>
        <v>0</v>
      </c>
      <c r="T207">
        <f t="shared" si="79"/>
        <v>22836.376474097444</v>
      </c>
      <c r="U207">
        <f t="shared" si="80"/>
        <v>0</v>
      </c>
      <c r="V207">
        <f t="shared" si="81"/>
        <v>431118.22401571949</v>
      </c>
      <c r="W207">
        <f t="shared" si="82"/>
        <v>0</v>
      </c>
      <c r="X207">
        <f t="shared" si="83"/>
        <v>0</v>
      </c>
      <c r="Y207">
        <f t="shared" si="84"/>
        <v>19202507.917229507</v>
      </c>
      <c r="Z207">
        <f t="shared" si="85"/>
        <v>7081331.2110430896</v>
      </c>
      <c r="AA207">
        <f t="shared" si="86"/>
        <v>0</v>
      </c>
      <c r="AB207">
        <f t="shared" si="87"/>
        <v>0</v>
      </c>
      <c r="AC207">
        <f t="shared" si="88"/>
        <v>0</v>
      </c>
    </row>
    <row r="208" spans="1:29" x14ac:dyDescent="0.2">
      <c r="A208">
        <v>207</v>
      </c>
      <c r="B208">
        <f>LoanPool!L208</f>
        <v>114991.79618619259</v>
      </c>
      <c r="C208">
        <f>LoanPool!M208</f>
        <v>426907.42026260373</v>
      </c>
      <c r="D208">
        <f>LoanPool!H208</f>
        <v>8144.0694907500347</v>
      </c>
      <c r="E208">
        <f t="shared" si="89"/>
        <v>0</v>
      </c>
      <c r="F208">
        <f t="shared" si="90"/>
        <v>19202507.917229507</v>
      </c>
      <c r="G208">
        <f t="shared" si="91"/>
        <v>7081331.2110430896</v>
      </c>
      <c r="H208">
        <f t="shared" si="69"/>
        <v>8144.0694907500347</v>
      </c>
      <c r="I208">
        <f t="shared" si="70"/>
        <v>0</v>
      </c>
      <c r="J208">
        <f t="shared" si="71"/>
        <v>0</v>
      </c>
      <c r="K208">
        <f t="shared" si="72"/>
        <v>0</v>
      </c>
      <c r="L208">
        <f t="shared" si="73"/>
        <v>19202507.917229507</v>
      </c>
      <c r="M208">
        <f t="shared" si="74"/>
        <v>7073187.1415523393</v>
      </c>
      <c r="N208">
        <f>K208*Inputs!B6/12</f>
        <v>0</v>
      </c>
      <c r="O208">
        <f t="shared" si="75"/>
        <v>0</v>
      </c>
      <c r="P208">
        <f t="shared" si="76"/>
        <v>0</v>
      </c>
      <c r="Q208">
        <f>L208*Inputs!B6/12</f>
        <v>92012.017103391394</v>
      </c>
      <c r="R208">
        <f t="shared" si="77"/>
        <v>92012.017103391394</v>
      </c>
      <c r="S208">
        <f t="shared" si="78"/>
        <v>0</v>
      </c>
      <c r="T208">
        <f t="shared" si="79"/>
        <v>22979.779082801193</v>
      </c>
      <c r="U208">
        <f t="shared" si="80"/>
        <v>0</v>
      </c>
      <c r="V208">
        <f t="shared" si="81"/>
        <v>426907.42026260373</v>
      </c>
      <c r="W208">
        <f t="shared" si="82"/>
        <v>0</v>
      </c>
      <c r="X208">
        <f t="shared" si="83"/>
        <v>0</v>
      </c>
      <c r="Y208">
        <f t="shared" si="84"/>
        <v>18775600.496966902</v>
      </c>
      <c r="Z208">
        <f t="shared" si="85"/>
        <v>7073187.1415523393</v>
      </c>
      <c r="AA208">
        <f t="shared" si="86"/>
        <v>0</v>
      </c>
      <c r="AB208">
        <f t="shared" si="87"/>
        <v>0</v>
      </c>
      <c r="AC208">
        <f t="shared" si="88"/>
        <v>0</v>
      </c>
    </row>
    <row r="209" spans="1:29" x14ac:dyDescent="0.2">
      <c r="A209">
        <v>208</v>
      </c>
      <c r="B209">
        <f>LoanPool!L209</f>
        <v>113088.44591852165</v>
      </c>
      <c r="C209">
        <f>LoanPool!M209</f>
        <v>422733.38683305011</v>
      </c>
      <c r="D209">
        <f>LoanPool!H209</f>
        <v>8008.3574895766078</v>
      </c>
      <c r="E209">
        <f t="shared" si="89"/>
        <v>0</v>
      </c>
      <c r="F209">
        <f t="shared" si="90"/>
        <v>18775600.496966902</v>
      </c>
      <c r="G209">
        <f t="shared" si="91"/>
        <v>7073187.1415523393</v>
      </c>
      <c r="H209">
        <f t="shared" si="69"/>
        <v>8008.3574895766078</v>
      </c>
      <c r="I209">
        <f t="shared" si="70"/>
        <v>0</v>
      </c>
      <c r="J209">
        <f t="shared" si="71"/>
        <v>0</v>
      </c>
      <c r="K209">
        <f t="shared" si="72"/>
        <v>0</v>
      </c>
      <c r="L209">
        <f t="shared" si="73"/>
        <v>18775600.496966902</v>
      </c>
      <c r="M209">
        <f t="shared" si="74"/>
        <v>7065178.7840627627</v>
      </c>
      <c r="N209">
        <f>K209*Inputs!B6/12</f>
        <v>0</v>
      </c>
      <c r="O209">
        <f t="shared" si="75"/>
        <v>0</v>
      </c>
      <c r="P209">
        <f t="shared" si="76"/>
        <v>0</v>
      </c>
      <c r="Q209">
        <f>L209*Inputs!B6/12</f>
        <v>89966.41904796641</v>
      </c>
      <c r="R209">
        <f t="shared" si="77"/>
        <v>89966.41904796641</v>
      </c>
      <c r="S209">
        <f t="shared" si="78"/>
        <v>0</v>
      </c>
      <c r="T209">
        <f t="shared" si="79"/>
        <v>23122.026870555244</v>
      </c>
      <c r="U209">
        <f t="shared" si="80"/>
        <v>0</v>
      </c>
      <c r="V209">
        <f t="shared" si="81"/>
        <v>422733.38683305011</v>
      </c>
      <c r="W209">
        <f t="shared" si="82"/>
        <v>0</v>
      </c>
      <c r="X209">
        <f t="shared" si="83"/>
        <v>0</v>
      </c>
      <c r="Y209">
        <f t="shared" si="84"/>
        <v>18352867.110133853</v>
      </c>
      <c r="Z209">
        <f t="shared" si="85"/>
        <v>7065178.7840627627</v>
      </c>
      <c r="AA209">
        <f t="shared" si="86"/>
        <v>0</v>
      </c>
      <c r="AB209">
        <f t="shared" si="87"/>
        <v>0</v>
      </c>
      <c r="AC209">
        <f t="shared" si="88"/>
        <v>0</v>
      </c>
    </row>
    <row r="210" spans="1:29" x14ac:dyDescent="0.2">
      <c r="A210">
        <v>209</v>
      </c>
      <c r="B210">
        <f>LoanPool!L210</f>
        <v>111203.95078711017</v>
      </c>
      <c r="C210">
        <f>LoanPool!M210</f>
        <v>418595.81511324813</v>
      </c>
      <c r="D210">
        <f>LoanPool!H210</f>
        <v>7873.9914299855145</v>
      </c>
      <c r="E210">
        <f t="shared" si="89"/>
        <v>0</v>
      </c>
      <c r="F210">
        <f t="shared" si="90"/>
        <v>18352867.110133853</v>
      </c>
      <c r="G210">
        <f t="shared" si="91"/>
        <v>7065178.7840627627</v>
      </c>
      <c r="H210">
        <f t="shared" si="69"/>
        <v>7873.9914299855145</v>
      </c>
      <c r="I210">
        <f t="shared" si="70"/>
        <v>0</v>
      </c>
      <c r="J210">
        <f t="shared" si="71"/>
        <v>0</v>
      </c>
      <c r="K210">
        <f t="shared" si="72"/>
        <v>0</v>
      </c>
      <c r="L210">
        <f t="shared" si="73"/>
        <v>18352867.110133853</v>
      </c>
      <c r="M210">
        <f t="shared" si="74"/>
        <v>7057304.7926327772</v>
      </c>
      <c r="N210">
        <f>K210*Inputs!B6/12</f>
        <v>0</v>
      </c>
      <c r="O210">
        <f t="shared" si="75"/>
        <v>0</v>
      </c>
      <c r="P210">
        <f t="shared" si="76"/>
        <v>0</v>
      </c>
      <c r="Q210">
        <f>L210*Inputs!B6/12</f>
        <v>87940.821569391395</v>
      </c>
      <c r="R210">
        <f t="shared" si="77"/>
        <v>87940.821569391395</v>
      </c>
      <c r="S210">
        <f t="shared" si="78"/>
        <v>0</v>
      </c>
      <c r="T210">
        <f t="shared" si="79"/>
        <v>23263.129217718772</v>
      </c>
      <c r="U210">
        <f t="shared" si="80"/>
        <v>0</v>
      </c>
      <c r="V210">
        <f t="shared" si="81"/>
        <v>418595.81511324813</v>
      </c>
      <c r="W210">
        <f t="shared" si="82"/>
        <v>0</v>
      </c>
      <c r="X210">
        <f t="shared" si="83"/>
        <v>0</v>
      </c>
      <c r="Y210">
        <f t="shared" si="84"/>
        <v>17934271.295020606</v>
      </c>
      <c r="Z210">
        <f t="shared" si="85"/>
        <v>7057304.7926327772</v>
      </c>
      <c r="AA210">
        <f t="shared" si="86"/>
        <v>0</v>
      </c>
      <c r="AB210">
        <f t="shared" si="87"/>
        <v>0</v>
      </c>
      <c r="AC210">
        <f t="shared" si="88"/>
        <v>0</v>
      </c>
    </row>
    <row r="211" spans="1:29" x14ac:dyDescent="0.2">
      <c r="A211">
        <v>210</v>
      </c>
      <c r="B211">
        <f>LoanPool!L211</f>
        <v>109338.14538348351</v>
      </c>
      <c r="C211">
        <f>LoanPool!M211</f>
        <v>414494.39903961634</v>
      </c>
      <c r="D211">
        <f>LoanPool!H211</f>
        <v>7740.9595002297074</v>
      </c>
      <c r="E211">
        <f t="shared" si="89"/>
        <v>0</v>
      </c>
      <c r="F211">
        <f t="shared" si="90"/>
        <v>17934271.295020606</v>
      </c>
      <c r="G211">
        <f t="shared" si="91"/>
        <v>7057304.7926327772</v>
      </c>
      <c r="H211">
        <f t="shared" si="69"/>
        <v>7740.9595002297074</v>
      </c>
      <c r="I211">
        <f t="shared" si="70"/>
        <v>0</v>
      </c>
      <c r="J211">
        <f t="shared" si="71"/>
        <v>0</v>
      </c>
      <c r="K211">
        <f t="shared" si="72"/>
        <v>0</v>
      </c>
      <c r="L211">
        <f t="shared" si="73"/>
        <v>17934271.295020606</v>
      </c>
      <c r="M211">
        <f t="shared" si="74"/>
        <v>7049563.8331325473</v>
      </c>
      <c r="N211">
        <f>K211*Inputs!B6/12</f>
        <v>0</v>
      </c>
      <c r="O211">
        <f t="shared" si="75"/>
        <v>0</v>
      </c>
      <c r="P211">
        <f t="shared" si="76"/>
        <v>0</v>
      </c>
      <c r="Q211">
        <f>L211*Inputs!B6/12</f>
        <v>85935.049955307084</v>
      </c>
      <c r="R211">
        <f t="shared" si="77"/>
        <v>85935.049955307084</v>
      </c>
      <c r="S211">
        <f t="shared" si="78"/>
        <v>0</v>
      </c>
      <c r="T211">
        <f t="shared" si="79"/>
        <v>23403.095428176428</v>
      </c>
      <c r="U211">
        <f t="shared" si="80"/>
        <v>0</v>
      </c>
      <c r="V211">
        <f t="shared" si="81"/>
        <v>414494.39903961634</v>
      </c>
      <c r="W211">
        <f t="shared" si="82"/>
        <v>0</v>
      </c>
      <c r="X211">
        <f t="shared" si="83"/>
        <v>0</v>
      </c>
      <c r="Y211">
        <f t="shared" si="84"/>
        <v>17519776.895980991</v>
      </c>
      <c r="Z211">
        <f t="shared" si="85"/>
        <v>7049563.8331325473</v>
      </c>
      <c r="AA211">
        <f t="shared" si="86"/>
        <v>0</v>
      </c>
      <c r="AB211">
        <f t="shared" si="87"/>
        <v>0</v>
      </c>
      <c r="AC211">
        <f t="shared" si="88"/>
        <v>0</v>
      </c>
    </row>
    <row r="212" spans="1:29" x14ac:dyDescent="0.2">
      <c r="A212">
        <v>211</v>
      </c>
      <c r="B212">
        <f>LoanPool!L212</f>
        <v>107490.86568987169</v>
      </c>
      <c r="C212">
        <f>LoanPool!M212</f>
        <v>410428.83507786103</v>
      </c>
      <c r="D212">
        <f>LoanPool!H212</f>
        <v>7609.2499878856088</v>
      </c>
      <c r="E212">
        <f t="shared" si="89"/>
        <v>0</v>
      </c>
      <c r="F212">
        <f t="shared" si="90"/>
        <v>17519776.895980991</v>
      </c>
      <c r="G212">
        <f t="shared" si="91"/>
        <v>7049563.8331325473</v>
      </c>
      <c r="H212">
        <f t="shared" si="69"/>
        <v>7609.2499878856088</v>
      </c>
      <c r="I212">
        <f t="shared" si="70"/>
        <v>0</v>
      </c>
      <c r="J212">
        <f t="shared" si="71"/>
        <v>0</v>
      </c>
      <c r="K212">
        <f t="shared" si="72"/>
        <v>0</v>
      </c>
      <c r="L212">
        <f t="shared" si="73"/>
        <v>17519776.895980991</v>
      </c>
      <c r="M212">
        <f t="shared" si="74"/>
        <v>7041954.583144662</v>
      </c>
      <c r="N212">
        <f>K212*Inputs!B6/12</f>
        <v>0</v>
      </c>
      <c r="O212">
        <f t="shared" si="75"/>
        <v>0</v>
      </c>
      <c r="P212">
        <f t="shared" si="76"/>
        <v>0</v>
      </c>
      <c r="Q212">
        <f>L212*Inputs!B6/12</f>
        <v>83948.930959908917</v>
      </c>
      <c r="R212">
        <f t="shared" si="77"/>
        <v>83948.930959908917</v>
      </c>
      <c r="S212">
        <f t="shared" si="78"/>
        <v>0</v>
      </c>
      <c r="T212">
        <f t="shared" si="79"/>
        <v>23541.93472996277</v>
      </c>
      <c r="U212">
        <f t="shared" si="80"/>
        <v>0</v>
      </c>
      <c r="V212">
        <f t="shared" si="81"/>
        <v>410428.83507786103</v>
      </c>
      <c r="W212">
        <f t="shared" si="82"/>
        <v>0</v>
      </c>
      <c r="X212">
        <f t="shared" si="83"/>
        <v>0</v>
      </c>
      <c r="Y212">
        <f t="shared" si="84"/>
        <v>17109348.060903132</v>
      </c>
      <c r="Z212">
        <f t="shared" si="85"/>
        <v>7041954.583144662</v>
      </c>
      <c r="AA212">
        <f t="shared" si="86"/>
        <v>0</v>
      </c>
      <c r="AB212">
        <f t="shared" si="87"/>
        <v>0</v>
      </c>
      <c r="AC212">
        <f t="shared" si="88"/>
        <v>0</v>
      </c>
    </row>
    <row r="213" spans="1:29" x14ac:dyDescent="0.2">
      <c r="A213">
        <v>212</v>
      </c>
      <c r="B213">
        <f>LoanPool!L213</f>
        <v>105661.94906770904</v>
      </c>
      <c r="C213">
        <f>LoanPool!M213</f>
        <v>406398.82220220845</v>
      </c>
      <c r="D213">
        <f>LoanPool!H213</f>
        <v>7478.8512790317236</v>
      </c>
      <c r="E213">
        <f t="shared" si="89"/>
        <v>0</v>
      </c>
      <c r="F213">
        <f t="shared" si="90"/>
        <v>17109348.060903132</v>
      </c>
      <c r="G213">
        <f t="shared" si="91"/>
        <v>7041954.583144662</v>
      </c>
      <c r="H213">
        <f t="shared" si="69"/>
        <v>7478.8512790317236</v>
      </c>
      <c r="I213">
        <f t="shared" si="70"/>
        <v>0</v>
      </c>
      <c r="J213">
        <f t="shared" si="71"/>
        <v>0</v>
      </c>
      <c r="K213">
        <f t="shared" si="72"/>
        <v>0</v>
      </c>
      <c r="L213">
        <f t="shared" si="73"/>
        <v>17109348.060903132</v>
      </c>
      <c r="M213">
        <f t="shared" si="74"/>
        <v>7034475.7318656305</v>
      </c>
      <c r="N213">
        <f>K213*Inputs!B6/12</f>
        <v>0</v>
      </c>
      <c r="O213">
        <f t="shared" si="75"/>
        <v>0</v>
      </c>
      <c r="P213">
        <f t="shared" si="76"/>
        <v>0</v>
      </c>
      <c r="Q213">
        <f>L213*Inputs!B6/12</f>
        <v>81982.292791827509</v>
      </c>
      <c r="R213">
        <f t="shared" si="77"/>
        <v>81982.292791827509</v>
      </c>
      <c r="S213">
        <f t="shared" si="78"/>
        <v>0</v>
      </c>
      <c r="T213">
        <f t="shared" si="79"/>
        <v>23679.656275881527</v>
      </c>
      <c r="U213">
        <f t="shared" si="80"/>
        <v>0</v>
      </c>
      <c r="V213">
        <f t="shared" si="81"/>
        <v>406398.82220220845</v>
      </c>
      <c r="W213">
        <f t="shared" si="82"/>
        <v>0</v>
      </c>
      <c r="X213">
        <f t="shared" si="83"/>
        <v>0</v>
      </c>
      <c r="Y213">
        <f t="shared" si="84"/>
        <v>16702949.238700923</v>
      </c>
      <c r="Z213">
        <f t="shared" si="85"/>
        <v>7034475.7318656305</v>
      </c>
      <c r="AA213">
        <f t="shared" si="86"/>
        <v>0</v>
      </c>
      <c r="AB213">
        <f t="shared" si="87"/>
        <v>0</v>
      </c>
      <c r="AC213">
        <f t="shared" si="88"/>
        <v>0</v>
      </c>
    </row>
    <row r="214" spans="1:29" x14ac:dyDescent="0.2">
      <c r="A214">
        <v>213</v>
      </c>
      <c r="B214">
        <f>LoanPool!L214</f>
        <v>103851.23424622863</v>
      </c>
      <c r="C214">
        <f>LoanPool!M214</f>
        <v>402404.06187480479</v>
      </c>
      <c r="D214">
        <f>LoanPool!H214</f>
        <v>7349.7518574340011</v>
      </c>
      <c r="E214">
        <f t="shared" si="89"/>
        <v>0</v>
      </c>
      <c r="F214">
        <f t="shared" si="90"/>
        <v>16702949.238700923</v>
      </c>
      <c r="G214">
        <f t="shared" si="91"/>
        <v>7034475.7318656305</v>
      </c>
      <c r="H214">
        <f t="shared" si="69"/>
        <v>7349.7518574340011</v>
      </c>
      <c r="I214">
        <f t="shared" si="70"/>
        <v>0</v>
      </c>
      <c r="J214">
        <f t="shared" si="71"/>
        <v>0</v>
      </c>
      <c r="K214">
        <f t="shared" si="72"/>
        <v>0</v>
      </c>
      <c r="L214">
        <f t="shared" si="73"/>
        <v>16702949.238700923</v>
      </c>
      <c r="M214">
        <f t="shared" si="74"/>
        <v>7027125.9800081961</v>
      </c>
      <c r="N214">
        <f>K214*Inputs!B6/12</f>
        <v>0</v>
      </c>
      <c r="O214">
        <f t="shared" si="75"/>
        <v>0</v>
      </c>
      <c r="P214">
        <f t="shared" si="76"/>
        <v>0</v>
      </c>
      <c r="Q214">
        <f>L214*Inputs!B6/12</f>
        <v>80034.965102108588</v>
      </c>
      <c r="R214">
        <f t="shared" si="77"/>
        <v>80034.965102108588</v>
      </c>
      <c r="S214">
        <f t="shared" si="78"/>
        <v>0</v>
      </c>
      <c r="T214">
        <f t="shared" si="79"/>
        <v>23816.269144120044</v>
      </c>
      <c r="U214">
        <f t="shared" si="80"/>
        <v>0</v>
      </c>
      <c r="V214">
        <f t="shared" si="81"/>
        <v>402404.06187480479</v>
      </c>
      <c r="W214">
        <f t="shared" si="82"/>
        <v>0</v>
      </c>
      <c r="X214">
        <f t="shared" si="83"/>
        <v>0</v>
      </c>
      <c r="Y214">
        <f t="shared" si="84"/>
        <v>16300545.176826118</v>
      </c>
      <c r="Z214">
        <f t="shared" si="85"/>
        <v>7027125.9800081961</v>
      </c>
      <c r="AA214">
        <f t="shared" si="86"/>
        <v>0</v>
      </c>
      <c r="AB214">
        <f t="shared" si="87"/>
        <v>0</v>
      </c>
      <c r="AC214">
        <f t="shared" si="88"/>
        <v>0</v>
      </c>
    </row>
    <row r="215" spans="1:29" x14ac:dyDescent="0.2">
      <c r="A215">
        <v>214</v>
      </c>
      <c r="B215">
        <f>LoanPool!L215</f>
        <v>102058.56131115006</v>
      </c>
      <c r="C215">
        <f>LoanPool!M215</f>
        <v>398444.2580252862</v>
      </c>
      <c r="D215">
        <f>LoanPool!H215</f>
        <v>7221.9403037378897</v>
      </c>
      <c r="E215">
        <f t="shared" si="89"/>
        <v>0</v>
      </c>
      <c r="F215">
        <f t="shared" si="90"/>
        <v>16300545.176826118</v>
      </c>
      <c r="G215">
        <f t="shared" si="91"/>
        <v>7027125.9800081961</v>
      </c>
      <c r="H215">
        <f t="shared" si="69"/>
        <v>7221.9403037378897</v>
      </c>
      <c r="I215">
        <f t="shared" si="70"/>
        <v>0</v>
      </c>
      <c r="J215">
        <f t="shared" si="71"/>
        <v>0</v>
      </c>
      <c r="K215">
        <f t="shared" si="72"/>
        <v>0</v>
      </c>
      <c r="L215">
        <f t="shared" si="73"/>
        <v>16300545.176826118</v>
      </c>
      <c r="M215">
        <f t="shared" si="74"/>
        <v>7019904.0397044579</v>
      </c>
      <c r="N215">
        <f>K215*Inputs!B6/12</f>
        <v>0</v>
      </c>
      <c r="O215">
        <f t="shared" si="75"/>
        <v>0</v>
      </c>
      <c r="P215">
        <f t="shared" si="76"/>
        <v>0</v>
      </c>
      <c r="Q215">
        <f>L215*Inputs!B6/12</f>
        <v>78106.77897229181</v>
      </c>
      <c r="R215">
        <f t="shared" si="77"/>
        <v>78106.77897229181</v>
      </c>
      <c r="S215">
        <f t="shared" si="78"/>
        <v>0</v>
      </c>
      <c r="T215">
        <f t="shared" si="79"/>
        <v>23951.782338858247</v>
      </c>
      <c r="U215">
        <f t="shared" si="80"/>
        <v>0</v>
      </c>
      <c r="V215">
        <f t="shared" si="81"/>
        <v>398444.2580252862</v>
      </c>
      <c r="W215">
        <f t="shared" si="82"/>
        <v>0</v>
      </c>
      <c r="X215">
        <f t="shared" si="83"/>
        <v>0</v>
      </c>
      <c r="Y215">
        <f t="shared" si="84"/>
        <v>15902100.918800831</v>
      </c>
      <c r="Z215">
        <f t="shared" si="85"/>
        <v>7019904.0397044579</v>
      </c>
      <c r="AA215">
        <f t="shared" si="86"/>
        <v>0</v>
      </c>
      <c r="AB215">
        <f t="shared" si="87"/>
        <v>0</v>
      </c>
      <c r="AC215">
        <f t="shared" si="88"/>
        <v>0</v>
      </c>
    </row>
    <row r="216" spans="1:29" x14ac:dyDescent="0.2">
      <c r="A216">
        <v>215</v>
      </c>
      <c r="B216">
        <f>LoanPool!L216</f>
        <v>100283.77169346059</v>
      </c>
      <c r="C216">
        <f>LoanPool!M216</f>
        <v>394519.11703051563</v>
      </c>
      <c r="D216">
        <f>LoanPool!H216</f>
        <v>7095.4052946670336</v>
      </c>
      <c r="E216">
        <f t="shared" si="89"/>
        <v>0</v>
      </c>
      <c r="F216">
        <f t="shared" si="90"/>
        <v>15902100.918800831</v>
      </c>
      <c r="G216">
        <f t="shared" si="91"/>
        <v>7019904.0397044579</v>
      </c>
      <c r="H216">
        <f t="shared" si="69"/>
        <v>7095.4052946670336</v>
      </c>
      <c r="I216">
        <f t="shared" si="70"/>
        <v>0</v>
      </c>
      <c r="J216">
        <f t="shared" si="71"/>
        <v>0</v>
      </c>
      <c r="K216">
        <f t="shared" si="72"/>
        <v>0</v>
      </c>
      <c r="L216">
        <f t="shared" si="73"/>
        <v>15902100.918800831</v>
      </c>
      <c r="M216">
        <f t="shared" si="74"/>
        <v>7012808.6344097909</v>
      </c>
      <c r="N216">
        <f>K216*Inputs!B6/12</f>
        <v>0</v>
      </c>
      <c r="O216">
        <f t="shared" si="75"/>
        <v>0</v>
      </c>
      <c r="P216">
        <f t="shared" si="76"/>
        <v>0</v>
      </c>
      <c r="Q216">
        <f>L216*Inputs!B6/12</f>
        <v>76197.566902587321</v>
      </c>
      <c r="R216">
        <f t="shared" si="77"/>
        <v>76197.566902587321</v>
      </c>
      <c r="S216">
        <f t="shared" si="78"/>
        <v>0</v>
      </c>
      <c r="T216">
        <f t="shared" si="79"/>
        <v>24086.204790873264</v>
      </c>
      <c r="U216">
        <f t="shared" si="80"/>
        <v>0</v>
      </c>
      <c r="V216">
        <f t="shared" si="81"/>
        <v>394519.11703051563</v>
      </c>
      <c r="W216">
        <f t="shared" si="82"/>
        <v>0</v>
      </c>
      <c r="X216">
        <f t="shared" si="83"/>
        <v>0</v>
      </c>
      <c r="Y216">
        <f t="shared" si="84"/>
        <v>15507581.801770315</v>
      </c>
      <c r="Z216">
        <f t="shared" si="85"/>
        <v>7012808.6344097909</v>
      </c>
      <c r="AA216">
        <f t="shared" si="86"/>
        <v>0</v>
      </c>
      <c r="AB216">
        <f t="shared" si="87"/>
        <v>0</v>
      </c>
      <c r="AC216">
        <f t="shared" si="88"/>
        <v>0</v>
      </c>
    </row>
    <row r="217" spans="1:29" x14ac:dyDescent="0.2">
      <c r="A217">
        <v>216</v>
      </c>
      <c r="B217">
        <f>LoanPool!L217</f>
        <v>98526.708158287904</v>
      </c>
      <c r="C217">
        <f>LoanPool!M217</f>
        <v>390628.3476944865</v>
      </c>
      <c r="D217">
        <f>LoanPool!H217</f>
        <v>6970.135602228539</v>
      </c>
      <c r="E217">
        <f t="shared" si="89"/>
        <v>0</v>
      </c>
      <c r="F217">
        <f t="shared" si="90"/>
        <v>15507581.801770315</v>
      </c>
      <c r="G217">
        <f t="shared" si="91"/>
        <v>7012808.6344097909</v>
      </c>
      <c r="H217">
        <f t="shared" si="69"/>
        <v>6970.135602228539</v>
      </c>
      <c r="I217">
        <f t="shared" si="70"/>
        <v>0</v>
      </c>
      <c r="J217">
        <f t="shared" si="71"/>
        <v>0</v>
      </c>
      <c r="K217">
        <f t="shared" si="72"/>
        <v>0</v>
      </c>
      <c r="L217">
        <f t="shared" si="73"/>
        <v>15507581.801770315</v>
      </c>
      <c r="M217">
        <f t="shared" si="74"/>
        <v>7005838.4988075625</v>
      </c>
      <c r="N217">
        <f>K217*Inputs!B6/12</f>
        <v>0</v>
      </c>
      <c r="O217">
        <f t="shared" si="75"/>
        <v>0</v>
      </c>
      <c r="P217">
        <f t="shared" si="76"/>
        <v>0</v>
      </c>
      <c r="Q217">
        <f>L217*Inputs!B6/12</f>
        <v>74307.162800149425</v>
      </c>
      <c r="R217">
        <f t="shared" si="77"/>
        <v>74307.162800149425</v>
      </c>
      <c r="S217">
        <f t="shared" si="78"/>
        <v>0</v>
      </c>
      <c r="T217">
        <f t="shared" si="79"/>
        <v>24219.545358138479</v>
      </c>
      <c r="U217">
        <f t="shared" si="80"/>
        <v>0</v>
      </c>
      <c r="V217">
        <f t="shared" si="81"/>
        <v>390628.3476944865</v>
      </c>
      <c r="W217">
        <f t="shared" si="82"/>
        <v>0</v>
      </c>
      <c r="X217">
        <f t="shared" si="83"/>
        <v>0</v>
      </c>
      <c r="Y217">
        <f t="shared" si="84"/>
        <v>15116953.454075828</v>
      </c>
      <c r="Z217">
        <f t="shared" si="85"/>
        <v>7005838.4988075625</v>
      </c>
      <c r="AA217">
        <f t="shared" si="86"/>
        <v>0</v>
      </c>
      <c r="AB217">
        <f t="shared" si="87"/>
        <v>0</v>
      </c>
      <c r="AC217">
        <f t="shared" si="88"/>
        <v>0</v>
      </c>
    </row>
    <row r="218" spans="1:29" x14ac:dyDescent="0.2">
      <c r="A218">
        <v>217</v>
      </c>
      <c r="B218">
        <f>LoanPool!L218</f>
        <v>96787.214793864783</v>
      </c>
      <c r="C218">
        <f>LoanPool!M218</f>
        <v>386771.66122838913</v>
      </c>
      <c r="D218">
        <f>LoanPool!H218</f>
        <v>6846.1200929247816</v>
      </c>
      <c r="E218">
        <f t="shared" si="89"/>
        <v>0</v>
      </c>
      <c r="F218">
        <f t="shared" si="90"/>
        <v>15116953.454075828</v>
      </c>
      <c r="G218">
        <f t="shared" si="91"/>
        <v>7005838.4988075625</v>
      </c>
      <c r="H218">
        <f t="shared" si="69"/>
        <v>6846.1200929247816</v>
      </c>
      <c r="I218">
        <f t="shared" si="70"/>
        <v>0</v>
      </c>
      <c r="J218">
        <f t="shared" si="71"/>
        <v>0</v>
      </c>
      <c r="K218">
        <f t="shared" si="72"/>
        <v>0</v>
      </c>
      <c r="L218">
        <f t="shared" si="73"/>
        <v>15116953.454075828</v>
      </c>
      <c r="M218">
        <f t="shared" si="74"/>
        <v>6998992.3787146378</v>
      </c>
      <c r="N218">
        <f>K218*Inputs!B6/12</f>
        <v>0</v>
      </c>
      <c r="O218">
        <f t="shared" si="75"/>
        <v>0</v>
      </c>
      <c r="P218">
        <f t="shared" si="76"/>
        <v>0</v>
      </c>
      <c r="Q218">
        <f>L218*Inputs!B6/12</f>
        <v>72435.401967446684</v>
      </c>
      <c r="R218">
        <f t="shared" si="77"/>
        <v>72435.401967446684</v>
      </c>
      <c r="S218">
        <f t="shared" si="78"/>
        <v>0</v>
      </c>
      <c r="T218">
        <f t="shared" si="79"/>
        <v>24351.8128264181</v>
      </c>
      <c r="U218">
        <f t="shared" si="80"/>
        <v>0</v>
      </c>
      <c r="V218">
        <f t="shared" si="81"/>
        <v>386771.66122838913</v>
      </c>
      <c r="W218">
        <f t="shared" si="82"/>
        <v>0</v>
      </c>
      <c r="X218">
        <f t="shared" si="83"/>
        <v>0</v>
      </c>
      <c r="Y218">
        <f t="shared" si="84"/>
        <v>14730181.79284744</v>
      </c>
      <c r="Z218">
        <f t="shared" si="85"/>
        <v>6998992.3787146378</v>
      </c>
      <c r="AA218">
        <f t="shared" si="86"/>
        <v>0</v>
      </c>
      <c r="AB218">
        <f t="shared" si="87"/>
        <v>0</v>
      </c>
      <c r="AC218">
        <f t="shared" si="88"/>
        <v>0</v>
      </c>
    </row>
    <row r="219" spans="1:29" x14ac:dyDescent="0.2">
      <c r="A219">
        <v>218</v>
      </c>
      <c r="B219">
        <f>LoanPool!L219</f>
        <v>95065.137000584029</v>
      </c>
      <c r="C219">
        <f>LoanPool!M219</f>
        <v>382948.77123084263</v>
      </c>
      <c r="D219">
        <f>LoanPool!H219</f>
        <v>6723.3477269716823</v>
      </c>
      <c r="E219">
        <f t="shared" si="89"/>
        <v>0</v>
      </c>
      <c r="F219">
        <f t="shared" si="90"/>
        <v>14730181.79284744</v>
      </c>
      <c r="G219">
        <f t="shared" si="91"/>
        <v>6998992.3787146378</v>
      </c>
      <c r="H219">
        <f t="shared" si="69"/>
        <v>6723.3477269716823</v>
      </c>
      <c r="I219">
        <f t="shared" si="70"/>
        <v>0</v>
      </c>
      <c r="J219">
        <f t="shared" si="71"/>
        <v>0</v>
      </c>
      <c r="K219">
        <f t="shared" si="72"/>
        <v>0</v>
      </c>
      <c r="L219">
        <f t="shared" si="73"/>
        <v>14730181.79284744</v>
      </c>
      <c r="M219">
        <f t="shared" si="74"/>
        <v>6992269.030987666</v>
      </c>
      <c r="N219">
        <f>K219*Inputs!B6/12</f>
        <v>0</v>
      </c>
      <c r="O219">
        <f t="shared" si="75"/>
        <v>0</v>
      </c>
      <c r="P219">
        <f t="shared" si="76"/>
        <v>0</v>
      </c>
      <c r="Q219">
        <f>L219*Inputs!B6/12</f>
        <v>70582.12109072732</v>
      </c>
      <c r="R219">
        <f t="shared" si="77"/>
        <v>70582.12109072732</v>
      </c>
      <c r="S219">
        <f t="shared" si="78"/>
        <v>0</v>
      </c>
      <c r="T219">
        <f t="shared" si="79"/>
        <v>24483.015909856709</v>
      </c>
      <c r="U219">
        <f t="shared" si="80"/>
        <v>0</v>
      </c>
      <c r="V219">
        <f t="shared" si="81"/>
        <v>382948.77123084263</v>
      </c>
      <c r="W219">
        <f t="shared" si="82"/>
        <v>0</v>
      </c>
      <c r="X219">
        <f t="shared" si="83"/>
        <v>0</v>
      </c>
      <c r="Y219">
        <f t="shared" si="84"/>
        <v>14347233.021616597</v>
      </c>
      <c r="Z219">
        <f t="shared" si="85"/>
        <v>6992269.030987666</v>
      </c>
      <c r="AA219">
        <f t="shared" si="86"/>
        <v>0</v>
      </c>
      <c r="AB219">
        <f t="shared" si="87"/>
        <v>0</v>
      </c>
      <c r="AC219">
        <f t="shared" si="88"/>
        <v>0</v>
      </c>
    </row>
    <row r="220" spans="1:29" x14ac:dyDescent="0.2">
      <c r="A220">
        <v>219</v>
      </c>
      <c r="B220">
        <f>LoanPool!L220</f>
        <v>93360.321480143612</v>
      </c>
      <c r="C220">
        <f>LoanPool!M220</f>
        <v>379159.39366828691</v>
      </c>
      <c r="D220">
        <f>LoanPool!H220</f>
        <v>6601.8075575234034</v>
      </c>
      <c r="E220">
        <f t="shared" si="89"/>
        <v>0</v>
      </c>
      <c r="F220">
        <f t="shared" si="90"/>
        <v>14347233.021616597</v>
      </c>
      <c r="G220">
        <f t="shared" si="91"/>
        <v>6992269.030987666</v>
      </c>
      <c r="H220">
        <f t="shared" si="69"/>
        <v>6601.8075575234034</v>
      </c>
      <c r="I220">
        <f t="shared" si="70"/>
        <v>0</v>
      </c>
      <c r="J220">
        <f t="shared" si="71"/>
        <v>0</v>
      </c>
      <c r="K220">
        <f t="shared" si="72"/>
        <v>0</v>
      </c>
      <c r="L220">
        <f t="shared" si="73"/>
        <v>14347233.021616597</v>
      </c>
      <c r="M220">
        <f t="shared" si="74"/>
        <v>6985667.2234301427</v>
      </c>
      <c r="N220">
        <f>K220*Inputs!B6/12</f>
        <v>0</v>
      </c>
      <c r="O220">
        <f t="shared" si="75"/>
        <v>0</v>
      </c>
      <c r="P220">
        <f t="shared" si="76"/>
        <v>0</v>
      </c>
      <c r="Q220">
        <f>L220*Inputs!B6/12</f>
        <v>68747.15822857953</v>
      </c>
      <c r="R220">
        <f t="shared" si="77"/>
        <v>68747.15822857953</v>
      </c>
      <c r="S220">
        <f t="shared" si="78"/>
        <v>0</v>
      </c>
      <c r="T220">
        <f t="shared" si="79"/>
        <v>24613.163251564081</v>
      </c>
      <c r="U220">
        <f t="shared" si="80"/>
        <v>0</v>
      </c>
      <c r="V220">
        <f t="shared" si="81"/>
        <v>379159.39366828691</v>
      </c>
      <c r="W220">
        <f t="shared" si="82"/>
        <v>0</v>
      </c>
      <c r="X220">
        <f t="shared" si="83"/>
        <v>0</v>
      </c>
      <c r="Y220">
        <f t="shared" si="84"/>
        <v>13968073.62794831</v>
      </c>
      <c r="Z220">
        <f t="shared" si="85"/>
        <v>6985667.2234301427</v>
      </c>
      <c r="AA220">
        <f t="shared" si="86"/>
        <v>0</v>
      </c>
      <c r="AB220">
        <f t="shared" si="87"/>
        <v>0</v>
      </c>
      <c r="AC220">
        <f t="shared" si="88"/>
        <v>0</v>
      </c>
    </row>
    <row r="221" spans="1:29" x14ac:dyDescent="0.2">
      <c r="A221">
        <v>220</v>
      </c>
      <c r="B221">
        <f>LoanPool!L221</f>
        <v>91672.616224780679</v>
      </c>
      <c r="C221">
        <f>LoanPool!M221</f>
        <v>375403.24685553653</v>
      </c>
      <c r="D221">
        <f>LoanPool!H221</f>
        <v>6481.4887299034208</v>
      </c>
      <c r="E221">
        <f t="shared" si="89"/>
        <v>0</v>
      </c>
      <c r="F221">
        <f t="shared" si="90"/>
        <v>13968073.62794831</v>
      </c>
      <c r="G221">
        <f t="shared" si="91"/>
        <v>6985667.2234301427</v>
      </c>
      <c r="H221">
        <f t="shared" si="69"/>
        <v>6481.4887299034208</v>
      </c>
      <c r="I221">
        <f t="shared" si="70"/>
        <v>0</v>
      </c>
      <c r="J221">
        <f t="shared" si="71"/>
        <v>0</v>
      </c>
      <c r="K221">
        <f t="shared" si="72"/>
        <v>0</v>
      </c>
      <c r="L221">
        <f t="shared" si="73"/>
        <v>13968073.62794831</v>
      </c>
      <c r="M221">
        <f t="shared" si="74"/>
        <v>6979185.7347002393</v>
      </c>
      <c r="N221">
        <f>K221*Inputs!B6/12</f>
        <v>0</v>
      </c>
      <c r="O221">
        <f t="shared" si="75"/>
        <v>0</v>
      </c>
      <c r="P221">
        <f t="shared" si="76"/>
        <v>0</v>
      </c>
      <c r="Q221">
        <f>L221*Inputs!B6/12</f>
        <v>66930.352800585664</v>
      </c>
      <c r="R221">
        <f t="shared" si="77"/>
        <v>66930.352800585664</v>
      </c>
      <c r="S221">
        <f t="shared" si="78"/>
        <v>0</v>
      </c>
      <c r="T221">
        <f t="shared" si="79"/>
        <v>24742.263424195015</v>
      </c>
      <c r="U221">
        <f t="shared" si="80"/>
        <v>0</v>
      </c>
      <c r="V221">
        <f t="shared" si="81"/>
        <v>375403.24685553653</v>
      </c>
      <c r="W221">
        <f t="shared" si="82"/>
        <v>0</v>
      </c>
      <c r="X221">
        <f t="shared" si="83"/>
        <v>0</v>
      </c>
      <c r="Y221">
        <f t="shared" si="84"/>
        <v>13592670.381092774</v>
      </c>
      <c r="Z221">
        <f t="shared" si="85"/>
        <v>6979185.7347002393</v>
      </c>
      <c r="AA221">
        <f t="shared" si="86"/>
        <v>0</v>
      </c>
      <c r="AB221">
        <f t="shared" si="87"/>
        <v>0</v>
      </c>
      <c r="AC221">
        <f t="shared" si="88"/>
        <v>0</v>
      </c>
    </row>
    <row r="222" spans="1:29" x14ac:dyDescent="0.2">
      <c r="A222">
        <v>221</v>
      </c>
      <c r="B222">
        <f>LoanPool!L222</f>
        <v>90001.870506594394</v>
      </c>
      <c r="C222">
        <f>LoanPool!M222</f>
        <v>371680.051436493</v>
      </c>
      <c r="D222">
        <f>LoanPool!H222</f>
        <v>6362.3804808419072</v>
      </c>
      <c r="E222">
        <f t="shared" si="89"/>
        <v>0</v>
      </c>
      <c r="F222">
        <f t="shared" si="90"/>
        <v>13592670.381092774</v>
      </c>
      <c r="G222">
        <f t="shared" si="91"/>
        <v>6979185.7347002393</v>
      </c>
      <c r="H222">
        <f t="shared" si="69"/>
        <v>6362.3804808419072</v>
      </c>
      <c r="I222">
        <f t="shared" si="70"/>
        <v>0</v>
      </c>
      <c r="J222">
        <f t="shared" si="71"/>
        <v>0</v>
      </c>
      <c r="K222">
        <f t="shared" si="72"/>
        <v>0</v>
      </c>
      <c r="L222">
        <f t="shared" si="73"/>
        <v>13592670.381092774</v>
      </c>
      <c r="M222">
        <f t="shared" si="74"/>
        <v>6972823.3542193975</v>
      </c>
      <c r="N222">
        <f>K222*Inputs!B6/12</f>
        <v>0</v>
      </c>
      <c r="O222">
        <f t="shared" si="75"/>
        <v>0</v>
      </c>
      <c r="P222">
        <f t="shared" si="76"/>
        <v>0</v>
      </c>
      <c r="Q222">
        <f>L222*Inputs!B6/12</f>
        <v>65131.54557606954</v>
      </c>
      <c r="R222">
        <f t="shared" si="77"/>
        <v>65131.54557606954</v>
      </c>
      <c r="S222">
        <f t="shared" si="78"/>
        <v>0</v>
      </c>
      <c r="T222">
        <f t="shared" si="79"/>
        <v>24870.324930524854</v>
      </c>
      <c r="U222">
        <f t="shared" si="80"/>
        <v>0</v>
      </c>
      <c r="V222">
        <f t="shared" si="81"/>
        <v>371680.051436493</v>
      </c>
      <c r="W222">
        <f t="shared" si="82"/>
        <v>0</v>
      </c>
      <c r="X222">
        <f t="shared" si="83"/>
        <v>0</v>
      </c>
      <c r="Y222">
        <f t="shared" si="84"/>
        <v>13220990.329656281</v>
      </c>
      <c r="Z222">
        <f t="shared" si="85"/>
        <v>6972823.3542193975</v>
      </c>
      <c r="AA222">
        <f t="shared" si="86"/>
        <v>0</v>
      </c>
      <c r="AB222">
        <f t="shared" si="87"/>
        <v>0</v>
      </c>
      <c r="AC222">
        <f t="shared" si="88"/>
        <v>0</v>
      </c>
    </row>
    <row r="223" spans="1:29" x14ac:dyDescent="0.2">
      <c r="A223">
        <v>222</v>
      </c>
      <c r="B223">
        <f>LoanPool!L223</f>
        <v>88347.934866956042</v>
      </c>
      <c r="C223">
        <f>LoanPool!M223</f>
        <v>367989.53036501521</v>
      </c>
      <c r="D223">
        <f>LoanPool!H223</f>
        <v>6244.4721377193828</v>
      </c>
      <c r="E223">
        <f t="shared" si="89"/>
        <v>0</v>
      </c>
      <c r="F223">
        <f t="shared" si="90"/>
        <v>13220990.329656281</v>
      </c>
      <c r="G223">
        <f t="shared" si="91"/>
        <v>6972823.3542193975</v>
      </c>
      <c r="H223">
        <f t="shared" si="69"/>
        <v>6244.4721377193828</v>
      </c>
      <c r="I223">
        <f t="shared" si="70"/>
        <v>0</v>
      </c>
      <c r="J223">
        <f t="shared" si="71"/>
        <v>0</v>
      </c>
      <c r="K223">
        <f t="shared" si="72"/>
        <v>0</v>
      </c>
      <c r="L223">
        <f t="shared" si="73"/>
        <v>13220990.329656281</v>
      </c>
      <c r="M223">
        <f t="shared" si="74"/>
        <v>6966578.8820816781</v>
      </c>
      <c r="N223">
        <f>K223*Inputs!B6/12</f>
        <v>0</v>
      </c>
      <c r="O223">
        <f t="shared" si="75"/>
        <v>0</v>
      </c>
      <c r="P223">
        <f t="shared" si="76"/>
        <v>0</v>
      </c>
      <c r="Q223">
        <f>L223*Inputs!B6/12</f>
        <v>63350.578662936343</v>
      </c>
      <c r="R223">
        <f t="shared" si="77"/>
        <v>63350.578662936343</v>
      </c>
      <c r="S223">
        <f t="shared" si="78"/>
        <v>0</v>
      </c>
      <c r="T223">
        <f t="shared" si="79"/>
        <v>24997.356204019699</v>
      </c>
      <c r="U223">
        <f t="shared" si="80"/>
        <v>0</v>
      </c>
      <c r="V223">
        <f t="shared" si="81"/>
        <v>367989.53036501521</v>
      </c>
      <c r="W223">
        <f t="shared" si="82"/>
        <v>0</v>
      </c>
      <c r="X223">
        <f t="shared" si="83"/>
        <v>0</v>
      </c>
      <c r="Y223">
        <f t="shared" si="84"/>
        <v>12853000.799291266</v>
      </c>
      <c r="Z223">
        <f t="shared" si="85"/>
        <v>6966578.8820816781</v>
      </c>
      <c r="AA223">
        <f t="shared" si="86"/>
        <v>0</v>
      </c>
      <c r="AB223">
        <f t="shared" si="87"/>
        <v>0</v>
      </c>
      <c r="AC223">
        <f t="shared" si="88"/>
        <v>0</v>
      </c>
    </row>
    <row r="224" spans="1:29" x14ac:dyDescent="0.2">
      <c r="A224">
        <v>223</v>
      </c>
      <c r="B224">
        <f>LoanPool!L224</f>
        <v>86710.661106006562</v>
      </c>
      <c r="C224">
        <f>LoanPool!M224</f>
        <v>364331.40888594737</v>
      </c>
      <c r="D224">
        <f>LoanPool!H224</f>
        <v>6127.7531178165791</v>
      </c>
      <c r="E224">
        <f t="shared" si="89"/>
        <v>0</v>
      </c>
      <c r="F224">
        <f t="shared" si="90"/>
        <v>12853000.799291266</v>
      </c>
      <c r="G224">
        <f t="shared" si="91"/>
        <v>6966578.8820816781</v>
      </c>
      <c r="H224">
        <f t="shared" si="69"/>
        <v>6127.7531178165791</v>
      </c>
      <c r="I224">
        <f t="shared" si="70"/>
        <v>0</v>
      </c>
      <c r="J224">
        <f t="shared" si="71"/>
        <v>0</v>
      </c>
      <c r="K224">
        <f t="shared" si="72"/>
        <v>0</v>
      </c>
      <c r="L224">
        <f t="shared" si="73"/>
        <v>12853000.799291266</v>
      </c>
      <c r="M224">
        <f t="shared" si="74"/>
        <v>6960451.1289638616</v>
      </c>
      <c r="N224">
        <f>K224*Inputs!B6/12</f>
        <v>0</v>
      </c>
      <c r="O224">
        <f t="shared" si="75"/>
        <v>0</v>
      </c>
      <c r="P224">
        <f t="shared" si="76"/>
        <v>0</v>
      </c>
      <c r="Q224">
        <f>L224*Inputs!B6/12</f>
        <v>61587.295496603991</v>
      </c>
      <c r="R224">
        <f t="shared" si="77"/>
        <v>61587.295496603991</v>
      </c>
      <c r="S224">
        <f t="shared" si="78"/>
        <v>0</v>
      </c>
      <c r="T224">
        <f t="shared" si="79"/>
        <v>25123.365609402572</v>
      </c>
      <c r="U224">
        <f t="shared" si="80"/>
        <v>0</v>
      </c>
      <c r="V224">
        <f t="shared" si="81"/>
        <v>364331.40888594737</v>
      </c>
      <c r="W224">
        <f t="shared" si="82"/>
        <v>0</v>
      </c>
      <c r="X224">
        <f t="shared" si="83"/>
        <v>0</v>
      </c>
      <c r="Y224">
        <f t="shared" si="84"/>
        <v>12488669.39040532</v>
      </c>
      <c r="Z224">
        <f t="shared" si="85"/>
        <v>6960451.1289638616</v>
      </c>
      <c r="AA224">
        <f t="shared" si="86"/>
        <v>0</v>
      </c>
      <c r="AB224">
        <f t="shared" si="87"/>
        <v>0</v>
      </c>
      <c r="AC224">
        <f t="shared" si="88"/>
        <v>0</v>
      </c>
    </row>
    <row r="225" spans="1:29" x14ac:dyDescent="0.2">
      <c r="A225">
        <v>224</v>
      </c>
      <c r="B225">
        <f>LoanPool!L225</f>
        <v>85089.902272240113</v>
      </c>
      <c r="C225">
        <f>LoanPool!M225</f>
        <v>360705.41451630078</v>
      </c>
      <c r="D225">
        <f>LoanPool!H225</f>
        <v>6012.2129275704665</v>
      </c>
      <c r="E225">
        <f t="shared" si="89"/>
        <v>0</v>
      </c>
      <c r="F225">
        <f t="shared" si="90"/>
        <v>12488669.39040532</v>
      </c>
      <c r="G225">
        <f t="shared" si="91"/>
        <v>6960451.1289638616</v>
      </c>
      <c r="H225">
        <f t="shared" si="69"/>
        <v>6012.2129275704665</v>
      </c>
      <c r="I225">
        <f t="shared" si="70"/>
        <v>0</v>
      </c>
      <c r="J225">
        <f t="shared" si="71"/>
        <v>0</v>
      </c>
      <c r="K225">
        <f t="shared" si="72"/>
        <v>0</v>
      </c>
      <c r="L225">
        <f t="shared" si="73"/>
        <v>12488669.39040532</v>
      </c>
      <c r="M225">
        <f t="shared" si="74"/>
        <v>6954438.916036291</v>
      </c>
      <c r="N225">
        <f>K225*Inputs!B6/12</f>
        <v>0</v>
      </c>
      <c r="O225">
        <f t="shared" si="75"/>
        <v>0</v>
      </c>
      <c r="P225">
        <f t="shared" si="76"/>
        <v>0</v>
      </c>
      <c r="Q225">
        <f>L225*Inputs!B6/12</f>
        <v>59841.540829025493</v>
      </c>
      <c r="R225">
        <f t="shared" si="77"/>
        <v>59841.540829025493</v>
      </c>
      <c r="S225">
        <f t="shared" si="78"/>
        <v>0</v>
      </c>
      <c r="T225">
        <f t="shared" si="79"/>
        <v>25248.361443214621</v>
      </c>
      <c r="U225">
        <f t="shared" si="80"/>
        <v>0</v>
      </c>
      <c r="V225">
        <f t="shared" si="81"/>
        <v>360705.41451630078</v>
      </c>
      <c r="W225">
        <f t="shared" si="82"/>
        <v>0</v>
      </c>
      <c r="X225">
        <f t="shared" si="83"/>
        <v>0</v>
      </c>
      <c r="Y225">
        <f t="shared" si="84"/>
        <v>12127963.97588902</v>
      </c>
      <c r="Z225">
        <f t="shared" si="85"/>
        <v>6954438.916036291</v>
      </c>
      <c r="AA225">
        <f t="shared" si="86"/>
        <v>0</v>
      </c>
      <c r="AB225">
        <f t="shared" si="87"/>
        <v>0</v>
      </c>
      <c r="AC225">
        <f t="shared" si="88"/>
        <v>0</v>
      </c>
    </row>
    <row r="226" spans="1:29" x14ac:dyDescent="0.2">
      <c r="A226">
        <v>225</v>
      </c>
      <c r="B226">
        <f>LoanPool!L226</f>
        <v>83485.512652173158</v>
      </c>
      <c r="C226">
        <f>LoanPool!M226</f>
        <v>357111.27702659118</v>
      </c>
      <c r="D226">
        <f>LoanPool!H226</f>
        <v>5897.8411618363962</v>
      </c>
      <c r="E226">
        <f t="shared" si="89"/>
        <v>0</v>
      </c>
      <c r="F226">
        <f t="shared" si="90"/>
        <v>12127963.97588902</v>
      </c>
      <c r="G226">
        <f t="shared" si="91"/>
        <v>6954438.916036291</v>
      </c>
      <c r="H226">
        <f t="shared" si="69"/>
        <v>5897.8411618363962</v>
      </c>
      <c r="I226">
        <f t="shared" si="70"/>
        <v>0</v>
      </c>
      <c r="J226">
        <f t="shared" si="71"/>
        <v>0</v>
      </c>
      <c r="K226">
        <f t="shared" si="72"/>
        <v>0</v>
      </c>
      <c r="L226">
        <f t="shared" si="73"/>
        <v>12127963.97588902</v>
      </c>
      <c r="M226">
        <f t="shared" si="74"/>
        <v>6948541.0748744551</v>
      </c>
      <c r="N226">
        <f>K226*Inputs!B6/12</f>
        <v>0</v>
      </c>
      <c r="O226">
        <f t="shared" si="75"/>
        <v>0</v>
      </c>
      <c r="P226">
        <f t="shared" si="76"/>
        <v>0</v>
      </c>
      <c r="Q226">
        <f>L226*Inputs!B6/12</f>
        <v>58113.160717801562</v>
      </c>
      <c r="R226">
        <f t="shared" si="77"/>
        <v>58113.160717801562</v>
      </c>
      <c r="S226">
        <f t="shared" si="78"/>
        <v>0</v>
      </c>
      <c r="T226">
        <f t="shared" si="79"/>
        <v>25372.351934371596</v>
      </c>
      <c r="U226">
        <f t="shared" si="80"/>
        <v>0</v>
      </c>
      <c r="V226">
        <f t="shared" si="81"/>
        <v>357111.27702659118</v>
      </c>
      <c r="W226">
        <f t="shared" si="82"/>
        <v>0</v>
      </c>
      <c r="X226">
        <f t="shared" si="83"/>
        <v>0</v>
      </c>
      <c r="Y226">
        <f t="shared" si="84"/>
        <v>11770852.698862428</v>
      </c>
      <c r="Z226">
        <f t="shared" si="85"/>
        <v>6948541.0748744551</v>
      </c>
      <c r="AA226">
        <f t="shared" si="86"/>
        <v>0</v>
      </c>
      <c r="AB226">
        <f t="shared" si="87"/>
        <v>0</v>
      </c>
      <c r="AC226">
        <f t="shared" si="88"/>
        <v>0</v>
      </c>
    </row>
    <row r="227" spans="1:29" x14ac:dyDescent="0.2">
      <c r="A227">
        <v>226</v>
      </c>
      <c r="B227">
        <f>LoanPool!L227</f>
        <v>81897.347760098797</v>
      </c>
      <c r="C227">
        <f>LoanPool!M227</f>
        <v>353548.72842232842</v>
      </c>
      <c r="D227">
        <f>LoanPool!H227</f>
        <v>5784.6275031563027</v>
      </c>
      <c r="E227">
        <f t="shared" si="89"/>
        <v>0</v>
      </c>
      <c r="F227">
        <f t="shared" si="90"/>
        <v>11770852.698862428</v>
      </c>
      <c r="G227">
        <f t="shared" si="91"/>
        <v>6948541.0748744551</v>
      </c>
      <c r="H227">
        <f t="shared" si="69"/>
        <v>5784.6275031563027</v>
      </c>
      <c r="I227">
        <f t="shared" si="70"/>
        <v>0</v>
      </c>
      <c r="J227">
        <f t="shared" si="71"/>
        <v>0</v>
      </c>
      <c r="K227">
        <f t="shared" si="72"/>
        <v>0</v>
      </c>
      <c r="L227">
        <f t="shared" si="73"/>
        <v>11770852.698862428</v>
      </c>
      <c r="M227">
        <f t="shared" si="74"/>
        <v>6942756.4473712984</v>
      </c>
      <c r="N227">
        <f>K227*Inputs!B6/12</f>
        <v>0</v>
      </c>
      <c r="O227">
        <f t="shared" si="75"/>
        <v>0</v>
      </c>
      <c r="P227">
        <f t="shared" si="76"/>
        <v>0</v>
      </c>
      <c r="Q227">
        <f>L227*Inputs!B6/12</f>
        <v>56402.002515382475</v>
      </c>
      <c r="R227">
        <f t="shared" si="77"/>
        <v>56402.002515382475</v>
      </c>
      <c r="S227">
        <f t="shared" si="78"/>
        <v>0</v>
      </c>
      <c r="T227">
        <f t="shared" si="79"/>
        <v>25495.345244716322</v>
      </c>
      <c r="U227">
        <f t="shared" si="80"/>
        <v>0</v>
      </c>
      <c r="V227">
        <f t="shared" si="81"/>
        <v>353548.72842232842</v>
      </c>
      <c r="W227">
        <f t="shared" si="82"/>
        <v>0</v>
      </c>
      <c r="X227">
        <f t="shared" si="83"/>
        <v>0</v>
      </c>
      <c r="Y227">
        <f t="shared" si="84"/>
        <v>11417303.970440099</v>
      </c>
      <c r="Z227">
        <f t="shared" si="85"/>
        <v>6942756.4473712984</v>
      </c>
      <c r="AA227">
        <f t="shared" si="86"/>
        <v>0</v>
      </c>
      <c r="AB227">
        <f t="shared" si="87"/>
        <v>0</v>
      </c>
      <c r="AC227">
        <f t="shared" si="88"/>
        <v>0</v>
      </c>
    </row>
    <row r="228" spans="1:29" x14ac:dyDescent="0.2">
      <c r="A228">
        <v>227</v>
      </c>
      <c r="B228">
        <f>LoanPool!L228</f>
        <v>80325.2643279248</v>
      </c>
      <c r="C228">
        <f>LoanPool!M228</f>
        <v>350017.50292565738</v>
      </c>
      <c r="D228">
        <f>LoanPool!H228</f>
        <v>5672.5617210329146</v>
      </c>
      <c r="E228">
        <f t="shared" si="89"/>
        <v>0</v>
      </c>
      <c r="F228">
        <f t="shared" si="90"/>
        <v>11417303.970440099</v>
      </c>
      <c r="G228">
        <f t="shared" si="91"/>
        <v>6942756.4473712984</v>
      </c>
      <c r="H228">
        <f t="shared" si="69"/>
        <v>5672.5617210329146</v>
      </c>
      <c r="I228">
        <f t="shared" si="70"/>
        <v>0</v>
      </c>
      <c r="J228">
        <f t="shared" si="71"/>
        <v>0</v>
      </c>
      <c r="K228">
        <f t="shared" si="72"/>
        <v>0</v>
      </c>
      <c r="L228">
        <f t="shared" si="73"/>
        <v>11417303.970440099</v>
      </c>
      <c r="M228">
        <f t="shared" si="74"/>
        <v>6937083.885650266</v>
      </c>
      <c r="N228">
        <f>K228*Inputs!B6/12</f>
        <v>0</v>
      </c>
      <c r="O228">
        <f t="shared" si="75"/>
        <v>0</v>
      </c>
      <c r="P228">
        <f t="shared" si="76"/>
        <v>0</v>
      </c>
      <c r="Q228">
        <f>L228*Inputs!B6/12</f>
        <v>54707.914858358803</v>
      </c>
      <c r="R228">
        <f t="shared" si="77"/>
        <v>54707.914858358803</v>
      </c>
      <c r="S228">
        <f t="shared" si="78"/>
        <v>0</v>
      </c>
      <c r="T228">
        <f t="shared" si="79"/>
        <v>25617.349469565997</v>
      </c>
      <c r="U228">
        <f t="shared" si="80"/>
        <v>0</v>
      </c>
      <c r="V228">
        <f t="shared" si="81"/>
        <v>350017.50292565738</v>
      </c>
      <c r="W228">
        <f t="shared" si="82"/>
        <v>0</v>
      </c>
      <c r="X228">
        <f t="shared" si="83"/>
        <v>0</v>
      </c>
      <c r="Y228">
        <f t="shared" si="84"/>
        <v>11067286.467514442</v>
      </c>
      <c r="Z228">
        <f t="shared" si="85"/>
        <v>6937083.885650266</v>
      </c>
      <c r="AA228">
        <f t="shared" si="86"/>
        <v>0</v>
      </c>
      <c r="AB228">
        <f t="shared" si="87"/>
        <v>0</v>
      </c>
      <c r="AC228">
        <f t="shared" si="88"/>
        <v>0</v>
      </c>
    </row>
    <row r="229" spans="1:29" x14ac:dyDescent="0.2">
      <c r="A229">
        <v>228</v>
      </c>
      <c r="B229">
        <f>LoanPool!L229</f>
        <v>78769.120295095519</v>
      </c>
      <c r="C229">
        <f>LoanPool!M229</f>
        <v>346517.33695714973</v>
      </c>
      <c r="D229">
        <f>LoanPool!H229</f>
        <v>5561.633671209941</v>
      </c>
      <c r="E229">
        <f t="shared" si="89"/>
        <v>0</v>
      </c>
      <c r="F229">
        <f t="shared" si="90"/>
        <v>11067286.467514442</v>
      </c>
      <c r="G229">
        <f t="shared" si="91"/>
        <v>6937083.885650266</v>
      </c>
      <c r="H229">
        <f t="shared" si="69"/>
        <v>5561.633671209941</v>
      </c>
      <c r="I229">
        <f t="shared" si="70"/>
        <v>0</v>
      </c>
      <c r="J229">
        <f t="shared" si="71"/>
        <v>0</v>
      </c>
      <c r="K229">
        <f t="shared" si="72"/>
        <v>0</v>
      </c>
      <c r="L229">
        <f t="shared" si="73"/>
        <v>11067286.467514442</v>
      </c>
      <c r="M229">
        <f t="shared" si="74"/>
        <v>6931522.2519790558</v>
      </c>
      <c r="N229">
        <f>K229*Inputs!B6/12</f>
        <v>0</v>
      </c>
      <c r="O229">
        <f t="shared" si="75"/>
        <v>0</v>
      </c>
      <c r="P229">
        <f t="shared" si="76"/>
        <v>0</v>
      </c>
      <c r="Q229">
        <f>L229*Inputs!B6/12</f>
        <v>53030.747656840038</v>
      </c>
      <c r="R229">
        <f t="shared" si="77"/>
        <v>53030.747656840038</v>
      </c>
      <c r="S229">
        <f t="shared" si="78"/>
        <v>0</v>
      </c>
      <c r="T229">
        <f t="shared" si="79"/>
        <v>25738.372638255481</v>
      </c>
      <c r="U229">
        <f t="shared" si="80"/>
        <v>0</v>
      </c>
      <c r="V229">
        <f t="shared" si="81"/>
        <v>346517.33695714973</v>
      </c>
      <c r="W229">
        <f t="shared" si="82"/>
        <v>0</v>
      </c>
      <c r="X229">
        <f t="shared" si="83"/>
        <v>0</v>
      </c>
      <c r="Y229">
        <f t="shared" si="84"/>
        <v>10720769.130557293</v>
      </c>
      <c r="Z229">
        <f t="shared" si="85"/>
        <v>6931522.2519790558</v>
      </c>
      <c r="AA229">
        <f t="shared" si="86"/>
        <v>0</v>
      </c>
      <c r="AB229">
        <f t="shared" si="87"/>
        <v>0</v>
      </c>
      <c r="AC229">
        <f t="shared" si="88"/>
        <v>0</v>
      </c>
    </row>
    <row r="230" spans="1:29" x14ac:dyDescent="0.2">
      <c r="A230">
        <v>229</v>
      </c>
      <c r="B230">
        <f>LoanPool!L230</f>
        <v>77228.774798596467</v>
      </c>
      <c r="C230">
        <f>LoanPool!M230</f>
        <v>343047.96911774506</v>
      </c>
      <c r="D230">
        <f>LoanPool!H230</f>
        <v>5451.8332949581636</v>
      </c>
      <c r="E230">
        <f t="shared" si="89"/>
        <v>0</v>
      </c>
      <c r="F230">
        <f t="shared" si="90"/>
        <v>10720769.130557293</v>
      </c>
      <c r="G230">
        <f t="shared" si="91"/>
        <v>6931522.2519790558</v>
      </c>
      <c r="H230">
        <f t="shared" si="69"/>
        <v>5451.8332949581636</v>
      </c>
      <c r="I230">
        <f t="shared" si="70"/>
        <v>0</v>
      </c>
      <c r="J230">
        <f t="shared" si="71"/>
        <v>0</v>
      </c>
      <c r="K230">
        <f t="shared" si="72"/>
        <v>0</v>
      </c>
      <c r="L230">
        <f t="shared" si="73"/>
        <v>10720769.130557293</v>
      </c>
      <c r="M230">
        <f t="shared" si="74"/>
        <v>6926070.4186840979</v>
      </c>
      <c r="N230">
        <f>K230*Inputs!B6/12</f>
        <v>0</v>
      </c>
      <c r="O230">
        <f t="shared" si="75"/>
        <v>0</v>
      </c>
      <c r="P230">
        <f t="shared" si="76"/>
        <v>0</v>
      </c>
      <c r="Q230">
        <f>L230*Inputs!B6/12</f>
        <v>51370.352083920363</v>
      </c>
      <c r="R230">
        <f t="shared" si="77"/>
        <v>51370.352083920363</v>
      </c>
      <c r="S230">
        <f t="shared" si="78"/>
        <v>0</v>
      </c>
      <c r="T230">
        <f t="shared" si="79"/>
        <v>25858.422714676104</v>
      </c>
      <c r="U230">
        <f t="shared" si="80"/>
        <v>0</v>
      </c>
      <c r="V230">
        <f t="shared" si="81"/>
        <v>343047.96911774506</v>
      </c>
      <c r="W230">
        <f t="shared" si="82"/>
        <v>0</v>
      </c>
      <c r="X230">
        <f t="shared" si="83"/>
        <v>0</v>
      </c>
      <c r="Y230">
        <f t="shared" si="84"/>
        <v>10377721.161439547</v>
      </c>
      <c r="Z230">
        <f t="shared" si="85"/>
        <v>6926070.4186840979</v>
      </c>
      <c r="AA230">
        <f t="shared" si="86"/>
        <v>0</v>
      </c>
      <c r="AB230">
        <f t="shared" si="87"/>
        <v>0</v>
      </c>
      <c r="AC230">
        <f t="shared" si="88"/>
        <v>0</v>
      </c>
    </row>
    <row r="231" spans="1:29" x14ac:dyDescent="0.2">
      <c r="A231">
        <v>230</v>
      </c>
      <c r="B231">
        <f>LoanPool!L231</f>
        <v>75704.088163040884</v>
      </c>
      <c r="C231">
        <f>LoanPool!M231</f>
        <v>339609.14017083921</v>
      </c>
      <c r="D231">
        <f>LoanPool!H231</f>
        <v>5343.1506183673937</v>
      </c>
      <c r="E231">
        <f t="shared" si="89"/>
        <v>0</v>
      </c>
      <c r="F231">
        <f t="shared" si="90"/>
        <v>10377721.161439547</v>
      </c>
      <c r="G231">
        <f t="shared" si="91"/>
        <v>6926070.4186840979</v>
      </c>
      <c r="H231">
        <f t="shared" si="69"/>
        <v>5343.1506183673937</v>
      </c>
      <c r="I231">
        <f t="shared" si="70"/>
        <v>0</v>
      </c>
      <c r="J231">
        <f t="shared" si="71"/>
        <v>0</v>
      </c>
      <c r="K231">
        <f t="shared" si="72"/>
        <v>0</v>
      </c>
      <c r="L231">
        <f t="shared" si="73"/>
        <v>10377721.161439547</v>
      </c>
      <c r="M231">
        <f t="shared" si="74"/>
        <v>6920727.2680657301</v>
      </c>
      <c r="N231">
        <f>K231*Inputs!B6/12</f>
        <v>0</v>
      </c>
      <c r="O231">
        <f t="shared" si="75"/>
        <v>0</v>
      </c>
      <c r="P231">
        <f t="shared" si="76"/>
        <v>0</v>
      </c>
      <c r="Q231">
        <f>L231*Inputs!B6/12</f>
        <v>49726.580565231161</v>
      </c>
      <c r="R231">
        <f t="shared" si="77"/>
        <v>49726.580565231161</v>
      </c>
      <c r="S231">
        <f t="shared" si="78"/>
        <v>0</v>
      </c>
      <c r="T231">
        <f t="shared" si="79"/>
        <v>25977.507597809723</v>
      </c>
      <c r="U231">
        <f t="shared" si="80"/>
        <v>0</v>
      </c>
      <c r="V231">
        <f t="shared" si="81"/>
        <v>339609.14017083921</v>
      </c>
      <c r="W231">
        <f t="shared" si="82"/>
        <v>0</v>
      </c>
      <c r="X231">
        <f t="shared" si="83"/>
        <v>0</v>
      </c>
      <c r="Y231">
        <f t="shared" si="84"/>
        <v>10038112.021268709</v>
      </c>
      <c r="Z231">
        <f t="shared" si="85"/>
        <v>6920727.2680657301</v>
      </c>
      <c r="AA231">
        <f t="shared" si="86"/>
        <v>0</v>
      </c>
      <c r="AB231">
        <f t="shared" si="87"/>
        <v>0</v>
      </c>
      <c r="AC231">
        <f t="shared" si="88"/>
        <v>0</v>
      </c>
    </row>
    <row r="232" spans="1:29" x14ac:dyDescent="0.2">
      <c r="A232">
        <v>231</v>
      </c>
      <c r="B232">
        <f>LoanPool!L232</f>
        <v>74194.921890838101</v>
      </c>
      <c r="C232">
        <f>LoanPool!M232</f>
        <v>336200.59302451974</v>
      </c>
      <c r="D232">
        <f>LoanPool!H232</f>
        <v>5235.57575164425</v>
      </c>
      <c r="E232">
        <f t="shared" si="89"/>
        <v>0</v>
      </c>
      <c r="F232">
        <f t="shared" si="90"/>
        <v>10038112.021268709</v>
      </c>
      <c r="G232">
        <f t="shared" si="91"/>
        <v>6920727.2680657301</v>
      </c>
      <c r="H232">
        <f t="shared" si="69"/>
        <v>5235.57575164425</v>
      </c>
      <c r="I232">
        <f t="shared" si="70"/>
        <v>0</v>
      </c>
      <c r="J232">
        <f t="shared" si="71"/>
        <v>0</v>
      </c>
      <c r="K232">
        <f t="shared" si="72"/>
        <v>0</v>
      </c>
      <c r="L232">
        <f t="shared" si="73"/>
        <v>10038112.021268709</v>
      </c>
      <c r="M232">
        <f t="shared" si="74"/>
        <v>6915491.6923140856</v>
      </c>
      <c r="N232">
        <f>K232*Inputs!B6/12</f>
        <v>0</v>
      </c>
      <c r="O232">
        <f t="shared" si="75"/>
        <v>0</v>
      </c>
      <c r="P232">
        <f t="shared" si="76"/>
        <v>0</v>
      </c>
      <c r="Q232">
        <f>L232*Inputs!B6/12</f>
        <v>48099.286768579237</v>
      </c>
      <c r="R232">
        <f t="shared" si="77"/>
        <v>48099.286768579237</v>
      </c>
      <c r="S232">
        <f t="shared" si="78"/>
        <v>0</v>
      </c>
      <c r="T232">
        <f t="shared" si="79"/>
        <v>26095.635122258864</v>
      </c>
      <c r="U232">
        <f t="shared" si="80"/>
        <v>0</v>
      </c>
      <c r="V232">
        <f t="shared" si="81"/>
        <v>336200.59302451974</v>
      </c>
      <c r="W232">
        <f t="shared" si="82"/>
        <v>0</v>
      </c>
      <c r="X232">
        <f t="shared" si="83"/>
        <v>0</v>
      </c>
      <c r="Y232">
        <f t="shared" si="84"/>
        <v>9701911.4282441884</v>
      </c>
      <c r="Z232">
        <f t="shared" si="85"/>
        <v>6915491.6923140856</v>
      </c>
      <c r="AA232">
        <f t="shared" si="86"/>
        <v>0</v>
      </c>
      <c r="AB232">
        <f t="shared" si="87"/>
        <v>0</v>
      </c>
      <c r="AC232">
        <f t="shared" si="88"/>
        <v>0</v>
      </c>
    </row>
    <row r="233" spans="1:29" x14ac:dyDescent="0.2">
      <c r="A233">
        <v>232</v>
      </c>
      <c r="B233">
        <f>LoanPool!L233</f>
        <v>72701.138652442402</v>
      </c>
      <c r="C233">
        <f>LoanPool!M233</f>
        <v>332822.07271394698</v>
      </c>
      <c r="D233">
        <f>LoanPool!H233</f>
        <v>5129.0988884157159</v>
      </c>
      <c r="E233">
        <f t="shared" si="89"/>
        <v>0</v>
      </c>
      <c r="F233">
        <f t="shared" si="90"/>
        <v>9701911.4282441884</v>
      </c>
      <c r="G233">
        <f t="shared" si="91"/>
        <v>6915491.6923140856</v>
      </c>
      <c r="H233">
        <f t="shared" si="69"/>
        <v>5129.0988884157159</v>
      </c>
      <c r="I233">
        <f t="shared" si="70"/>
        <v>0</v>
      </c>
      <c r="J233">
        <f t="shared" si="71"/>
        <v>0</v>
      </c>
      <c r="K233">
        <f t="shared" si="72"/>
        <v>0</v>
      </c>
      <c r="L233">
        <f t="shared" si="73"/>
        <v>9701911.4282441884</v>
      </c>
      <c r="M233">
        <f t="shared" si="74"/>
        <v>6910362.5934256697</v>
      </c>
      <c r="N233">
        <f>K233*Inputs!B6/12</f>
        <v>0</v>
      </c>
      <c r="O233">
        <f t="shared" si="75"/>
        <v>0</v>
      </c>
      <c r="P233">
        <f t="shared" si="76"/>
        <v>0</v>
      </c>
      <c r="Q233">
        <f>L233*Inputs!B6/12</f>
        <v>46488.325593670073</v>
      </c>
      <c r="R233">
        <f t="shared" si="77"/>
        <v>46488.325593670073</v>
      </c>
      <c r="S233">
        <f t="shared" si="78"/>
        <v>0</v>
      </c>
      <c r="T233">
        <f t="shared" si="79"/>
        <v>26212.813058772328</v>
      </c>
      <c r="U233">
        <f t="shared" si="80"/>
        <v>0</v>
      </c>
      <c r="V233">
        <f t="shared" si="81"/>
        <v>332822.07271394698</v>
      </c>
      <c r="W233">
        <f t="shared" si="82"/>
        <v>0</v>
      </c>
      <c r="X233">
        <f t="shared" si="83"/>
        <v>0</v>
      </c>
      <c r="Y233">
        <f t="shared" si="84"/>
        <v>9369089.3555302415</v>
      </c>
      <c r="Z233">
        <f t="shared" si="85"/>
        <v>6910362.5934256697</v>
      </c>
      <c r="AA233">
        <f t="shared" si="86"/>
        <v>0</v>
      </c>
      <c r="AB233">
        <f t="shared" si="87"/>
        <v>0</v>
      </c>
      <c r="AC233">
        <f t="shared" si="88"/>
        <v>0</v>
      </c>
    </row>
    <row r="234" spans="1:29" x14ac:dyDescent="0.2">
      <c r="A234">
        <v>233</v>
      </c>
      <c r="B234">
        <f>LoanPool!L234</f>
        <v>71222.602276682053</v>
      </c>
      <c r="C234">
        <f>LoanPool!M234</f>
        <v>329473.32638387923</v>
      </c>
      <c r="D234">
        <f>LoanPool!H234</f>
        <v>5023.7103050384048</v>
      </c>
      <c r="E234">
        <f t="shared" si="89"/>
        <v>0</v>
      </c>
      <c r="F234">
        <f t="shared" si="90"/>
        <v>9369089.3555302415</v>
      </c>
      <c r="G234">
        <f t="shared" si="91"/>
        <v>6910362.5934256697</v>
      </c>
      <c r="H234">
        <f t="shared" si="69"/>
        <v>5023.7103050384048</v>
      </c>
      <c r="I234">
        <f t="shared" si="70"/>
        <v>0</v>
      </c>
      <c r="J234">
        <f t="shared" si="71"/>
        <v>0</v>
      </c>
      <c r="K234">
        <f t="shared" si="72"/>
        <v>0</v>
      </c>
      <c r="L234">
        <f t="shared" si="73"/>
        <v>9369089.3555302415</v>
      </c>
      <c r="M234">
        <f t="shared" si="74"/>
        <v>6905338.8831206309</v>
      </c>
      <c r="N234">
        <f>K234*Inputs!B6/12</f>
        <v>0</v>
      </c>
      <c r="O234">
        <f t="shared" si="75"/>
        <v>0</v>
      </c>
      <c r="P234">
        <f t="shared" si="76"/>
        <v>0</v>
      </c>
      <c r="Q234">
        <f>L234*Inputs!B6/12</f>
        <v>44893.553161915741</v>
      </c>
      <c r="R234">
        <f t="shared" si="77"/>
        <v>44893.553161915741</v>
      </c>
      <c r="S234">
        <f t="shared" si="78"/>
        <v>0</v>
      </c>
      <c r="T234">
        <f t="shared" si="79"/>
        <v>26329.049114766312</v>
      </c>
      <c r="U234">
        <f t="shared" si="80"/>
        <v>0</v>
      </c>
      <c r="V234">
        <f t="shared" si="81"/>
        <v>329473.32638387923</v>
      </c>
      <c r="W234">
        <f t="shared" si="82"/>
        <v>0</v>
      </c>
      <c r="X234">
        <f t="shared" si="83"/>
        <v>0</v>
      </c>
      <c r="Y234">
        <f t="shared" si="84"/>
        <v>9039616.0291463621</v>
      </c>
      <c r="Z234">
        <f t="shared" si="85"/>
        <v>6905338.8831206309</v>
      </c>
      <c r="AA234">
        <f t="shared" si="86"/>
        <v>0</v>
      </c>
      <c r="AB234">
        <f t="shared" si="87"/>
        <v>0</v>
      </c>
      <c r="AC234">
        <f t="shared" si="88"/>
        <v>0</v>
      </c>
    </row>
    <row r="235" spans="1:29" x14ac:dyDescent="0.2">
      <c r="A235">
        <v>234</v>
      </c>
      <c r="B235">
        <f>LoanPool!L235</f>
        <v>69759.177741168038</v>
      </c>
      <c r="C235">
        <f>LoanPool!M235</f>
        <v>326154.10327134148</v>
      </c>
      <c r="D235">
        <f>LoanPool!H235</f>
        <v>4919.4003599135085</v>
      </c>
      <c r="E235">
        <f t="shared" si="89"/>
        <v>0</v>
      </c>
      <c r="F235">
        <f t="shared" si="90"/>
        <v>9039616.0291463621</v>
      </c>
      <c r="G235">
        <f t="shared" si="91"/>
        <v>6905338.8831206309</v>
      </c>
      <c r="H235">
        <f t="shared" si="69"/>
        <v>4919.4003599135085</v>
      </c>
      <c r="I235">
        <f t="shared" si="70"/>
        <v>0</v>
      </c>
      <c r="J235">
        <f t="shared" si="71"/>
        <v>0</v>
      </c>
      <c r="K235">
        <f t="shared" si="72"/>
        <v>0</v>
      </c>
      <c r="L235">
        <f t="shared" si="73"/>
        <v>9039616.0291463621</v>
      </c>
      <c r="M235">
        <f t="shared" si="74"/>
        <v>6900419.4827607172</v>
      </c>
      <c r="N235">
        <f>K235*Inputs!B6/12</f>
        <v>0</v>
      </c>
      <c r="O235">
        <f t="shared" si="75"/>
        <v>0</v>
      </c>
      <c r="P235">
        <f t="shared" si="76"/>
        <v>0</v>
      </c>
      <c r="Q235">
        <f>L235*Inputs!B6/12</f>
        <v>43314.826806326317</v>
      </c>
      <c r="R235">
        <f t="shared" si="77"/>
        <v>43314.826806326317</v>
      </c>
      <c r="S235">
        <f t="shared" si="78"/>
        <v>0</v>
      </c>
      <c r="T235">
        <f t="shared" si="79"/>
        <v>26444.350934841721</v>
      </c>
      <c r="U235">
        <f t="shared" si="80"/>
        <v>0</v>
      </c>
      <c r="V235">
        <f t="shared" si="81"/>
        <v>326154.10327134148</v>
      </c>
      <c r="W235">
        <f t="shared" si="82"/>
        <v>0</v>
      </c>
      <c r="X235">
        <f t="shared" si="83"/>
        <v>0</v>
      </c>
      <c r="Y235">
        <f t="shared" si="84"/>
        <v>8713461.9258750211</v>
      </c>
      <c r="Z235">
        <f t="shared" si="85"/>
        <v>6900419.4827607172</v>
      </c>
      <c r="AA235">
        <f t="shared" si="86"/>
        <v>0</v>
      </c>
      <c r="AB235">
        <f t="shared" si="87"/>
        <v>0</v>
      </c>
      <c r="AC235">
        <f t="shared" si="88"/>
        <v>0</v>
      </c>
    </row>
    <row r="236" spans="1:29" x14ac:dyDescent="0.2">
      <c r="A236">
        <v>235</v>
      </c>
      <c r="B236">
        <f>LoanPool!L236</f>
        <v>68310.731162781289</v>
      </c>
      <c r="C236">
        <f>LoanPool!M236</f>
        <v>322864.15468843526</v>
      </c>
      <c r="D236">
        <f>LoanPool!H236</f>
        <v>4816.1594928073819</v>
      </c>
      <c r="E236">
        <f t="shared" si="89"/>
        <v>0</v>
      </c>
      <c r="F236">
        <f t="shared" si="90"/>
        <v>8713461.9258750211</v>
      </c>
      <c r="G236">
        <f t="shared" si="91"/>
        <v>6900419.4827607172</v>
      </c>
      <c r="H236">
        <f t="shared" si="69"/>
        <v>4816.1594928073819</v>
      </c>
      <c r="I236">
        <f t="shared" si="70"/>
        <v>0</v>
      </c>
      <c r="J236">
        <f t="shared" si="71"/>
        <v>0</v>
      </c>
      <c r="K236">
        <f t="shared" si="72"/>
        <v>0</v>
      </c>
      <c r="L236">
        <f t="shared" si="73"/>
        <v>8713461.9258750211</v>
      </c>
      <c r="M236">
        <f t="shared" si="74"/>
        <v>6895603.3232679097</v>
      </c>
      <c r="N236">
        <f>K236*Inputs!B6/12</f>
        <v>0</v>
      </c>
      <c r="O236">
        <f t="shared" si="75"/>
        <v>0</v>
      </c>
      <c r="P236">
        <f t="shared" si="76"/>
        <v>0</v>
      </c>
      <c r="Q236">
        <f>L236*Inputs!B6/12</f>
        <v>41752.00506148448</v>
      </c>
      <c r="R236">
        <f t="shared" si="77"/>
        <v>41752.00506148448</v>
      </c>
      <c r="S236">
        <f t="shared" si="78"/>
        <v>0</v>
      </c>
      <c r="T236">
        <f t="shared" si="79"/>
        <v>26558.726101296808</v>
      </c>
      <c r="U236">
        <f t="shared" si="80"/>
        <v>0</v>
      </c>
      <c r="V236">
        <f t="shared" si="81"/>
        <v>322864.15468843526</v>
      </c>
      <c r="W236">
        <f t="shared" si="82"/>
        <v>0</v>
      </c>
      <c r="X236">
        <f t="shared" si="83"/>
        <v>0</v>
      </c>
      <c r="Y236">
        <f t="shared" si="84"/>
        <v>8390597.7711865865</v>
      </c>
      <c r="Z236">
        <f t="shared" si="85"/>
        <v>6895603.3232679097</v>
      </c>
      <c r="AA236">
        <f t="shared" si="86"/>
        <v>0</v>
      </c>
      <c r="AB236">
        <f t="shared" si="87"/>
        <v>0</v>
      </c>
      <c r="AC236">
        <f t="shared" si="88"/>
        <v>0</v>
      </c>
    </row>
    <row r="237" spans="1:29" x14ac:dyDescent="0.2">
      <c r="A237">
        <v>236</v>
      </c>
      <c r="B237">
        <f>LoanPool!L237</f>
        <v>66877.129788238366</v>
      </c>
      <c r="C237">
        <f>LoanPool!M237</f>
        <v>319603.23400528997</v>
      </c>
      <c r="D237">
        <f>LoanPool!H237</f>
        <v>4713.9782241777011</v>
      </c>
      <c r="E237">
        <f t="shared" si="89"/>
        <v>0</v>
      </c>
      <c r="F237">
        <f t="shared" si="90"/>
        <v>8390597.7711865865</v>
      </c>
      <c r="G237">
        <f t="shared" si="91"/>
        <v>6895603.3232679097</v>
      </c>
      <c r="H237">
        <f t="shared" si="69"/>
        <v>4713.9782241777011</v>
      </c>
      <c r="I237">
        <f t="shared" si="70"/>
        <v>0</v>
      </c>
      <c r="J237">
        <f t="shared" si="71"/>
        <v>0</v>
      </c>
      <c r="K237">
        <f t="shared" si="72"/>
        <v>0</v>
      </c>
      <c r="L237">
        <f t="shared" si="73"/>
        <v>8390597.7711865865</v>
      </c>
      <c r="M237">
        <f t="shared" si="74"/>
        <v>6890889.3450437319</v>
      </c>
      <c r="N237">
        <f>K237*Inputs!B6/12</f>
        <v>0</v>
      </c>
      <c r="O237">
        <f t="shared" si="75"/>
        <v>0</v>
      </c>
      <c r="P237">
        <f t="shared" si="76"/>
        <v>0</v>
      </c>
      <c r="Q237">
        <f>L237*Inputs!B6/12</f>
        <v>40204.947653602394</v>
      </c>
      <c r="R237">
        <f t="shared" si="77"/>
        <v>40204.947653602394</v>
      </c>
      <c r="S237">
        <f t="shared" si="78"/>
        <v>0</v>
      </c>
      <c r="T237">
        <f t="shared" si="79"/>
        <v>26672.182134635972</v>
      </c>
      <c r="U237">
        <f t="shared" si="80"/>
        <v>0</v>
      </c>
      <c r="V237">
        <f t="shared" si="81"/>
        <v>319603.23400528997</v>
      </c>
      <c r="W237">
        <f t="shared" si="82"/>
        <v>0</v>
      </c>
      <c r="X237">
        <f t="shared" si="83"/>
        <v>0</v>
      </c>
      <c r="Y237">
        <f t="shared" si="84"/>
        <v>8070994.5371812964</v>
      </c>
      <c r="Z237">
        <f t="shared" si="85"/>
        <v>6890889.3450437319</v>
      </c>
      <c r="AA237">
        <f t="shared" si="86"/>
        <v>0</v>
      </c>
      <c r="AB237">
        <f t="shared" si="87"/>
        <v>0</v>
      </c>
      <c r="AC237">
        <f t="shared" si="88"/>
        <v>0</v>
      </c>
    </row>
    <row r="238" spans="1:29" x14ac:dyDescent="0.2">
      <c r="A238">
        <v>237</v>
      </c>
      <c r="B238">
        <f>LoanPool!L238</f>
        <v>65458.241984734435</v>
      </c>
      <c r="C238">
        <f>LoanPool!M238</f>
        <v>316371.09663315432</v>
      </c>
      <c r="D238">
        <f>LoanPool!H238</f>
        <v>4612.8471545051643</v>
      </c>
      <c r="E238">
        <f t="shared" si="89"/>
        <v>0</v>
      </c>
      <c r="F238">
        <f t="shared" si="90"/>
        <v>8070994.5371812964</v>
      </c>
      <c r="G238">
        <f t="shared" si="91"/>
        <v>6890889.3450437319</v>
      </c>
      <c r="H238">
        <f t="shared" si="69"/>
        <v>4612.8471545051643</v>
      </c>
      <c r="I238">
        <f t="shared" si="70"/>
        <v>0</v>
      </c>
      <c r="J238">
        <f t="shared" si="71"/>
        <v>0</v>
      </c>
      <c r="K238">
        <f t="shared" si="72"/>
        <v>0</v>
      </c>
      <c r="L238">
        <f t="shared" si="73"/>
        <v>8070994.5371812964</v>
      </c>
      <c r="M238">
        <f t="shared" si="74"/>
        <v>6886276.4978892263</v>
      </c>
      <c r="N238">
        <f>K238*Inputs!B6/12</f>
        <v>0</v>
      </c>
      <c r="O238">
        <f t="shared" si="75"/>
        <v>0</v>
      </c>
      <c r="P238">
        <f t="shared" si="76"/>
        <v>0</v>
      </c>
      <c r="Q238">
        <f>L238*Inputs!B6/12</f>
        <v>38673.515490660378</v>
      </c>
      <c r="R238">
        <f t="shared" si="77"/>
        <v>38673.515490660378</v>
      </c>
      <c r="S238">
        <f t="shared" si="78"/>
        <v>0</v>
      </c>
      <c r="T238">
        <f t="shared" si="79"/>
        <v>26784.726494074057</v>
      </c>
      <c r="U238">
        <f t="shared" si="80"/>
        <v>0</v>
      </c>
      <c r="V238">
        <f t="shared" si="81"/>
        <v>316371.09663315432</v>
      </c>
      <c r="W238">
        <f t="shared" si="82"/>
        <v>0</v>
      </c>
      <c r="X238">
        <f t="shared" si="83"/>
        <v>0</v>
      </c>
      <c r="Y238">
        <f t="shared" si="84"/>
        <v>7754623.4405481424</v>
      </c>
      <c r="Z238">
        <f t="shared" si="85"/>
        <v>6886276.4978892263</v>
      </c>
      <c r="AA238">
        <f t="shared" si="86"/>
        <v>0</v>
      </c>
      <c r="AB238">
        <f t="shared" si="87"/>
        <v>0</v>
      </c>
      <c r="AC238">
        <f t="shared" si="88"/>
        <v>0</v>
      </c>
    </row>
    <row r="239" spans="1:29" x14ac:dyDescent="0.2">
      <c r="A239">
        <v>238</v>
      </c>
      <c r="B239">
        <f>LoanPool!L239</f>
        <v>64053.937230663432</v>
      </c>
      <c r="C239">
        <f>LoanPool!M239</f>
        <v>313167.50000762468</v>
      </c>
      <c r="D239">
        <f>LoanPool!H239</f>
        <v>4512.7569636306862</v>
      </c>
      <c r="E239">
        <f t="shared" si="89"/>
        <v>0</v>
      </c>
      <c r="F239">
        <f t="shared" si="90"/>
        <v>7754623.4405481424</v>
      </c>
      <c r="G239">
        <f t="shared" si="91"/>
        <v>6886276.4978892263</v>
      </c>
      <c r="H239">
        <f t="shared" si="69"/>
        <v>4512.7569636306862</v>
      </c>
      <c r="I239">
        <f t="shared" si="70"/>
        <v>0</v>
      </c>
      <c r="J239">
        <f t="shared" si="71"/>
        <v>0</v>
      </c>
      <c r="K239">
        <f t="shared" si="72"/>
        <v>0</v>
      </c>
      <c r="L239">
        <f t="shared" si="73"/>
        <v>7754623.4405481424</v>
      </c>
      <c r="M239">
        <f t="shared" si="74"/>
        <v>6881763.7409255952</v>
      </c>
      <c r="N239">
        <f>K239*Inputs!B6/12</f>
        <v>0</v>
      </c>
      <c r="O239">
        <f t="shared" si="75"/>
        <v>0</v>
      </c>
      <c r="P239">
        <f t="shared" si="76"/>
        <v>0</v>
      </c>
      <c r="Q239">
        <f>L239*Inputs!B6/12</f>
        <v>37157.57065262652</v>
      </c>
      <c r="R239">
        <f t="shared" si="77"/>
        <v>37157.57065262652</v>
      </c>
      <c r="S239">
        <f t="shared" si="78"/>
        <v>0</v>
      </c>
      <c r="T239">
        <f t="shared" si="79"/>
        <v>26896.366578036912</v>
      </c>
      <c r="U239">
        <f t="shared" si="80"/>
        <v>0</v>
      </c>
      <c r="V239">
        <f t="shared" si="81"/>
        <v>313167.50000762468</v>
      </c>
      <c r="W239">
        <f t="shared" si="82"/>
        <v>0</v>
      </c>
      <c r="X239">
        <f t="shared" si="83"/>
        <v>0</v>
      </c>
      <c r="Y239">
        <f t="shared" si="84"/>
        <v>7441455.9405405177</v>
      </c>
      <c r="Z239">
        <f t="shared" si="85"/>
        <v>6881763.7409255952</v>
      </c>
      <c r="AA239">
        <f t="shared" si="86"/>
        <v>0</v>
      </c>
      <c r="AB239">
        <f t="shared" si="87"/>
        <v>0</v>
      </c>
      <c r="AC239">
        <f t="shared" si="88"/>
        <v>0</v>
      </c>
    </row>
    <row r="240" spans="1:29" x14ac:dyDescent="0.2">
      <c r="A240">
        <v>239</v>
      </c>
      <c r="B240">
        <f>LoanPool!L240</f>
        <v>62664.086106414194</v>
      </c>
      <c r="C240">
        <f>LoanPool!M240</f>
        <v>309992.20357201266</v>
      </c>
      <c r="D240">
        <f>LoanPool!H240</f>
        <v>4413.6984100980408</v>
      </c>
      <c r="E240">
        <f t="shared" si="89"/>
        <v>0</v>
      </c>
      <c r="F240">
        <f t="shared" si="90"/>
        <v>7441455.9405405177</v>
      </c>
      <c r="G240">
        <f t="shared" si="91"/>
        <v>6881763.7409255952</v>
      </c>
      <c r="H240">
        <f t="shared" si="69"/>
        <v>4413.6984100980408</v>
      </c>
      <c r="I240">
        <f t="shared" si="70"/>
        <v>0</v>
      </c>
      <c r="J240">
        <f t="shared" si="71"/>
        <v>0</v>
      </c>
      <c r="K240">
        <f t="shared" si="72"/>
        <v>0</v>
      </c>
      <c r="L240">
        <f t="shared" si="73"/>
        <v>7441455.9405405177</v>
      </c>
      <c r="M240">
        <f t="shared" si="74"/>
        <v>6877350.0425154967</v>
      </c>
      <c r="N240">
        <f>K240*Inputs!B6/12</f>
        <v>0</v>
      </c>
      <c r="O240">
        <f t="shared" si="75"/>
        <v>0</v>
      </c>
      <c r="P240">
        <f t="shared" si="76"/>
        <v>0</v>
      </c>
      <c r="Q240">
        <f>L240*Inputs!B6/12</f>
        <v>35656.976381756649</v>
      </c>
      <c r="R240">
        <f t="shared" si="77"/>
        <v>35656.976381756649</v>
      </c>
      <c r="S240">
        <f t="shared" si="78"/>
        <v>0</v>
      </c>
      <c r="T240">
        <f t="shared" si="79"/>
        <v>27007.109724657545</v>
      </c>
      <c r="U240">
        <f t="shared" si="80"/>
        <v>0</v>
      </c>
      <c r="V240">
        <f t="shared" si="81"/>
        <v>309992.20357201266</v>
      </c>
      <c r="W240">
        <f t="shared" si="82"/>
        <v>0</v>
      </c>
      <c r="X240">
        <f t="shared" si="83"/>
        <v>0</v>
      </c>
      <c r="Y240">
        <f t="shared" si="84"/>
        <v>7131463.7369685052</v>
      </c>
      <c r="Z240">
        <f t="shared" si="85"/>
        <v>6877350.0425154967</v>
      </c>
      <c r="AA240">
        <f t="shared" si="86"/>
        <v>0</v>
      </c>
      <c r="AB240">
        <f t="shared" si="87"/>
        <v>0</v>
      </c>
      <c r="AC240">
        <f t="shared" si="88"/>
        <v>0</v>
      </c>
    </row>
    <row r="241" spans="1:29" x14ac:dyDescent="0.2">
      <c r="A241">
        <v>240</v>
      </c>
      <c r="B241">
        <f>LoanPool!L241</f>
        <v>61288.560285242464</v>
      </c>
      <c r="C241">
        <f>LoanPool!M241</f>
        <v>306844.96876084793</v>
      </c>
      <c r="D241">
        <f>LoanPool!H241</f>
        <v>4315.6623305019011</v>
      </c>
      <c r="E241">
        <f t="shared" si="89"/>
        <v>0</v>
      </c>
      <c r="F241">
        <f t="shared" si="90"/>
        <v>7131463.7369685052</v>
      </c>
      <c r="G241">
        <f t="shared" si="91"/>
        <v>6877350.0425154967</v>
      </c>
      <c r="H241">
        <f t="shared" si="69"/>
        <v>4315.6623305019011</v>
      </c>
      <c r="I241">
        <f t="shared" si="70"/>
        <v>0</v>
      </c>
      <c r="J241">
        <f t="shared" si="71"/>
        <v>0</v>
      </c>
      <c r="K241">
        <f t="shared" si="72"/>
        <v>0</v>
      </c>
      <c r="L241">
        <f t="shared" si="73"/>
        <v>7131463.7369685052</v>
      </c>
      <c r="M241">
        <f t="shared" si="74"/>
        <v>6873034.380184995</v>
      </c>
      <c r="N241">
        <f>K241*Inputs!B6/12</f>
        <v>0</v>
      </c>
      <c r="O241">
        <f t="shared" si="75"/>
        <v>0</v>
      </c>
      <c r="P241">
        <f t="shared" si="76"/>
        <v>0</v>
      </c>
      <c r="Q241">
        <f>L241*Inputs!B6/12</f>
        <v>34171.597072974087</v>
      </c>
      <c r="R241">
        <f t="shared" si="77"/>
        <v>34171.597072974087</v>
      </c>
      <c r="S241">
        <f t="shared" si="78"/>
        <v>0</v>
      </c>
      <c r="T241">
        <f t="shared" si="79"/>
        <v>27116.963212268376</v>
      </c>
      <c r="U241">
        <f t="shared" si="80"/>
        <v>0</v>
      </c>
      <c r="V241">
        <f t="shared" si="81"/>
        <v>306844.96876084793</v>
      </c>
      <c r="W241">
        <f t="shared" si="82"/>
        <v>0</v>
      </c>
      <c r="X241">
        <f t="shared" si="83"/>
        <v>0</v>
      </c>
      <c r="Y241">
        <f t="shared" si="84"/>
        <v>6824618.7682076572</v>
      </c>
      <c r="Z241">
        <f t="shared" si="85"/>
        <v>6873034.380184995</v>
      </c>
      <c r="AA241">
        <f t="shared" si="86"/>
        <v>0</v>
      </c>
      <c r="AB241">
        <f t="shared" si="87"/>
        <v>0</v>
      </c>
      <c r="AC241">
        <f t="shared" si="88"/>
        <v>0</v>
      </c>
    </row>
    <row r="242" spans="1:29" x14ac:dyDescent="0.2">
      <c r="A242">
        <v>241</v>
      </c>
      <c r="B242">
        <f>LoanPool!L242</f>
        <v>59927.232524217805</v>
      </c>
      <c r="C242">
        <f>LoanPool!M242</f>
        <v>303725.55898351606</v>
      </c>
      <c r="D242">
        <f>LoanPool!H242</f>
        <v>4218.6396388412459</v>
      </c>
      <c r="E242">
        <f t="shared" si="89"/>
        <v>0</v>
      </c>
      <c r="F242">
        <f t="shared" si="90"/>
        <v>6824618.7682076572</v>
      </c>
      <c r="G242">
        <f t="shared" si="91"/>
        <v>6873034.380184995</v>
      </c>
      <c r="H242">
        <f t="shared" si="69"/>
        <v>4218.6396388412459</v>
      </c>
      <c r="I242">
        <f t="shared" si="70"/>
        <v>0</v>
      </c>
      <c r="J242">
        <f t="shared" si="71"/>
        <v>0</v>
      </c>
      <c r="K242">
        <f t="shared" si="72"/>
        <v>0</v>
      </c>
      <c r="L242">
        <f t="shared" si="73"/>
        <v>6824618.7682076572</v>
      </c>
      <c r="M242">
        <f t="shared" si="74"/>
        <v>6868815.7405461539</v>
      </c>
      <c r="N242">
        <f>K242*Inputs!B6/12</f>
        <v>0</v>
      </c>
      <c r="O242">
        <f t="shared" si="75"/>
        <v>0</v>
      </c>
      <c r="P242">
        <f t="shared" si="76"/>
        <v>0</v>
      </c>
      <c r="Q242">
        <f>L242*Inputs!B6/12</f>
        <v>32701.298264328358</v>
      </c>
      <c r="R242">
        <f t="shared" si="77"/>
        <v>32701.298264328358</v>
      </c>
      <c r="S242">
        <f t="shared" si="78"/>
        <v>0</v>
      </c>
      <c r="T242">
        <f t="shared" si="79"/>
        <v>27225.934259889447</v>
      </c>
      <c r="U242">
        <f t="shared" si="80"/>
        <v>0</v>
      </c>
      <c r="V242">
        <f t="shared" si="81"/>
        <v>303725.55898351606</v>
      </c>
      <c r="W242">
        <f t="shared" si="82"/>
        <v>0</v>
      </c>
      <c r="X242">
        <f t="shared" si="83"/>
        <v>0</v>
      </c>
      <c r="Y242">
        <f t="shared" si="84"/>
        <v>6520893.2092241412</v>
      </c>
      <c r="Z242">
        <f t="shared" si="85"/>
        <v>6868815.7405461539</v>
      </c>
      <c r="AA242">
        <f t="shared" si="86"/>
        <v>0</v>
      </c>
      <c r="AB242">
        <f t="shared" si="87"/>
        <v>0</v>
      </c>
      <c r="AC242">
        <f t="shared" si="88"/>
        <v>0</v>
      </c>
    </row>
    <row r="243" spans="1:29" x14ac:dyDescent="0.2">
      <c r="A243">
        <v>242</v>
      </c>
      <c r="B243">
        <f>LoanPool!L243</f>
        <v>58579.976655244995</v>
      </c>
      <c r="C243">
        <f>LoanPool!M243</f>
        <v>300633.73960803123</v>
      </c>
      <c r="D243">
        <f>LoanPool!H243</f>
        <v>4122.6213258780763</v>
      </c>
      <c r="E243">
        <f t="shared" si="89"/>
        <v>0</v>
      </c>
      <c r="F243">
        <f t="shared" si="90"/>
        <v>6520893.2092241412</v>
      </c>
      <c r="G243">
        <f t="shared" si="91"/>
        <v>6868815.7405461539</v>
      </c>
      <c r="H243">
        <f t="shared" si="69"/>
        <v>4122.6213258780763</v>
      </c>
      <c r="I243">
        <f t="shared" si="70"/>
        <v>0</v>
      </c>
      <c r="J243">
        <f t="shared" si="71"/>
        <v>0</v>
      </c>
      <c r="K243">
        <f t="shared" si="72"/>
        <v>0</v>
      </c>
      <c r="L243">
        <f t="shared" si="73"/>
        <v>6520893.2092241412</v>
      </c>
      <c r="M243">
        <f t="shared" si="74"/>
        <v>6864693.1192202754</v>
      </c>
      <c r="N243">
        <f>K243*Inputs!B6/12</f>
        <v>0</v>
      </c>
      <c r="O243">
        <f t="shared" si="75"/>
        <v>0</v>
      </c>
      <c r="P243">
        <f t="shared" si="76"/>
        <v>0</v>
      </c>
      <c r="Q243">
        <f>L243*Inputs!B6/12</f>
        <v>31245.946627532347</v>
      </c>
      <c r="R243">
        <f t="shared" si="77"/>
        <v>31245.946627532347</v>
      </c>
      <c r="S243">
        <f t="shared" si="78"/>
        <v>0</v>
      </c>
      <c r="T243">
        <f t="shared" si="79"/>
        <v>27334.030027712648</v>
      </c>
      <c r="U243">
        <f t="shared" si="80"/>
        <v>0</v>
      </c>
      <c r="V243">
        <f t="shared" si="81"/>
        <v>300633.73960803123</v>
      </c>
      <c r="W243">
        <f t="shared" si="82"/>
        <v>0</v>
      </c>
      <c r="X243">
        <f t="shared" si="83"/>
        <v>0</v>
      </c>
      <c r="Y243">
        <f t="shared" si="84"/>
        <v>6220259.4696161095</v>
      </c>
      <c r="Z243">
        <f t="shared" si="85"/>
        <v>6864693.1192202754</v>
      </c>
      <c r="AA243">
        <f t="shared" si="86"/>
        <v>0</v>
      </c>
      <c r="AB243">
        <f t="shared" si="87"/>
        <v>0</v>
      </c>
      <c r="AC243">
        <f t="shared" si="88"/>
        <v>0</v>
      </c>
    </row>
    <row r="244" spans="1:29" x14ac:dyDescent="0.2">
      <c r="A244">
        <v>243</v>
      </c>
      <c r="B244">
        <f>LoanPool!L244</f>
        <v>57246.66757615914</v>
      </c>
      <c r="C244">
        <f>LoanPool!M244</f>
        <v>297569.27794494067</v>
      </c>
      <c r="D244">
        <f>LoanPool!H244</f>
        <v>4027.5984585014039</v>
      </c>
      <c r="E244">
        <f t="shared" si="89"/>
        <v>0</v>
      </c>
      <c r="F244">
        <f t="shared" si="90"/>
        <v>6220259.4696161095</v>
      </c>
      <c r="G244">
        <f t="shared" si="91"/>
        <v>6864693.1192202754</v>
      </c>
      <c r="H244">
        <f t="shared" si="69"/>
        <v>4027.5984585014039</v>
      </c>
      <c r="I244">
        <f t="shared" si="70"/>
        <v>0</v>
      </c>
      <c r="J244">
        <f t="shared" si="71"/>
        <v>0</v>
      </c>
      <c r="K244">
        <f t="shared" si="72"/>
        <v>0</v>
      </c>
      <c r="L244">
        <f t="shared" si="73"/>
        <v>6220259.4696161095</v>
      </c>
      <c r="M244">
        <f t="shared" si="74"/>
        <v>6860665.5207617739</v>
      </c>
      <c r="N244">
        <f>K244*Inputs!B6/12</f>
        <v>0</v>
      </c>
      <c r="O244">
        <f t="shared" si="75"/>
        <v>0</v>
      </c>
      <c r="P244">
        <f t="shared" si="76"/>
        <v>0</v>
      </c>
      <c r="Q244">
        <f>L244*Inputs!B6/12</f>
        <v>29805.409958577191</v>
      </c>
      <c r="R244">
        <f t="shared" si="77"/>
        <v>29805.409958577191</v>
      </c>
      <c r="S244">
        <f t="shared" si="78"/>
        <v>0</v>
      </c>
      <c r="T244">
        <f t="shared" si="79"/>
        <v>27441.257617581949</v>
      </c>
      <c r="U244">
        <f t="shared" si="80"/>
        <v>0</v>
      </c>
      <c r="V244">
        <f t="shared" si="81"/>
        <v>297569.27794494067</v>
      </c>
      <c r="W244">
        <f t="shared" si="82"/>
        <v>0</v>
      </c>
      <c r="X244">
        <f t="shared" si="83"/>
        <v>0</v>
      </c>
      <c r="Y244">
        <f t="shared" si="84"/>
        <v>5922690.1916711684</v>
      </c>
      <c r="Z244">
        <f t="shared" si="85"/>
        <v>6860665.5207617739</v>
      </c>
      <c r="AA244">
        <f t="shared" si="86"/>
        <v>0</v>
      </c>
      <c r="AB244">
        <f t="shared" si="87"/>
        <v>0</v>
      </c>
      <c r="AC244">
        <f t="shared" si="88"/>
        <v>0</v>
      </c>
    </row>
    <row r="245" spans="1:29" x14ac:dyDescent="0.2">
      <c r="A245">
        <v>244</v>
      </c>
      <c r="B245">
        <f>LoanPool!L245</f>
        <v>55927.181241894083</v>
      </c>
      <c r="C245">
        <f>LoanPool!M245</f>
        <v>294531.94323136233</v>
      </c>
      <c r="D245">
        <f>LoanPool!H245</f>
        <v>3933.5621790964697</v>
      </c>
      <c r="E245">
        <f t="shared" si="89"/>
        <v>0</v>
      </c>
      <c r="F245">
        <f t="shared" si="90"/>
        <v>5922690.1916711684</v>
      </c>
      <c r="G245">
        <f t="shared" si="91"/>
        <v>6860665.5207617739</v>
      </c>
      <c r="H245">
        <f t="shared" si="69"/>
        <v>3933.5621790964697</v>
      </c>
      <c r="I245">
        <f t="shared" si="70"/>
        <v>0</v>
      </c>
      <c r="J245">
        <f t="shared" si="71"/>
        <v>0</v>
      </c>
      <c r="K245">
        <f t="shared" si="72"/>
        <v>0</v>
      </c>
      <c r="L245">
        <f t="shared" si="73"/>
        <v>5922690.1916711684</v>
      </c>
      <c r="M245">
        <f t="shared" si="74"/>
        <v>6856731.9585826779</v>
      </c>
      <c r="N245">
        <f>K245*Inputs!B6/12</f>
        <v>0</v>
      </c>
      <c r="O245">
        <f t="shared" si="75"/>
        <v>0</v>
      </c>
      <c r="P245">
        <f t="shared" si="76"/>
        <v>0</v>
      </c>
      <c r="Q245">
        <f>L245*Inputs!B6/12</f>
        <v>28379.557168424348</v>
      </c>
      <c r="R245">
        <f t="shared" si="77"/>
        <v>28379.557168424348</v>
      </c>
      <c r="S245">
        <f t="shared" si="78"/>
        <v>0</v>
      </c>
      <c r="T245">
        <f t="shared" si="79"/>
        <v>27547.624073469735</v>
      </c>
      <c r="U245">
        <f t="shared" si="80"/>
        <v>0</v>
      </c>
      <c r="V245">
        <f t="shared" si="81"/>
        <v>294531.94323136233</v>
      </c>
      <c r="W245">
        <f t="shared" si="82"/>
        <v>0</v>
      </c>
      <c r="X245">
        <f t="shared" si="83"/>
        <v>0</v>
      </c>
      <c r="Y245">
        <f t="shared" si="84"/>
        <v>5628158.2484398065</v>
      </c>
      <c r="Z245">
        <f t="shared" si="85"/>
        <v>6856731.9585826779</v>
      </c>
      <c r="AA245">
        <f t="shared" si="86"/>
        <v>0</v>
      </c>
      <c r="AB245">
        <f t="shared" si="87"/>
        <v>0</v>
      </c>
      <c r="AC245">
        <f t="shared" si="88"/>
        <v>0</v>
      </c>
    </row>
    <row r="246" spans="1:29" x14ac:dyDescent="0.2">
      <c r="A246">
        <v>245</v>
      </c>
      <c r="B246">
        <f>LoanPool!L246</f>
        <v>54621.394655723321</v>
      </c>
      <c r="C246">
        <f>LoanPool!M246</f>
        <v>291521.50661515241</v>
      </c>
      <c r="D246">
        <f>LoanPool!H246</f>
        <v>3840.5037049191455</v>
      </c>
      <c r="E246">
        <f t="shared" si="89"/>
        <v>0</v>
      </c>
      <c r="F246">
        <f t="shared" si="90"/>
        <v>5628158.2484398065</v>
      </c>
      <c r="G246">
        <f t="shared" si="91"/>
        <v>6856731.9585826779</v>
      </c>
      <c r="H246">
        <f t="shared" si="69"/>
        <v>3840.5037049191455</v>
      </c>
      <c r="I246">
        <f t="shared" si="70"/>
        <v>0</v>
      </c>
      <c r="J246">
        <f t="shared" si="71"/>
        <v>0</v>
      </c>
      <c r="K246">
        <f t="shared" si="72"/>
        <v>0</v>
      </c>
      <c r="L246">
        <f t="shared" si="73"/>
        <v>5628158.2484398065</v>
      </c>
      <c r="M246">
        <f t="shared" si="74"/>
        <v>6852891.4548777584</v>
      </c>
      <c r="N246">
        <f>K246*Inputs!B6/12</f>
        <v>0</v>
      </c>
      <c r="O246">
        <f t="shared" si="75"/>
        <v>0</v>
      </c>
      <c r="P246">
        <f t="shared" si="76"/>
        <v>0</v>
      </c>
      <c r="Q246">
        <f>L246*Inputs!B6/12</f>
        <v>26968.258273774074</v>
      </c>
      <c r="R246">
        <f t="shared" si="77"/>
        <v>26968.258273774074</v>
      </c>
      <c r="S246">
        <f t="shared" si="78"/>
        <v>0</v>
      </c>
      <c r="T246">
        <f t="shared" si="79"/>
        <v>27653.136381949247</v>
      </c>
      <c r="U246">
        <f t="shared" si="80"/>
        <v>0</v>
      </c>
      <c r="V246">
        <f t="shared" si="81"/>
        <v>291521.50661515241</v>
      </c>
      <c r="W246">
        <f t="shared" si="82"/>
        <v>0</v>
      </c>
      <c r="X246">
        <f t="shared" si="83"/>
        <v>0</v>
      </c>
      <c r="Y246">
        <f t="shared" si="84"/>
        <v>5336636.7418246539</v>
      </c>
      <c r="Z246">
        <f t="shared" si="85"/>
        <v>6852891.4548777584</v>
      </c>
      <c r="AA246">
        <f t="shared" si="86"/>
        <v>0</v>
      </c>
      <c r="AB246">
        <f t="shared" si="87"/>
        <v>0</v>
      </c>
      <c r="AC246">
        <f t="shared" si="88"/>
        <v>0</v>
      </c>
    </row>
    <row r="247" spans="1:29" x14ac:dyDescent="0.2">
      <c r="A247">
        <v>246</v>
      </c>
      <c r="B247">
        <f>LoanPool!L247</f>
        <v>53329.185860573016</v>
      </c>
      <c r="C247">
        <f>LoanPool!M247</f>
        <v>288537.74113920238</v>
      </c>
      <c r="D247">
        <f>LoanPool!H247</f>
        <v>3748.4143274754779</v>
      </c>
      <c r="E247">
        <f t="shared" si="89"/>
        <v>0</v>
      </c>
      <c r="F247">
        <f t="shared" si="90"/>
        <v>5336636.7418246539</v>
      </c>
      <c r="G247">
        <f t="shared" si="91"/>
        <v>6852891.4548777584</v>
      </c>
      <c r="H247">
        <f t="shared" si="69"/>
        <v>3748.4143274754779</v>
      </c>
      <c r="I247">
        <f t="shared" si="70"/>
        <v>0</v>
      </c>
      <c r="J247">
        <f t="shared" si="71"/>
        <v>0</v>
      </c>
      <c r="K247">
        <f t="shared" si="72"/>
        <v>0</v>
      </c>
      <c r="L247">
        <f t="shared" si="73"/>
        <v>5336636.7418246539</v>
      </c>
      <c r="M247">
        <f t="shared" si="74"/>
        <v>6849143.0405502832</v>
      </c>
      <c r="N247">
        <f>K247*Inputs!B6/12</f>
        <v>0</v>
      </c>
      <c r="O247">
        <f t="shared" si="75"/>
        <v>0</v>
      </c>
      <c r="P247">
        <f t="shared" si="76"/>
        <v>0</v>
      </c>
      <c r="Q247">
        <f>L247*Inputs!B6/12</f>
        <v>25571.384387909802</v>
      </c>
      <c r="R247">
        <f t="shared" si="77"/>
        <v>25571.384387909802</v>
      </c>
      <c r="S247">
        <f t="shared" si="78"/>
        <v>0</v>
      </c>
      <c r="T247">
        <f t="shared" si="79"/>
        <v>27757.801472663214</v>
      </c>
      <c r="U247">
        <f t="shared" si="80"/>
        <v>0</v>
      </c>
      <c r="V247">
        <f t="shared" si="81"/>
        <v>288537.74113920238</v>
      </c>
      <c r="W247">
        <f t="shared" si="82"/>
        <v>0</v>
      </c>
      <c r="X247">
        <f t="shared" si="83"/>
        <v>0</v>
      </c>
      <c r="Y247">
        <f t="shared" si="84"/>
        <v>5048099.0006854516</v>
      </c>
      <c r="Z247">
        <f t="shared" si="85"/>
        <v>6849143.0405502832</v>
      </c>
      <c r="AA247">
        <f t="shared" si="86"/>
        <v>0</v>
      </c>
      <c r="AB247">
        <f t="shared" si="87"/>
        <v>0</v>
      </c>
      <c r="AC247">
        <f t="shared" si="88"/>
        <v>0</v>
      </c>
    </row>
    <row r="248" spans="1:29" x14ac:dyDescent="0.2">
      <c r="A248">
        <v>247</v>
      </c>
      <c r="B248">
        <f>LoanPool!L248</f>
        <v>52050.433930406296</v>
      </c>
      <c r="C248">
        <f>LoanPool!M248</f>
        <v>285580.42172586592</v>
      </c>
      <c r="D248">
        <f>LoanPool!H248</f>
        <v>3657.2854119063395</v>
      </c>
      <c r="E248">
        <f t="shared" si="89"/>
        <v>0</v>
      </c>
      <c r="F248">
        <f t="shared" si="90"/>
        <v>5048099.0006854516</v>
      </c>
      <c r="G248">
        <f t="shared" si="91"/>
        <v>6849143.0405502832</v>
      </c>
      <c r="H248">
        <f t="shared" si="69"/>
        <v>3657.2854119063395</v>
      </c>
      <c r="I248">
        <f t="shared" si="70"/>
        <v>0</v>
      </c>
      <c r="J248">
        <f t="shared" si="71"/>
        <v>0</v>
      </c>
      <c r="K248">
        <f t="shared" si="72"/>
        <v>0</v>
      </c>
      <c r="L248">
        <f t="shared" si="73"/>
        <v>5048099.0006854516</v>
      </c>
      <c r="M248">
        <f t="shared" si="74"/>
        <v>6845485.7551383767</v>
      </c>
      <c r="N248">
        <f>K248*Inputs!B6/12</f>
        <v>0</v>
      </c>
      <c r="O248">
        <f t="shared" si="75"/>
        <v>0</v>
      </c>
      <c r="P248">
        <f t="shared" si="76"/>
        <v>0</v>
      </c>
      <c r="Q248">
        <f>L248*Inputs!B6/12</f>
        <v>24188.807711617788</v>
      </c>
      <c r="R248">
        <f t="shared" si="77"/>
        <v>24188.807711617788</v>
      </c>
      <c r="S248">
        <f t="shared" si="78"/>
        <v>0</v>
      </c>
      <c r="T248">
        <f t="shared" si="79"/>
        <v>27861.626218788508</v>
      </c>
      <c r="U248">
        <f t="shared" si="80"/>
        <v>0</v>
      </c>
      <c r="V248">
        <f t="shared" si="81"/>
        <v>285580.42172586592</v>
      </c>
      <c r="W248">
        <f t="shared" si="82"/>
        <v>0</v>
      </c>
      <c r="X248">
        <f t="shared" si="83"/>
        <v>0</v>
      </c>
      <c r="Y248">
        <f t="shared" si="84"/>
        <v>4762518.5789595861</v>
      </c>
      <c r="Z248">
        <f t="shared" si="85"/>
        <v>6845485.7551383767</v>
      </c>
      <c r="AA248">
        <f t="shared" si="86"/>
        <v>0</v>
      </c>
      <c r="AB248">
        <f t="shared" si="87"/>
        <v>0</v>
      </c>
      <c r="AC248">
        <f t="shared" si="88"/>
        <v>0</v>
      </c>
    </row>
    <row r="249" spans="1:29" x14ac:dyDescent="0.2">
      <c r="A249">
        <v>248</v>
      </c>
      <c r="B249">
        <f>LoanPool!L249</f>
        <v>50785.018961678543</v>
      </c>
      <c r="C249">
        <f>LoanPool!M249</f>
        <v>282649.32516151195</v>
      </c>
      <c r="D249">
        <f>LoanPool!H249</f>
        <v>3567.1083963771252</v>
      </c>
      <c r="E249">
        <f t="shared" si="89"/>
        <v>0</v>
      </c>
      <c r="F249">
        <f t="shared" si="90"/>
        <v>4762518.5789595861</v>
      </c>
      <c r="G249">
        <f t="shared" si="91"/>
        <v>6845485.7551383767</v>
      </c>
      <c r="H249">
        <f t="shared" si="69"/>
        <v>3567.1083963771252</v>
      </c>
      <c r="I249">
        <f t="shared" si="70"/>
        <v>0</v>
      </c>
      <c r="J249">
        <f t="shared" si="71"/>
        <v>0</v>
      </c>
      <c r="K249">
        <f t="shared" si="72"/>
        <v>0</v>
      </c>
      <c r="L249">
        <f t="shared" si="73"/>
        <v>4762518.5789595861</v>
      </c>
      <c r="M249">
        <f t="shared" si="74"/>
        <v>6841918.6467419993</v>
      </c>
      <c r="N249">
        <f>K249*Inputs!B6/12</f>
        <v>0</v>
      </c>
      <c r="O249">
        <f t="shared" si="75"/>
        <v>0</v>
      </c>
      <c r="P249">
        <f t="shared" si="76"/>
        <v>0</v>
      </c>
      <c r="Q249">
        <f>L249*Inputs!B6/12</f>
        <v>22820.40152418135</v>
      </c>
      <c r="R249">
        <f t="shared" si="77"/>
        <v>22820.40152418135</v>
      </c>
      <c r="S249">
        <f t="shared" si="78"/>
        <v>0</v>
      </c>
      <c r="T249">
        <f t="shared" si="79"/>
        <v>27964.617437497192</v>
      </c>
      <c r="U249">
        <f t="shared" si="80"/>
        <v>0</v>
      </c>
      <c r="V249">
        <f t="shared" si="81"/>
        <v>282649.32516151195</v>
      </c>
      <c r="W249">
        <f t="shared" si="82"/>
        <v>0</v>
      </c>
      <c r="X249">
        <f t="shared" si="83"/>
        <v>0</v>
      </c>
      <c r="Y249">
        <f t="shared" si="84"/>
        <v>4479869.2537980741</v>
      </c>
      <c r="Z249">
        <f t="shared" si="85"/>
        <v>6841918.6467419993</v>
      </c>
      <c r="AA249">
        <f t="shared" si="86"/>
        <v>0</v>
      </c>
      <c r="AB249">
        <f t="shared" si="87"/>
        <v>0</v>
      </c>
      <c r="AC249">
        <f t="shared" si="88"/>
        <v>0</v>
      </c>
    </row>
    <row r="250" spans="1:29" x14ac:dyDescent="0.2">
      <c r="A250">
        <v>249</v>
      </c>
      <c r="B250">
        <f>LoanPool!L250</f>
        <v>49532.822064862783</v>
      </c>
      <c r="C250">
        <f>LoanPool!M250</f>
        <v>279744.23008120491</v>
      </c>
      <c r="D250">
        <f>LoanPool!H250</f>
        <v>3477.874791472485</v>
      </c>
      <c r="E250">
        <f t="shared" si="89"/>
        <v>0</v>
      </c>
      <c r="F250">
        <f t="shared" si="90"/>
        <v>4479869.2537980741</v>
      </c>
      <c r="G250">
        <f t="shared" si="91"/>
        <v>6841918.6467419993</v>
      </c>
      <c r="H250">
        <f t="shared" si="69"/>
        <v>3477.874791472485</v>
      </c>
      <c r="I250">
        <f t="shared" si="70"/>
        <v>0</v>
      </c>
      <c r="J250">
        <f t="shared" si="71"/>
        <v>0</v>
      </c>
      <c r="K250">
        <f t="shared" si="72"/>
        <v>0</v>
      </c>
      <c r="L250">
        <f t="shared" si="73"/>
        <v>4479869.2537980741</v>
      </c>
      <c r="M250">
        <f t="shared" si="74"/>
        <v>6838440.7719505271</v>
      </c>
      <c r="N250">
        <f>K250*Inputs!B6/12</f>
        <v>0</v>
      </c>
      <c r="O250">
        <f t="shared" si="75"/>
        <v>0</v>
      </c>
      <c r="P250">
        <f t="shared" si="76"/>
        <v>0</v>
      </c>
      <c r="Q250">
        <f>L250*Inputs!B6/12</f>
        <v>21466.040174449106</v>
      </c>
      <c r="R250">
        <f t="shared" si="77"/>
        <v>21466.040174449106</v>
      </c>
      <c r="S250">
        <f t="shared" si="78"/>
        <v>0</v>
      </c>
      <c r="T250">
        <f t="shared" si="79"/>
        <v>28066.781890413677</v>
      </c>
      <c r="U250">
        <f t="shared" si="80"/>
        <v>0</v>
      </c>
      <c r="V250">
        <f t="shared" si="81"/>
        <v>279744.23008120491</v>
      </c>
      <c r="W250">
        <f t="shared" si="82"/>
        <v>0</v>
      </c>
      <c r="X250">
        <f t="shared" si="83"/>
        <v>0</v>
      </c>
      <c r="Y250">
        <f t="shared" si="84"/>
        <v>4200125.0237168688</v>
      </c>
      <c r="Z250">
        <f t="shared" si="85"/>
        <v>6838440.7719505271</v>
      </c>
      <c r="AA250">
        <f t="shared" si="86"/>
        <v>0</v>
      </c>
      <c r="AB250">
        <f t="shared" si="87"/>
        <v>0</v>
      </c>
      <c r="AC250">
        <f t="shared" si="88"/>
        <v>0</v>
      </c>
    </row>
    <row r="251" spans="1:29" x14ac:dyDescent="0.2">
      <c r="A251">
        <v>250</v>
      </c>
      <c r="B251">
        <f>LoanPool!L251</f>
        <v>48293.725356044815</v>
      </c>
      <c r="C251">
        <f>LoanPool!M251</f>
        <v>276864.9169535113</v>
      </c>
      <c r="D251">
        <f>LoanPool!H251</f>
        <v>3389.5761795960129</v>
      </c>
      <c r="E251">
        <f t="shared" si="89"/>
        <v>0</v>
      </c>
      <c r="F251">
        <f t="shared" si="90"/>
        <v>4200125.0237168688</v>
      </c>
      <c r="G251">
        <f t="shared" si="91"/>
        <v>6838440.7719505271</v>
      </c>
      <c r="H251">
        <f t="shared" si="69"/>
        <v>3389.5761795960129</v>
      </c>
      <c r="I251">
        <f t="shared" si="70"/>
        <v>0</v>
      </c>
      <c r="J251">
        <f t="shared" si="71"/>
        <v>0</v>
      </c>
      <c r="K251">
        <f t="shared" si="72"/>
        <v>0</v>
      </c>
      <c r="L251">
        <f t="shared" si="73"/>
        <v>4200125.0237168688</v>
      </c>
      <c r="M251">
        <f t="shared" si="74"/>
        <v>6835051.1957709314</v>
      </c>
      <c r="N251">
        <f>K251*Inputs!B6/12</f>
        <v>0</v>
      </c>
      <c r="O251">
        <f t="shared" si="75"/>
        <v>0</v>
      </c>
      <c r="P251">
        <f t="shared" si="76"/>
        <v>0</v>
      </c>
      <c r="Q251">
        <f>L251*Inputs!B6/12</f>
        <v>20125.599071976663</v>
      </c>
      <c r="R251">
        <f t="shared" si="77"/>
        <v>20125.599071976663</v>
      </c>
      <c r="S251">
        <f t="shared" si="78"/>
        <v>0</v>
      </c>
      <c r="T251">
        <f t="shared" si="79"/>
        <v>28168.126284068152</v>
      </c>
      <c r="U251">
        <f t="shared" si="80"/>
        <v>0</v>
      </c>
      <c r="V251">
        <f t="shared" si="81"/>
        <v>276864.9169535113</v>
      </c>
      <c r="W251">
        <f t="shared" si="82"/>
        <v>0</v>
      </c>
      <c r="X251">
        <f t="shared" si="83"/>
        <v>0</v>
      </c>
      <c r="Y251">
        <f t="shared" si="84"/>
        <v>3923260.1067633573</v>
      </c>
      <c r="Z251">
        <f t="shared" si="85"/>
        <v>6835051.1957709314</v>
      </c>
      <c r="AA251">
        <f t="shared" si="86"/>
        <v>0</v>
      </c>
      <c r="AB251">
        <f t="shared" si="87"/>
        <v>0</v>
      </c>
      <c r="AC251">
        <f t="shared" si="88"/>
        <v>0</v>
      </c>
    </row>
    <row r="252" spans="1:29" x14ac:dyDescent="0.2">
      <c r="A252">
        <v>251</v>
      </c>
      <c r="B252">
        <f>LoanPool!L252</f>
        <v>47067.611948587466</v>
      </c>
      <c r="C252">
        <f>LoanPool!M252</f>
        <v>274011.16806542873</v>
      </c>
      <c r="D252">
        <f>LoanPool!H252</f>
        <v>3302.2042143748881</v>
      </c>
      <c r="E252">
        <f t="shared" si="89"/>
        <v>0</v>
      </c>
      <c r="F252">
        <f t="shared" si="90"/>
        <v>3923260.1067633573</v>
      </c>
      <c r="G252">
        <f t="shared" si="91"/>
        <v>6835051.1957709314</v>
      </c>
      <c r="H252">
        <f t="shared" si="69"/>
        <v>3302.2042143748881</v>
      </c>
      <c r="I252">
        <f t="shared" si="70"/>
        <v>0</v>
      </c>
      <c r="J252">
        <f t="shared" si="71"/>
        <v>0</v>
      </c>
      <c r="K252">
        <f t="shared" si="72"/>
        <v>0</v>
      </c>
      <c r="L252">
        <f t="shared" si="73"/>
        <v>3923260.1067633573</v>
      </c>
      <c r="M252">
        <f t="shared" si="74"/>
        <v>6831748.9915565569</v>
      </c>
      <c r="N252">
        <f>K252*Inputs!B6/12</f>
        <v>0</v>
      </c>
      <c r="O252">
        <f t="shared" si="75"/>
        <v>0</v>
      </c>
      <c r="P252">
        <f t="shared" si="76"/>
        <v>0</v>
      </c>
      <c r="Q252">
        <f>L252*Inputs!B6/12</f>
        <v>18798.954678241087</v>
      </c>
      <c r="R252">
        <f t="shared" si="77"/>
        <v>18798.954678241087</v>
      </c>
      <c r="S252">
        <f t="shared" si="78"/>
        <v>0</v>
      </c>
      <c r="T252">
        <f t="shared" si="79"/>
        <v>28268.657270346379</v>
      </c>
      <c r="U252">
        <f t="shared" si="80"/>
        <v>0</v>
      </c>
      <c r="V252">
        <f t="shared" si="81"/>
        <v>274011.16806542873</v>
      </c>
      <c r="W252">
        <f t="shared" si="82"/>
        <v>0</v>
      </c>
      <c r="X252">
        <f t="shared" si="83"/>
        <v>0</v>
      </c>
      <c r="Y252">
        <f t="shared" si="84"/>
        <v>3649248.9386979286</v>
      </c>
      <c r="Z252">
        <f t="shared" si="85"/>
        <v>6831748.9915565569</v>
      </c>
      <c r="AA252">
        <f t="shared" si="86"/>
        <v>0</v>
      </c>
      <c r="AB252">
        <f t="shared" si="87"/>
        <v>0</v>
      </c>
      <c r="AC252">
        <f t="shared" si="88"/>
        <v>0</v>
      </c>
    </row>
    <row r="253" spans="1:29" x14ac:dyDescent="0.2">
      <c r="A253">
        <v>252</v>
      </c>
      <c r="B253">
        <f>LoanPool!L253</f>
        <v>45854.365944863333</v>
      </c>
      <c r="C253">
        <f>LoanPool!M253</f>
        <v>271182.76750744059</v>
      </c>
      <c r="D253">
        <f>LoanPool!H253</f>
        <v>3215.7506200693988</v>
      </c>
      <c r="E253">
        <f t="shared" si="89"/>
        <v>0</v>
      </c>
      <c r="F253">
        <f t="shared" si="90"/>
        <v>3649248.9386979286</v>
      </c>
      <c r="G253">
        <f t="shared" si="91"/>
        <v>6831748.9915565569</v>
      </c>
      <c r="H253">
        <f t="shared" si="69"/>
        <v>3215.7506200693988</v>
      </c>
      <c r="I253">
        <f t="shared" si="70"/>
        <v>0</v>
      </c>
      <c r="J253">
        <f t="shared" si="71"/>
        <v>0</v>
      </c>
      <c r="K253">
        <f t="shared" si="72"/>
        <v>0</v>
      </c>
      <c r="L253">
        <f t="shared" si="73"/>
        <v>3649248.9386979286</v>
      </c>
      <c r="M253">
        <f t="shared" si="74"/>
        <v>6828533.2409364879</v>
      </c>
      <c r="N253">
        <f>K253*Inputs!B6/12</f>
        <v>0</v>
      </c>
      <c r="O253">
        <f t="shared" si="75"/>
        <v>0</v>
      </c>
      <c r="P253">
        <f t="shared" si="76"/>
        <v>0</v>
      </c>
      <c r="Q253">
        <f>L253*Inputs!B6/12</f>
        <v>17485.984497927577</v>
      </c>
      <c r="R253">
        <f t="shared" si="77"/>
        <v>17485.984497927577</v>
      </c>
      <c r="S253">
        <f t="shared" si="78"/>
        <v>0</v>
      </c>
      <c r="T253">
        <f t="shared" si="79"/>
        <v>28368.381446935757</v>
      </c>
      <c r="U253">
        <f t="shared" si="80"/>
        <v>0</v>
      </c>
      <c r="V253">
        <f t="shared" si="81"/>
        <v>271182.76750744059</v>
      </c>
      <c r="W253">
        <f t="shared" si="82"/>
        <v>0</v>
      </c>
      <c r="X253">
        <f t="shared" si="83"/>
        <v>0</v>
      </c>
      <c r="Y253">
        <f t="shared" si="84"/>
        <v>3378066.1711904882</v>
      </c>
      <c r="Z253">
        <f t="shared" si="85"/>
        <v>6828533.2409364879</v>
      </c>
      <c r="AA253">
        <f t="shared" si="86"/>
        <v>0</v>
      </c>
      <c r="AB253">
        <f t="shared" si="87"/>
        <v>0</v>
      </c>
      <c r="AC253">
        <f t="shared" si="88"/>
        <v>0</v>
      </c>
    </row>
    <row r="254" spans="1:29" x14ac:dyDescent="0.2">
      <c r="A254">
        <v>253</v>
      </c>
      <c r="B254">
        <f>LoanPool!L254</f>
        <v>44653.872428055474</v>
      </c>
      <c r="C254">
        <f>LoanPool!M254</f>
        <v>268379.50115869159</v>
      </c>
      <c r="D254">
        <f>LoanPool!H254</f>
        <v>3130.2071909873325</v>
      </c>
      <c r="E254">
        <f t="shared" si="89"/>
        <v>0</v>
      </c>
      <c r="F254">
        <f t="shared" si="90"/>
        <v>3378066.1711904882</v>
      </c>
      <c r="G254">
        <f t="shared" si="91"/>
        <v>6828533.2409364879</v>
      </c>
      <c r="H254">
        <f t="shared" si="69"/>
        <v>3130.2071909873325</v>
      </c>
      <c r="I254">
        <f t="shared" si="70"/>
        <v>0</v>
      </c>
      <c r="J254">
        <f t="shared" si="71"/>
        <v>0</v>
      </c>
      <c r="K254">
        <f t="shared" si="72"/>
        <v>0</v>
      </c>
      <c r="L254">
        <f t="shared" si="73"/>
        <v>3378066.1711904882</v>
      </c>
      <c r="M254">
        <f t="shared" si="74"/>
        <v>6825403.0337455003</v>
      </c>
      <c r="N254">
        <f>K254*Inputs!B6/12</f>
        <v>0</v>
      </c>
      <c r="O254">
        <f t="shared" si="75"/>
        <v>0</v>
      </c>
      <c r="P254">
        <f t="shared" si="76"/>
        <v>0</v>
      </c>
      <c r="Q254">
        <f>L254*Inputs!B6/12</f>
        <v>16186.567070287756</v>
      </c>
      <c r="R254">
        <f t="shared" si="77"/>
        <v>16186.567070287756</v>
      </c>
      <c r="S254">
        <f t="shared" si="78"/>
        <v>0</v>
      </c>
      <c r="T254">
        <f t="shared" si="79"/>
        <v>28467.30535776772</v>
      </c>
      <c r="U254">
        <f t="shared" si="80"/>
        <v>0</v>
      </c>
      <c r="V254">
        <f t="shared" si="81"/>
        <v>268379.50115869159</v>
      </c>
      <c r="W254">
        <f t="shared" si="82"/>
        <v>0</v>
      </c>
      <c r="X254">
        <f t="shared" si="83"/>
        <v>0</v>
      </c>
      <c r="Y254">
        <f t="shared" si="84"/>
        <v>3109686.6700317967</v>
      </c>
      <c r="Z254">
        <f t="shared" si="85"/>
        <v>6825403.0337455003</v>
      </c>
      <c r="AA254">
        <f t="shared" si="86"/>
        <v>0</v>
      </c>
      <c r="AB254">
        <f t="shared" si="87"/>
        <v>0</v>
      </c>
      <c r="AC254">
        <f t="shared" si="88"/>
        <v>0</v>
      </c>
    </row>
    <row r="255" spans="1:29" x14ac:dyDescent="0.2">
      <c r="A255">
        <v>254</v>
      </c>
      <c r="B255">
        <f>LoanPool!L255</f>
        <v>43466.017454025627</v>
      </c>
      <c r="C255">
        <f>LoanPool!M255</f>
        <v>265601.15667228593</v>
      </c>
      <c r="D255">
        <f>LoanPool!H255</f>
        <v>3045.5657909031702</v>
      </c>
      <c r="E255">
        <f t="shared" si="89"/>
        <v>0</v>
      </c>
      <c r="F255">
        <f t="shared" si="90"/>
        <v>3109686.6700317967</v>
      </c>
      <c r="G255">
        <f t="shared" si="91"/>
        <v>6825403.0337455003</v>
      </c>
      <c r="H255">
        <f t="shared" si="69"/>
        <v>3045.5657909031702</v>
      </c>
      <c r="I255">
        <f t="shared" si="70"/>
        <v>0</v>
      </c>
      <c r="J255">
        <f t="shared" si="71"/>
        <v>0</v>
      </c>
      <c r="K255">
        <f t="shared" si="72"/>
        <v>0</v>
      </c>
      <c r="L255">
        <f t="shared" si="73"/>
        <v>3109686.6700317967</v>
      </c>
      <c r="M255">
        <f t="shared" si="74"/>
        <v>6822357.4679545974</v>
      </c>
      <c r="N255">
        <f>K255*Inputs!B6/12</f>
        <v>0</v>
      </c>
      <c r="O255">
        <f t="shared" si="75"/>
        <v>0</v>
      </c>
      <c r="P255">
        <f t="shared" si="76"/>
        <v>0</v>
      </c>
      <c r="Q255">
        <f>L255*Inputs!B6/12</f>
        <v>14900.581960569027</v>
      </c>
      <c r="R255">
        <f t="shared" si="77"/>
        <v>14900.581960569027</v>
      </c>
      <c r="S255">
        <f t="shared" si="78"/>
        <v>0</v>
      </c>
      <c r="T255">
        <f t="shared" si="79"/>
        <v>28565.4354934566</v>
      </c>
      <c r="U255">
        <f t="shared" si="80"/>
        <v>0</v>
      </c>
      <c r="V255">
        <f t="shared" si="81"/>
        <v>265601.15667228593</v>
      </c>
      <c r="W255">
        <f t="shared" si="82"/>
        <v>0</v>
      </c>
      <c r="X255">
        <f t="shared" si="83"/>
        <v>0</v>
      </c>
      <c r="Y255">
        <f t="shared" si="84"/>
        <v>2844085.5133595108</v>
      </c>
      <c r="Z255">
        <f t="shared" si="85"/>
        <v>6822357.4679545974</v>
      </c>
      <c r="AA255">
        <f t="shared" si="86"/>
        <v>0</v>
      </c>
      <c r="AB255">
        <f t="shared" si="87"/>
        <v>0</v>
      </c>
      <c r="AC255">
        <f t="shared" si="88"/>
        <v>0</v>
      </c>
    </row>
    <row r="256" spans="1:29" x14ac:dyDescent="0.2">
      <c r="A256">
        <v>255</v>
      </c>
      <c r="B256">
        <f>LoanPool!L256</f>
        <v>42290.688043249174</v>
      </c>
      <c r="C256">
        <f>LoanPool!M256</f>
        <v>262847.52346070501</v>
      </c>
      <c r="D256">
        <f>LoanPool!H256</f>
        <v>2961.8183524820652</v>
      </c>
      <c r="E256">
        <f t="shared" si="89"/>
        <v>0</v>
      </c>
      <c r="F256">
        <f t="shared" si="90"/>
        <v>2844085.5133595108</v>
      </c>
      <c r="G256">
        <f t="shared" si="91"/>
        <v>6822357.4679545974</v>
      </c>
      <c r="H256">
        <f t="shared" si="69"/>
        <v>2961.8183524820652</v>
      </c>
      <c r="I256">
        <f t="shared" si="70"/>
        <v>0</v>
      </c>
      <c r="J256">
        <f t="shared" si="71"/>
        <v>0</v>
      </c>
      <c r="K256">
        <f t="shared" si="72"/>
        <v>0</v>
      </c>
      <c r="L256">
        <f t="shared" si="73"/>
        <v>2844085.5133595108</v>
      </c>
      <c r="M256">
        <f t="shared" si="74"/>
        <v>6819395.6496021152</v>
      </c>
      <c r="N256">
        <f>K256*Inputs!B6/12</f>
        <v>0</v>
      </c>
      <c r="O256">
        <f t="shared" si="75"/>
        <v>0</v>
      </c>
      <c r="P256">
        <f t="shared" si="76"/>
        <v>0</v>
      </c>
      <c r="Q256">
        <f>L256*Inputs!B6/12</f>
        <v>13627.909751514322</v>
      </c>
      <c r="R256">
        <f t="shared" si="77"/>
        <v>13627.909751514322</v>
      </c>
      <c r="S256">
        <f t="shared" si="78"/>
        <v>0</v>
      </c>
      <c r="T256">
        <f t="shared" si="79"/>
        <v>28662.778291734852</v>
      </c>
      <c r="U256">
        <f t="shared" si="80"/>
        <v>0</v>
      </c>
      <c r="V256">
        <f t="shared" si="81"/>
        <v>262847.52346070501</v>
      </c>
      <c r="W256">
        <f t="shared" si="82"/>
        <v>0</v>
      </c>
      <c r="X256">
        <f t="shared" si="83"/>
        <v>0</v>
      </c>
      <c r="Y256">
        <f t="shared" si="84"/>
        <v>2581237.989898806</v>
      </c>
      <c r="Z256">
        <f t="shared" si="85"/>
        <v>6819395.6496021152</v>
      </c>
      <c r="AA256">
        <f t="shared" si="86"/>
        <v>0</v>
      </c>
      <c r="AB256">
        <f t="shared" si="87"/>
        <v>0</v>
      </c>
      <c r="AC256">
        <f t="shared" si="88"/>
        <v>0</v>
      </c>
    </row>
    <row r="257" spans="1:29" x14ac:dyDescent="0.2">
      <c r="A257">
        <v>256</v>
      </c>
      <c r="B257">
        <f>LoanPool!L257</f>
        <v>41127.772172816491</v>
      </c>
      <c r="C257">
        <f>LoanPool!M257</f>
        <v>260118.39268134505</v>
      </c>
      <c r="D257">
        <f>LoanPool!H257</f>
        <v>2878.956876708552</v>
      </c>
      <c r="E257">
        <f t="shared" si="89"/>
        <v>0</v>
      </c>
      <c r="F257">
        <f t="shared" si="90"/>
        <v>2581237.989898806</v>
      </c>
      <c r="G257">
        <f t="shared" si="91"/>
        <v>6819395.6496021152</v>
      </c>
      <c r="H257">
        <f t="shared" si="69"/>
        <v>2878.956876708552</v>
      </c>
      <c r="I257">
        <f t="shared" si="70"/>
        <v>0</v>
      </c>
      <c r="J257">
        <f t="shared" si="71"/>
        <v>0</v>
      </c>
      <c r="K257">
        <f t="shared" si="72"/>
        <v>0</v>
      </c>
      <c r="L257">
        <f t="shared" si="73"/>
        <v>2581237.989898806</v>
      </c>
      <c r="M257">
        <f t="shared" si="74"/>
        <v>6816516.692725407</v>
      </c>
      <c r="N257">
        <f>K257*Inputs!B6/12</f>
        <v>0</v>
      </c>
      <c r="O257">
        <f t="shared" si="75"/>
        <v>0</v>
      </c>
      <c r="P257">
        <f t="shared" si="76"/>
        <v>0</v>
      </c>
      <c r="Q257">
        <f>L257*Inputs!B6/12</f>
        <v>12368.432034931779</v>
      </c>
      <c r="R257">
        <f t="shared" si="77"/>
        <v>12368.432034931779</v>
      </c>
      <c r="S257">
        <f t="shared" si="78"/>
        <v>0</v>
      </c>
      <c r="T257">
        <f t="shared" si="79"/>
        <v>28759.340137884712</v>
      </c>
      <c r="U257">
        <f t="shared" si="80"/>
        <v>0</v>
      </c>
      <c r="V257">
        <f t="shared" si="81"/>
        <v>260118.39268134505</v>
      </c>
      <c r="W257">
        <f t="shared" si="82"/>
        <v>0</v>
      </c>
      <c r="X257">
        <f t="shared" si="83"/>
        <v>0</v>
      </c>
      <c r="Y257">
        <f t="shared" si="84"/>
        <v>2321119.5972174611</v>
      </c>
      <c r="Z257">
        <f t="shared" si="85"/>
        <v>6816516.692725407</v>
      </c>
      <c r="AA257">
        <f t="shared" si="86"/>
        <v>0</v>
      </c>
      <c r="AB257">
        <f t="shared" si="87"/>
        <v>0</v>
      </c>
      <c r="AC257">
        <f t="shared" si="88"/>
        <v>0</v>
      </c>
    </row>
    <row r="258" spans="1:29" x14ac:dyDescent="0.2">
      <c r="A258">
        <v>257</v>
      </c>
      <c r="B258">
        <f>LoanPool!L258</f>
        <v>39977.158768500005</v>
      </c>
      <c r="C258">
        <f>LoanPool!M258</f>
        <v>257413.55722217294</v>
      </c>
      <c r="D258">
        <f>LoanPool!H258</f>
        <v>2796.9734323199573</v>
      </c>
      <c r="E258">
        <f t="shared" si="89"/>
        <v>0</v>
      </c>
      <c r="F258">
        <f t="shared" si="90"/>
        <v>2321119.5972174611</v>
      </c>
      <c r="G258">
        <f t="shared" si="91"/>
        <v>6816516.692725407</v>
      </c>
      <c r="H258">
        <f t="shared" ref="H258:H321" si="92">MIN(D258,G258)</f>
        <v>2796.9734323199573</v>
      </c>
      <c r="I258">
        <f t="shared" ref="I258:I321" si="93">MIN(MAX(D258-H258,0),F258)</f>
        <v>0</v>
      </c>
      <c r="J258">
        <f t="shared" ref="J258:J321" si="94">MIN(MAX(D258-H258-I258,0),E258)</f>
        <v>0</v>
      </c>
      <c r="K258">
        <f t="shared" ref="K258:K321" si="95">MAX(E258-J258,0)</f>
        <v>0</v>
      </c>
      <c r="L258">
        <f t="shared" ref="L258:L321" si="96">MAX(F258-I258,0)</f>
        <v>2321119.5972174611</v>
      </c>
      <c r="M258">
        <f t="shared" ref="M258:M321" si="97">MAX(G258-H258,0)</f>
        <v>6813719.7192930868</v>
      </c>
      <c r="N258">
        <f>K258*Inputs!B6/12</f>
        <v>0</v>
      </c>
      <c r="O258">
        <f t="shared" ref="O258:O321" si="98">MIN(B258,N258)</f>
        <v>0</v>
      </c>
      <c r="P258">
        <f t="shared" ref="P258:P321" si="99">N258-O258</f>
        <v>0</v>
      </c>
      <c r="Q258">
        <f>L258*Inputs!B6/12</f>
        <v>11122.031403333669</v>
      </c>
      <c r="R258">
        <f t="shared" ref="R258:R321" si="100">MIN(MAX(B258-O258,0),Q258)</f>
        <v>11122.031403333669</v>
      </c>
      <c r="S258">
        <f t="shared" ref="S258:S321" si="101">Q258-R258</f>
        <v>0</v>
      </c>
      <c r="T258">
        <f t="shared" ref="T258:T321" si="102">MAX(B258-O258-R258,0)</f>
        <v>28855.127365166336</v>
      </c>
      <c r="U258">
        <f t="shared" ref="U258:U321" si="103">MIN(C258,K258)</f>
        <v>0</v>
      </c>
      <c r="V258">
        <f t="shared" ref="V258:V321" si="104">MIN(MAX(C258-U258,0),L258)</f>
        <v>257413.55722217294</v>
      </c>
      <c r="W258">
        <f t="shared" ref="W258:W321" si="105">MIN(MAX(C258-U258-V258,0),M258)</f>
        <v>0</v>
      </c>
      <c r="X258">
        <f t="shared" ref="X258:X321" si="106">MAX(K258-U258,0)</f>
        <v>0</v>
      </c>
      <c r="Y258">
        <f t="shared" ref="Y258:Y321" si="107">MAX(L258-V258,0)</f>
        <v>2063706.0399952882</v>
      </c>
      <c r="Z258">
        <f t="shared" ref="Z258:Z321" si="108">MAX(M258-W258,0)</f>
        <v>6813719.7192930868</v>
      </c>
      <c r="AA258">
        <f t="shared" ref="AA258:AA321" si="109">C258-(U258+V258+W258)</f>
        <v>0</v>
      </c>
      <c r="AB258">
        <f t="shared" ref="AB258:AB321" si="110">B258-(O258+R258+T258)</f>
        <v>0</v>
      </c>
      <c r="AC258">
        <f t="shared" ref="AC258:AC321" si="111">D258-(H258+I258+J258)</f>
        <v>0</v>
      </c>
    </row>
    <row r="259" spans="1:29" x14ac:dyDescent="0.2">
      <c r="A259">
        <v>258</v>
      </c>
      <c r="B259">
        <f>LoanPool!L259</f>
        <v>38838.737696886594</v>
      </c>
      <c r="C259">
        <f>LoanPool!M259</f>
        <v>254732.81168750045</v>
      </c>
      <c r="D259">
        <f>LoanPool!H259</f>
        <v>2715.8601552444707</v>
      </c>
      <c r="E259">
        <f t="shared" ref="E259:E322" si="112">X258</f>
        <v>0</v>
      </c>
      <c r="F259">
        <f t="shared" ref="F259:F322" si="113">Y258</f>
        <v>2063706.0399952882</v>
      </c>
      <c r="G259">
        <f t="shared" ref="G259:G322" si="114">Z258</f>
        <v>6813719.7192930868</v>
      </c>
      <c r="H259">
        <f t="shared" si="92"/>
        <v>2715.8601552444707</v>
      </c>
      <c r="I259">
        <f t="shared" si="93"/>
        <v>0</v>
      </c>
      <c r="J259">
        <f t="shared" si="94"/>
        <v>0</v>
      </c>
      <c r="K259">
        <f t="shared" si="95"/>
        <v>0</v>
      </c>
      <c r="L259">
        <f t="shared" si="96"/>
        <v>2063706.0399952882</v>
      </c>
      <c r="M259">
        <f t="shared" si="97"/>
        <v>6811003.8591378424</v>
      </c>
      <c r="N259">
        <f>K259*Inputs!B6/12</f>
        <v>0</v>
      </c>
      <c r="O259">
        <f t="shared" si="98"/>
        <v>0</v>
      </c>
      <c r="P259">
        <f t="shared" si="99"/>
        <v>0</v>
      </c>
      <c r="Q259">
        <f>L259*Inputs!B6/12</f>
        <v>9888.5914416440901</v>
      </c>
      <c r="R259">
        <f t="shared" si="100"/>
        <v>9888.5914416440901</v>
      </c>
      <c r="S259">
        <f t="shared" si="101"/>
        <v>0</v>
      </c>
      <c r="T259">
        <f t="shared" si="102"/>
        <v>28950.146255242504</v>
      </c>
      <c r="U259">
        <f t="shared" si="103"/>
        <v>0</v>
      </c>
      <c r="V259">
        <f t="shared" si="104"/>
        <v>254732.81168750045</v>
      </c>
      <c r="W259">
        <f t="shared" si="105"/>
        <v>0</v>
      </c>
      <c r="X259">
        <f t="shared" si="106"/>
        <v>0</v>
      </c>
      <c r="Y259">
        <f t="shared" si="107"/>
        <v>1808973.2283077878</v>
      </c>
      <c r="Z259">
        <f t="shared" si="108"/>
        <v>6811003.8591378424</v>
      </c>
      <c r="AA259">
        <f t="shared" si="109"/>
        <v>0</v>
      </c>
      <c r="AB259">
        <f t="shared" si="110"/>
        <v>0</v>
      </c>
      <c r="AC259">
        <f t="shared" si="111"/>
        <v>0</v>
      </c>
    </row>
    <row r="260" spans="1:29" x14ac:dyDescent="0.2">
      <c r="A260">
        <v>259</v>
      </c>
      <c r="B260">
        <f>LoanPool!L260</f>
        <v>37712.399757574582</v>
      </c>
      <c r="C260">
        <f>LoanPool!M260</f>
        <v>252075.9523838739</v>
      </c>
      <c r="D260">
        <f>LoanPool!H260</f>
        <v>2635.6092480438328</v>
      </c>
      <c r="E260">
        <f t="shared" si="112"/>
        <v>0</v>
      </c>
      <c r="F260">
        <f t="shared" si="113"/>
        <v>1808973.2283077878</v>
      </c>
      <c r="G260">
        <f t="shared" si="114"/>
        <v>6811003.8591378424</v>
      </c>
      <c r="H260">
        <f t="shared" si="92"/>
        <v>2635.6092480438328</v>
      </c>
      <c r="I260">
        <f t="shared" si="93"/>
        <v>0</v>
      </c>
      <c r="J260">
        <f t="shared" si="94"/>
        <v>0</v>
      </c>
      <c r="K260">
        <f t="shared" si="95"/>
        <v>0</v>
      </c>
      <c r="L260">
        <f t="shared" si="96"/>
        <v>1808973.2283077878</v>
      </c>
      <c r="M260">
        <f t="shared" si="97"/>
        <v>6808368.2498897985</v>
      </c>
      <c r="N260">
        <f>K260*Inputs!B6/12</f>
        <v>0</v>
      </c>
      <c r="O260">
        <f t="shared" si="98"/>
        <v>0</v>
      </c>
      <c r="P260">
        <f t="shared" si="99"/>
        <v>0</v>
      </c>
      <c r="Q260">
        <f>L260*Inputs!B6/12</f>
        <v>8667.9967189748168</v>
      </c>
      <c r="R260">
        <f t="shared" si="100"/>
        <v>8667.9967189748168</v>
      </c>
      <c r="S260">
        <f t="shared" si="101"/>
        <v>0</v>
      </c>
      <c r="T260">
        <f t="shared" si="102"/>
        <v>29044.403038599765</v>
      </c>
      <c r="U260">
        <f t="shared" si="103"/>
        <v>0</v>
      </c>
      <c r="V260">
        <f t="shared" si="104"/>
        <v>252075.9523838739</v>
      </c>
      <c r="W260">
        <f t="shared" si="105"/>
        <v>0</v>
      </c>
      <c r="X260">
        <f t="shared" si="106"/>
        <v>0</v>
      </c>
      <c r="Y260">
        <f t="shared" si="107"/>
        <v>1556897.2759239138</v>
      </c>
      <c r="Z260">
        <f t="shared" si="108"/>
        <v>6808368.2498897985</v>
      </c>
      <c r="AA260">
        <f t="shared" si="109"/>
        <v>0</v>
      </c>
      <c r="AB260">
        <f t="shared" si="110"/>
        <v>0</v>
      </c>
      <c r="AC260">
        <f t="shared" si="111"/>
        <v>0</v>
      </c>
    </row>
    <row r="261" spans="1:29" x14ac:dyDescent="0.2">
      <c r="A261">
        <v>260</v>
      </c>
      <c r="B261">
        <f>LoanPool!L261</f>
        <v>36598.036675434938</v>
      </c>
      <c r="C261">
        <f>LoanPool!M261</f>
        <v>249442.77730607963</v>
      </c>
      <c r="D261">
        <f>LoanPool!H261</f>
        <v>2556.2129793606086</v>
      </c>
      <c r="E261">
        <f t="shared" si="112"/>
        <v>0</v>
      </c>
      <c r="F261">
        <f t="shared" si="113"/>
        <v>1556897.2759239138</v>
      </c>
      <c r="G261">
        <f t="shared" si="114"/>
        <v>6808368.2498897985</v>
      </c>
      <c r="H261">
        <f t="shared" si="92"/>
        <v>2556.2129793606086</v>
      </c>
      <c r="I261">
        <f t="shared" si="93"/>
        <v>0</v>
      </c>
      <c r="J261">
        <f t="shared" si="94"/>
        <v>0</v>
      </c>
      <c r="K261">
        <f t="shared" si="95"/>
        <v>0</v>
      </c>
      <c r="L261">
        <f t="shared" si="96"/>
        <v>1556897.2759239138</v>
      </c>
      <c r="M261">
        <f t="shared" si="97"/>
        <v>6805812.036910438</v>
      </c>
      <c r="N261">
        <f>K261*Inputs!B6/12</f>
        <v>0</v>
      </c>
      <c r="O261">
        <f t="shared" si="98"/>
        <v>0</v>
      </c>
      <c r="P261">
        <f t="shared" si="99"/>
        <v>0</v>
      </c>
      <c r="Q261">
        <f>L261*Inputs!B6/12</f>
        <v>7460.1327804687535</v>
      </c>
      <c r="R261">
        <f t="shared" si="100"/>
        <v>7460.1327804687535</v>
      </c>
      <c r="S261">
        <f t="shared" si="101"/>
        <v>0</v>
      </c>
      <c r="T261">
        <f t="shared" si="102"/>
        <v>29137.903894966184</v>
      </c>
      <c r="U261">
        <f t="shared" si="103"/>
        <v>0</v>
      </c>
      <c r="V261">
        <f t="shared" si="104"/>
        <v>249442.77730607963</v>
      </c>
      <c r="W261">
        <f t="shared" si="105"/>
        <v>0</v>
      </c>
      <c r="X261">
        <f t="shared" si="106"/>
        <v>0</v>
      </c>
      <c r="Y261">
        <f t="shared" si="107"/>
        <v>1307454.4986178342</v>
      </c>
      <c r="Z261">
        <f t="shared" si="108"/>
        <v>6805812.036910438</v>
      </c>
      <c r="AA261">
        <f t="shared" si="109"/>
        <v>0</v>
      </c>
      <c r="AB261">
        <f t="shared" si="110"/>
        <v>0</v>
      </c>
      <c r="AC261">
        <f t="shared" si="111"/>
        <v>0</v>
      </c>
    </row>
    <row r="262" spans="1:29" x14ac:dyDescent="0.2">
      <c r="A262">
        <v>261</v>
      </c>
      <c r="B262">
        <f>LoanPool!L262</f>
        <v>35495.541092936139</v>
      </c>
      <c r="C262">
        <f>LoanPool!M262</f>
        <v>246833.08612326536</v>
      </c>
      <c r="D262">
        <f>LoanPool!H262</f>
        <v>2477.6636833700081</v>
      </c>
      <c r="E262">
        <f t="shared" si="112"/>
        <v>0</v>
      </c>
      <c r="F262">
        <f t="shared" si="113"/>
        <v>1307454.4986178342</v>
      </c>
      <c r="G262">
        <f t="shared" si="114"/>
        <v>6805812.036910438</v>
      </c>
      <c r="H262">
        <f t="shared" si="92"/>
        <v>2477.6636833700081</v>
      </c>
      <c r="I262">
        <f t="shared" si="93"/>
        <v>0</v>
      </c>
      <c r="J262">
        <f t="shared" si="94"/>
        <v>0</v>
      </c>
      <c r="K262">
        <f t="shared" si="95"/>
        <v>0</v>
      </c>
      <c r="L262">
        <f t="shared" si="96"/>
        <v>1307454.4986178342</v>
      </c>
      <c r="M262">
        <f t="shared" si="97"/>
        <v>6803334.3732270682</v>
      </c>
      <c r="N262">
        <f>K262*Inputs!B6/12</f>
        <v>0</v>
      </c>
      <c r="O262">
        <f t="shared" si="98"/>
        <v>0</v>
      </c>
      <c r="P262">
        <f t="shared" si="99"/>
        <v>0</v>
      </c>
      <c r="Q262">
        <f>L262*Inputs!B6/12</f>
        <v>6264.8861392104554</v>
      </c>
      <c r="R262">
        <f t="shared" si="100"/>
        <v>6264.8861392104554</v>
      </c>
      <c r="S262">
        <f t="shared" si="101"/>
        <v>0</v>
      </c>
      <c r="T262">
        <f t="shared" si="102"/>
        <v>29230.654953725683</v>
      </c>
      <c r="U262">
        <f t="shared" si="103"/>
        <v>0</v>
      </c>
      <c r="V262">
        <f t="shared" si="104"/>
        <v>246833.08612326536</v>
      </c>
      <c r="W262">
        <f t="shared" si="105"/>
        <v>0</v>
      </c>
      <c r="X262">
        <f t="shared" si="106"/>
        <v>0</v>
      </c>
      <c r="Y262">
        <f t="shared" si="107"/>
        <v>1060621.4124945689</v>
      </c>
      <c r="Z262">
        <f t="shared" si="108"/>
        <v>6803334.3732270682</v>
      </c>
      <c r="AA262">
        <f t="shared" si="109"/>
        <v>0</v>
      </c>
      <c r="AB262">
        <f t="shared" si="110"/>
        <v>0</v>
      </c>
      <c r="AC262">
        <f t="shared" si="111"/>
        <v>0</v>
      </c>
    </row>
    <row r="263" spans="1:29" x14ac:dyDescent="0.2">
      <c r="A263">
        <v>262</v>
      </c>
      <c r="B263">
        <f>LoanPool!L263</f>
        <v>34404.806562532118</v>
      </c>
      <c r="C263">
        <f>LoanPool!M263</f>
        <v>244246.68016517325</v>
      </c>
      <c r="D263">
        <f>LoanPool!H263</f>
        <v>2399.9537592362103</v>
      </c>
      <c r="E263">
        <f t="shared" si="112"/>
        <v>0</v>
      </c>
      <c r="F263">
        <f t="shared" si="113"/>
        <v>1060621.4124945689</v>
      </c>
      <c r="G263">
        <f t="shared" si="114"/>
        <v>6803334.3732270682</v>
      </c>
      <c r="H263">
        <f t="shared" si="92"/>
        <v>2399.9537592362103</v>
      </c>
      <c r="I263">
        <f t="shared" si="93"/>
        <v>0</v>
      </c>
      <c r="J263">
        <f t="shared" si="94"/>
        <v>0</v>
      </c>
      <c r="K263">
        <f t="shared" si="95"/>
        <v>0</v>
      </c>
      <c r="L263">
        <f t="shared" si="96"/>
        <v>1060621.4124945689</v>
      </c>
      <c r="M263">
        <f t="shared" si="97"/>
        <v>6800934.419467832</v>
      </c>
      <c r="N263">
        <f>K263*Inputs!B6/12</f>
        <v>0</v>
      </c>
      <c r="O263">
        <f t="shared" si="98"/>
        <v>0</v>
      </c>
      <c r="P263">
        <f t="shared" si="99"/>
        <v>0</v>
      </c>
      <c r="Q263">
        <f>L263*Inputs!B6/12</f>
        <v>5082.1442682031429</v>
      </c>
      <c r="R263">
        <f t="shared" si="100"/>
        <v>5082.1442682031429</v>
      </c>
      <c r="S263">
        <f t="shared" si="101"/>
        <v>0</v>
      </c>
      <c r="T263">
        <f t="shared" si="102"/>
        <v>29322.662294328977</v>
      </c>
      <c r="U263">
        <f t="shared" si="103"/>
        <v>0</v>
      </c>
      <c r="V263">
        <f t="shared" si="104"/>
        <v>244246.68016517325</v>
      </c>
      <c r="W263">
        <f t="shared" si="105"/>
        <v>0</v>
      </c>
      <c r="X263">
        <f t="shared" si="106"/>
        <v>0</v>
      </c>
      <c r="Y263">
        <f t="shared" si="107"/>
        <v>816374.7323293956</v>
      </c>
      <c r="Z263">
        <f t="shared" si="108"/>
        <v>6800934.419467832</v>
      </c>
      <c r="AA263">
        <f t="shared" si="109"/>
        <v>0</v>
      </c>
      <c r="AB263">
        <f t="shared" si="110"/>
        <v>0</v>
      </c>
      <c r="AC263">
        <f t="shared" si="111"/>
        <v>0</v>
      </c>
    </row>
    <row r="264" spans="1:29" x14ac:dyDescent="0.2">
      <c r="A264">
        <v>263</v>
      </c>
      <c r="B264">
        <f>LoanPool!L264</f>
        <v>33325.727539112821</v>
      </c>
      <c r="C264">
        <f>LoanPool!M264</f>
        <v>241683.36240848756</v>
      </c>
      <c r="D264">
        <f>LoanPool!H264</f>
        <v>2323.0756705731669</v>
      </c>
      <c r="E264">
        <f t="shared" si="112"/>
        <v>0</v>
      </c>
      <c r="F264">
        <f t="shared" si="113"/>
        <v>816374.7323293956</v>
      </c>
      <c r="G264">
        <f t="shared" si="114"/>
        <v>6800934.419467832</v>
      </c>
      <c r="H264">
        <f t="shared" si="92"/>
        <v>2323.0756705731669</v>
      </c>
      <c r="I264">
        <f t="shared" si="93"/>
        <v>0</v>
      </c>
      <c r="J264">
        <f t="shared" si="94"/>
        <v>0</v>
      </c>
      <c r="K264">
        <f t="shared" si="95"/>
        <v>0</v>
      </c>
      <c r="L264">
        <f t="shared" si="96"/>
        <v>816374.7323293956</v>
      </c>
      <c r="M264">
        <f t="shared" si="97"/>
        <v>6798611.343797259</v>
      </c>
      <c r="N264">
        <f>K264*Inputs!B6/12</f>
        <v>0</v>
      </c>
      <c r="O264">
        <f t="shared" si="98"/>
        <v>0</v>
      </c>
      <c r="P264">
        <f t="shared" si="99"/>
        <v>0</v>
      </c>
      <c r="Q264">
        <f>L264*Inputs!B6/12</f>
        <v>3911.7955924116873</v>
      </c>
      <c r="R264">
        <f t="shared" si="100"/>
        <v>3911.7955924116873</v>
      </c>
      <c r="S264">
        <f t="shared" si="101"/>
        <v>0</v>
      </c>
      <c r="T264">
        <f t="shared" si="102"/>
        <v>29413.931946701134</v>
      </c>
      <c r="U264">
        <f t="shared" si="103"/>
        <v>0</v>
      </c>
      <c r="V264">
        <f t="shared" si="104"/>
        <v>241683.36240848756</v>
      </c>
      <c r="W264">
        <f t="shared" si="105"/>
        <v>0</v>
      </c>
      <c r="X264">
        <f t="shared" si="106"/>
        <v>0</v>
      </c>
      <c r="Y264">
        <f t="shared" si="107"/>
        <v>574691.36992090801</v>
      </c>
      <c r="Z264">
        <f t="shared" si="108"/>
        <v>6798611.343797259</v>
      </c>
      <c r="AA264">
        <f t="shared" si="109"/>
        <v>0</v>
      </c>
      <c r="AB264">
        <f t="shared" si="110"/>
        <v>0</v>
      </c>
      <c r="AC264">
        <f t="shared" si="111"/>
        <v>0</v>
      </c>
    </row>
    <row r="265" spans="1:29" x14ac:dyDescent="0.2">
      <c r="A265">
        <v>264</v>
      </c>
      <c r="B265">
        <f>LoanPool!L265</f>
        <v>32258.199372516927</v>
      </c>
      <c r="C265">
        <f>LoanPool!M265</f>
        <v>239142.93746329329</v>
      </c>
      <c r="D265">
        <f>LoanPool!H265</f>
        <v>2247.0219449098322</v>
      </c>
      <c r="E265">
        <f t="shared" si="112"/>
        <v>0</v>
      </c>
      <c r="F265">
        <f t="shared" si="113"/>
        <v>574691.36992090801</v>
      </c>
      <c r="G265">
        <f t="shared" si="114"/>
        <v>6798611.343797259</v>
      </c>
      <c r="H265">
        <f t="shared" si="92"/>
        <v>2247.0219449098322</v>
      </c>
      <c r="I265">
        <f t="shared" si="93"/>
        <v>0</v>
      </c>
      <c r="J265">
        <f t="shared" si="94"/>
        <v>0</v>
      </c>
      <c r="K265">
        <f t="shared" si="95"/>
        <v>0</v>
      </c>
      <c r="L265">
        <f t="shared" si="96"/>
        <v>574691.36992090801</v>
      </c>
      <c r="M265">
        <f t="shared" si="97"/>
        <v>6796364.3218523487</v>
      </c>
      <c r="N265">
        <f>K265*Inputs!B6/12</f>
        <v>0</v>
      </c>
      <c r="O265">
        <f t="shared" si="98"/>
        <v>0</v>
      </c>
      <c r="P265">
        <f t="shared" si="99"/>
        <v>0</v>
      </c>
      <c r="Q265">
        <f>L265*Inputs!B6/12</f>
        <v>2753.7294808710176</v>
      </c>
      <c r="R265">
        <f t="shared" si="100"/>
        <v>2753.7294808710176</v>
      </c>
      <c r="S265">
        <f t="shared" si="101"/>
        <v>0</v>
      </c>
      <c r="T265">
        <f t="shared" si="102"/>
        <v>29504.469891645909</v>
      </c>
      <c r="U265">
        <f t="shared" si="103"/>
        <v>0</v>
      </c>
      <c r="V265">
        <f t="shared" si="104"/>
        <v>239142.93746329329</v>
      </c>
      <c r="W265">
        <f t="shared" si="105"/>
        <v>0</v>
      </c>
      <c r="X265">
        <f t="shared" si="106"/>
        <v>0</v>
      </c>
      <c r="Y265">
        <f t="shared" si="107"/>
        <v>335548.43245761469</v>
      </c>
      <c r="Z265">
        <f t="shared" si="108"/>
        <v>6796364.3218523487</v>
      </c>
      <c r="AA265">
        <f t="shared" si="109"/>
        <v>0</v>
      </c>
      <c r="AB265">
        <f t="shared" si="110"/>
        <v>0</v>
      </c>
      <c r="AC265">
        <f t="shared" si="111"/>
        <v>0</v>
      </c>
    </row>
    <row r="266" spans="1:29" x14ac:dyDescent="0.2">
      <c r="A266">
        <v>265</v>
      </c>
      <c r="B266">
        <f>LoanPool!L266</f>
        <v>31202.118300106042</v>
      </c>
      <c r="C266">
        <f>LoanPool!M266</f>
        <v>236625.21155964604</v>
      </c>
      <c r="D266">
        <f>LoanPool!H266</f>
        <v>2171.7851731597984</v>
      </c>
      <c r="E266">
        <f t="shared" si="112"/>
        <v>0</v>
      </c>
      <c r="F266">
        <f t="shared" si="113"/>
        <v>335548.43245761469</v>
      </c>
      <c r="G266">
        <f t="shared" si="114"/>
        <v>6796364.3218523487</v>
      </c>
      <c r="H266">
        <f t="shared" si="92"/>
        <v>2171.7851731597984</v>
      </c>
      <c r="I266">
        <f t="shared" si="93"/>
        <v>0</v>
      </c>
      <c r="J266">
        <f t="shared" si="94"/>
        <v>0</v>
      </c>
      <c r="K266">
        <f t="shared" si="95"/>
        <v>0</v>
      </c>
      <c r="L266">
        <f t="shared" si="96"/>
        <v>335548.43245761469</v>
      </c>
      <c r="M266">
        <f t="shared" si="97"/>
        <v>6794192.5366791887</v>
      </c>
      <c r="N266">
        <f>K266*Inputs!B6/12</f>
        <v>0</v>
      </c>
      <c r="O266">
        <f t="shared" si="98"/>
        <v>0</v>
      </c>
      <c r="P266">
        <f t="shared" si="99"/>
        <v>0</v>
      </c>
      <c r="Q266">
        <f>L266*Inputs!B6/12</f>
        <v>1607.8362388594039</v>
      </c>
      <c r="R266">
        <f t="shared" si="100"/>
        <v>1607.8362388594039</v>
      </c>
      <c r="S266">
        <f t="shared" si="101"/>
        <v>0</v>
      </c>
      <c r="T266">
        <f t="shared" si="102"/>
        <v>29594.282061246638</v>
      </c>
      <c r="U266">
        <f t="shared" si="103"/>
        <v>0</v>
      </c>
      <c r="V266">
        <f t="shared" si="104"/>
        <v>236625.21155964604</v>
      </c>
      <c r="W266">
        <f t="shared" si="105"/>
        <v>0</v>
      </c>
      <c r="X266">
        <f t="shared" si="106"/>
        <v>0</v>
      </c>
      <c r="Y266">
        <f t="shared" si="107"/>
        <v>98923.220897968655</v>
      </c>
      <c r="Z266">
        <f t="shared" si="108"/>
        <v>6794192.5366791887</v>
      </c>
      <c r="AA266">
        <f t="shared" si="109"/>
        <v>0</v>
      </c>
      <c r="AB266">
        <f t="shared" si="110"/>
        <v>0</v>
      </c>
      <c r="AC266">
        <f t="shared" si="111"/>
        <v>0</v>
      </c>
    </row>
    <row r="267" spans="1:29" x14ac:dyDescent="0.2">
      <c r="A267">
        <v>266</v>
      </c>
      <c r="B267">
        <f>LoanPool!L267</f>
        <v>30157.381439400007</v>
      </c>
      <c r="C267">
        <f>LoanPool!M267</f>
        <v>234129.99253425171</v>
      </c>
      <c r="D267">
        <f>LoanPool!H267</f>
        <v>2097.3580090952869</v>
      </c>
      <c r="E267">
        <f t="shared" si="112"/>
        <v>0</v>
      </c>
      <c r="F267">
        <f t="shared" si="113"/>
        <v>98923.220897968655</v>
      </c>
      <c r="G267">
        <f t="shared" si="114"/>
        <v>6794192.5366791887</v>
      </c>
      <c r="H267">
        <f t="shared" si="92"/>
        <v>2097.3580090952869</v>
      </c>
      <c r="I267">
        <f t="shared" si="93"/>
        <v>0</v>
      </c>
      <c r="J267">
        <f t="shared" si="94"/>
        <v>0</v>
      </c>
      <c r="K267">
        <f t="shared" si="95"/>
        <v>0</v>
      </c>
      <c r="L267">
        <f t="shared" si="96"/>
        <v>98923.220897968655</v>
      </c>
      <c r="M267">
        <f t="shared" si="97"/>
        <v>6792095.1786700934</v>
      </c>
      <c r="N267">
        <f>K267*Inputs!B6/12</f>
        <v>0</v>
      </c>
      <c r="O267">
        <f t="shared" si="98"/>
        <v>0</v>
      </c>
      <c r="P267">
        <f t="shared" si="99"/>
        <v>0</v>
      </c>
      <c r="Q267">
        <f>L267*Inputs!B6/12</f>
        <v>474.00710013609984</v>
      </c>
      <c r="R267">
        <f t="shared" si="100"/>
        <v>474.00710013609984</v>
      </c>
      <c r="S267">
        <f t="shared" si="101"/>
        <v>0</v>
      </c>
      <c r="T267">
        <f t="shared" si="102"/>
        <v>29683.374339263908</v>
      </c>
      <c r="U267">
        <f t="shared" si="103"/>
        <v>0</v>
      </c>
      <c r="V267">
        <f t="shared" si="104"/>
        <v>98923.220897968655</v>
      </c>
      <c r="W267">
        <f t="shared" si="105"/>
        <v>135206.77163628305</v>
      </c>
      <c r="X267">
        <f t="shared" si="106"/>
        <v>0</v>
      </c>
      <c r="Y267">
        <f t="shared" si="107"/>
        <v>0</v>
      </c>
      <c r="Z267">
        <f t="shared" si="108"/>
        <v>6656888.4070338104</v>
      </c>
      <c r="AA267">
        <f t="shared" si="109"/>
        <v>0</v>
      </c>
      <c r="AB267">
        <f t="shared" si="110"/>
        <v>0</v>
      </c>
      <c r="AC267">
        <f t="shared" si="111"/>
        <v>0</v>
      </c>
    </row>
    <row r="268" spans="1:29" x14ac:dyDescent="0.2">
      <c r="A268">
        <v>267</v>
      </c>
      <c r="B268">
        <f>LoanPool!L268</f>
        <v>29123.886780772867</v>
      </c>
      <c r="C268">
        <f>LoanPool!M268</f>
        <v>231657.08981725521</v>
      </c>
      <c r="D268">
        <f>LoanPool!H268</f>
        <v>2023.7331688254735</v>
      </c>
      <c r="E268">
        <f t="shared" si="112"/>
        <v>0</v>
      </c>
      <c r="F268">
        <f t="shared" si="113"/>
        <v>0</v>
      </c>
      <c r="G268">
        <f t="shared" si="114"/>
        <v>6656888.4070338104</v>
      </c>
      <c r="H268">
        <f t="shared" si="92"/>
        <v>2023.7331688254735</v>
      </c>
      <c r="I268">
        <f t="shared" si="93"/>
        <v>0</v>
      </c>
      <c r="J268">
        <f t="shared" si="94"/>
        <v>0</v>
      </c>
      <c r="K268">
        <f t="shared" si="95"/>
        <v>0</v>
      </c>
      <c r="L268">
        <f t="shared" si="96"/>
        <v>0</v>
      </c>
      <c r="M268">
        <f t="shared" si="97"/>
        <v>6654864.6738649849</v>
      </c>
      <c r="N268">
        <f>K268*Inputs!B6/12</f>
        <v>0</v>
      </c>
      <c r="O268">
        <f t="shared" si="98"/>
        <v>0</v>
      </c>
      <c r="P268">
        <f t="shared" si="99"/>
        <v>0</v>
      </c>
      <c r="Q268">
        <f>L268*Inputs!B6/12</f>
        <v>0</v>
      </c>
      <c r="R268">
        <f t="shared" si="100"/>
        <v>0</v>
      </c>
      <c r="S268">
        <f t="shared" si="101"/>
        <v>0</v>
      </c>
      <c r="T268">
        <f t="shared" si="102"/>
        <v>29123.886780772867</v>
      </c>
      <c r="U268">
        <f t="shared" si="103"/>
        <v>0</v>
      </c>
      <c r="V268">
        <f t="shared" si="104"/>
        <v>0</v>
      </c>
      <c r="W268">
        <f t="shared" si="105"/>
        <v>231657.08981725521</v>
      </c>
      <c r="X268">
        <f t="shared" si="106"/>
        <v>0</v>
      </c>
      <c r="Y268">
        <f t="shared" si="107"/>
        <v>0</v>
      </c>
      <c r="Z268">
        <f t="shared" si="108"/>
        <v>6423207.5840477301</v>
      </c>
      <c r="AA268">
        <f t="shared" si="109"/>
        <v>0</v>
      </c>
      <c r="AB268">
        <f t="shared" si="110"/>
        <v>0</v>
      </c>
      <c r="AC268">
        <f t="shared" si="111"/>
        <v>0</v>
      </c>
    </row>
    <row r="269" spans="1:29" x14ac:dyDescent="0.2">
      <c r="A269">
        <v>268</v>
      </c>
      <c r="B269">
        <f>LoanPool!L269</f>
        <v>28101.533180208768</v>
      </c>
      <c r="C269">
        <f>LoanPool!M269</f>
        <v>229206.31441913868</v>
      </c>
      <c r="D269">
        <f>LoanPool!H269</f>
        <v>1950.9034302790994</v>
      </c>
      <c r="E269">
        <f t="shared" si="112"/>
        <v>0</v>
      </c>
      <c r="F269">
        <f t="shared" si="113"/>
        <v>0</v>
      </c>
      <c r="G269">
        <f t="shared" si="114"/>
        <v>6423207.5840477301</v>
      </c>
      <c r="H269">
        <f t="shared" si="92"/>
        <v>1950.9034302790994</v>
      </c>
      <c r="I269">
        <f t="shared" si="93"/>
        <v>0</v>
      </c>
      <c r="J269">
        <f t="shared" si="94"/>
        <v>0</v>
      </c>
      <c r="K269">
        <f t="shared" si="95"/>
        <v>0</v>
      </c>
      <c r="L269">
        <f t="shared" si="96"/>
        <v>0</v>
      </c>
      <c r="M269">
        <f t="shared" si="97"/>
        <v>6421256.6806174507</v>
      </c>
      <c r="N269">
        <f>K269*Inputs!B6/12</f>
        <v>0</v>
      </c>
      <c r="O269">
        <f t="shared" si="98"/>
        <v>0</v>
      </c>
      <c r="P269">
        <f t="shared" si="99"/>
        <v>0</v>
      </c>
      <c r="Q269">
        <f>L269*Inputs!B6/12</f>
        <v>0</v>
      </c>
      <c r="R269">
        <f t="shared" si="100"/>
        <v>0</v>
      </c>
      <c r="S269">
        <f t="shared" si="101"/>
        <v>0</v>
      </c>
      <c r="T269">
        <f t="shared" si="102"/>
        <v>28101.533180208768</v>
      </c>
      <c r="U269">
        <f t="shared" si="103"/>
        <v>0</v>
      </c>
      <c r="V269">
        <f t="shared" si="104"/>
        <v>0</v>
      </c>
      <c r="W269">
        <f t="shared" si="105"/>
        <v>229206.31441913868</v>
      </c>
      <c r="X269">
        <f t="shared" si="106"/>
        <v>0</v>
      </c>
      <c r="Y269">
        <f t="shared" si="107"/>
        <v>0</v>
      </c>
      <c r="Z269">
        <f t="shared" si="108"/>
        <v>6192050.3661983125</v>
      </c>
      <c r="AA269">
        <f t="shared" si="109"/>
        <v>0</v>
      </c>
      <c r="AB269">
        <f t="shared" si="110"/>
        <v>0</v>
      </c>
      <c r="AC269">
        <f t="shared" si="111"/>
        <v>0</v>
      </c>
    </row>
    <row r="270" spans="1:29" x14ac:dyDescent="0.2">
      <c r="A270">
        <v>269</v>
      </c>
      <c r="B270">
        <f>LoanPool!L270</f>
        <v>27090.220352117565</v>
      </c>
      <c r="C270">
        <f>LoanPool!M270</f>
        <v>226777.47891772477</v>
      </c>
      <c r="D270">
        <f>LoanPool!H270</f>
        <v>1878.8616326913395</v>
      </c>
      <c r="E270">
        <f t="shared" si="112"/>
        <v>0</v>
      </c>
      <c r="F270">
        <f t="shared" si="113"/>
        <v>0</v>
      </c>
      <c r="G270">
        <f t="shared" si="114"/>
        <v>6192050.3661983125</v>
      </c>
      <c r="H270">
        <f t="shared" si="92"/>
        <v>1878.8616326913395</v>
      </c>
      <c r="I270">
        <f t="shared" si="93"/>
        <v>0</v>
      </c>
      <c r="J270">
        <f t="shared" si="94"/>
        <v>0</v>
      </c>
      <c r="K270">
        <f t="shared" si="95"/>
        <v>0</v>
      </c>
      <c r="L270">
        <f t="shared" si="96"/>
        <v>0</v>
      </c>
      <c r="M270">
        <f t="shared" si="97"/>
        <v>6190171.5045656208</v>
      </c>
      <c r="N270">
        <f>K270*Inputs!B6/12</f>
        <v>0</v>
      </c>
      <c r="O270">
        <f t="shared" si="98"/>
        <v>0</v>
      </c>
      <c r="P270">
        <f t="shared" si="99"/>
        <v>0</v>
      </c>
      <c r="Q270">
        <f>L270*Inputs!B6/12</f>
        <v>0</v>
      </c>
      <c r="R270">
        <f t="shared" si="100"/>
        <v>0</v>
      </c>
      <c r="S270">
        <f t="shared" si="101"/>
        <v>0</v>
      </c>
      <c r="T270">
        <f t="shared" si="102"/>
        <v>27090.220352117565</v>
      </c>
      <c r="U270">
        <f t="shared" si="103"/>
        <v>0</v>
      </c>
      <c r="V270">
        <f t="shared" si="104"/>
        <v>0</v>
      </c>
      <c r="W270">
        <f t="shared" si="105"/>
        <v>226777.47891772477</v>
      </c>
      <c r="X270">
        <f t="shared" si="106"/>
        <v>0</v>
      </c>
      <c r="Y270">
        <f t="shared" si="107"/>
        <v>0</v>
      </c>
      <c r="Z270">
        <f t="shared" si="108"/>
        <v>5963394.0256478963</v>
      </c>
      <c r="AA270">
        <f t="shared" si="109"/>
        <v>0</v>
      </c>
      <c r="AB270">
        <f t="shared" si="110"/>
        <v>0</v>
      </c>
      <c r="AC270">
        <f t="shared" si="111"/>
        <v>0</v>
      </c>
    </row>
    <row r="271" spans="1:29" x14ac:dyDescent="0.2">
      <c r="A271">
        <v>270</v>
      </c>
      <c r="B271">
        <f>LoanPool!L271</f>
        <v>26089.848862209492</v>
      </c>
      <c r="C271">
        <f>LoanPool!M271</f>
        <v>224370.39744528884</v>
      </c>
      <c r="D271">
        <f>LoanPool!H271</f>
        <v>1807.6006760948931</v>
      </c>
      <c r="E271">
        <f t="shared" si="112"/>
        <v>0</v>
      </c>
      <c r="F271">
        <f t="shared" si="113"/>
        <v>0</v>
      </c>
      <c r="G271">
        <f t="shared" si="114"/>
        <v>5963394.0256478963</v>
      </c>
      <c r="H271">
        <f t="shared" si="92"/>
        <v>1807.6006760948931</v>
      </c>
      <c r="I271">
        <f t="shared" si="93"/>
        <v>0</v>
      </c>
      <c r="J271">
        <f t="shared" si="94"/>
        <v>0</v>
      </c>
      <c r="K271">
        <f t="shared" si="95"/>
        <v>0</v>
      </c>
      <c r="L271">
        <f t="shared" si="96"/>
        <v>0</v>
      </c>
      <c r="M271">
        <f t="shared" si="97"/>
        <v>5961586.4249718012</v>
      </c>
      <c r="N271">
        <f>K271*Inputs!B6/12</f>
        <v>0</v>
      </c>
      <c r="O271">
        <f t="shared" si="98"/>
        <v>0</v>
      </c>
      <c r="P271">
        <f t="shared" si="99"/>
        <v>0</v>
      </c>
      <c r="Q271">
        <f>L271*Inputs!B6/12</f>
        <v>0</v>
      </c>
      <c r="R271">
        <f t="shared" si="100"/>
        <v>0</v>
      </c>
      <c r="S271">
        <f t="shared" si="101"/>
        <v>0</v>
      </c>
      <c r="T271">
        <f t="shared" si="102"/>
        <v>26089.848862209492</v>
      </c>
      <c r="U271">
        <f t="shared" si="103"/>
        <v>0</v>
      </c>
      <c r="V271">
        <f t="shared" si="104"/>
        <v>0</v>
      </c>
      <c r="W271">
        <f t="shared" si="105"/>
        <v>224370.39744528884</v>
      </c>
      <c r="X271">
        <f t="shared" si="106"/>
        <v>0</v>
      </c>
      <c r="Y271">
        <f t="shared" si="107"/>
        <v>0</v>
      </c>
      <c r="Z271">
        <f t="shared" si="108"/>
        <v>5737216.0275265127</v>
      </c>
      <c r="AA271">
        <f t="shared" si="109"/>
        <v>0</v>
      </c>
      <c r="AB271">
        <f t="shared" si="110"/>
        <v>0</v>
      </c>
      <c r="AC271">
        <f t="shared" si="111"/>
        <v>0</v>
      </c>
    </row>
    <row r="272" spans="1:29" x14ac:dyDescent="0.2">
      <c r="A272">
        <v>271</v>
      </c>
      <c r="B272">
        <f>LoanPool!L272</f>
        <v>25100.320120428441</v>
      </c>
      <c r="C272">
        <f>LoanPool!M272</f>
        <v>221984.885675775</v>
      </c>
      <c r="D272">
        <f>LoanPool!H272</f>
        <v>1737.1135208152602</v>
      </c>
      <c r="E272">
        <f t="shared" si="112"/>
        <v>0</v>
      </c>
      <c r="F272">
        <f t="shared" si="113"/>
        <v>0</v>
      </c>
      <c r="G272">
        <f t="shared" si="114"/>
        <v>5737216.0275265127</v>
      </c>
      <c r="H272">
        <f t="shared" si="92"/>
        <v>1737.1135208152602</v>
      </c>
      <c r="I272">
        <f t="shared" si="93"/>
        <v>0</v>
      </c>
      <c r="J272">
        <f t="shared" si="94"/>
        <v>0</v>
      </c>
      <c r="K272">
        <f t="shared" si="95"/>
        <v>0</v>
      </c>
      <c r="L272">
        <f t="shared" si="96"/>
        <v>0</v>
      </c>
      <c r="M272">
        <f t="shared" si="97"/>
        <v>5735478.9140056977</v>
      </c>
      <c r="N272">
        <f>K272*Inputs!B6/12</f>
        <v>0</v>
      </c>
      <c r="O272">
        <f t="shared" si="98"/>
        <v>0</v>
      </c>
      <c r="P272">
        <f t="shared" si="99"/>
        <v>0</v>
      </c>
      <c r="Q272">
        <f>L272*Inputs!B6/12</f>
        <v>0</v>
      </c>
      <c r="R272">
        <f t="shared" si="100"/>
        <v>0</v>
      </c>
      <c r="S272">
        <f t="shared" si="101"/>
        <v>0</v>
      </c>
      <c r="T272">
        <f t="shared" si="102"/>
        <v>25100.320120428441</v>
      </c>
      <c r="U272">
        <f t="shared" si="103"/>
        <v>0</v>
      </c>
      <c r="V272">
        <f t="shared" si="104"/>
        <v>0</v>
      </c>
      <c r="W272">
        <f t="shared" si="105"/>
        <v>221984.885675775</v>
      </c>
      <c r="X272">
        <f t="shared" si="106"/>
        <v>0</v>
      </c>
      <c r="Y272">
        <f t="shared" si="107"/>
        <v>0</v>
      </c>
      <c r="Z272">
        <f t="shared" si="108"/>
        <v>5513494.0283299228</v>
      </c>
      <c r="AA272">
        <f t="shared" si="109"/>
        <v>0</v>
      </c>
      <c r="AB272">
        <f t="shared" si="110"/>
        <v>0</v>
      </c>
      <c r="AC272">
        <f t="shared" si="111"/>
        <v>0</v>
      </c>
    </row>
    <row r="273" spans="1:29" x14ac:dyDescent="0.2">
      <c r="A273">
        <v>272</v>
      </c>
      <c r="B273">
        <f>LoanPool!L273</f>
        <v>24121.53637394336</v>
      </c>
      <c r="C273">
        <f>LoanPool!M273</f>
        <v>219620.76081211813</v>
      </c>
      <c r="D273">
        <f>LoanPool!H273</f>
        <v>1667.3931869701714</v>
      </c>
      <c r="E273">
        <f t="shared" si="112"/>
        <v>0</v>
      </c>
      <c r="F273">
        <f t="shared" si="113"/>
        <v>0</v>
      </c>
      <c r="G273">
        <f t="shared" si="114"/>
        <v>5513494.0283299228</v>
      </c>
      <c r="H273">
        <f t="shared" si="92"/>
        <v>1667.3931869701714</v>
      </c>
      <c r="I273">
        <f t="shared" si="93"/>
        <v>0</v>
      </c>
      <c r="J273">
        <f t="shared" si="94"/>
        <v>0</v>
      </c>
      <c r="K273">
        <f t="shared" si="95"/>
        <v>0</v>
      </c>
      <c r="L273">
        <f t="shared" si="96"/>
        <v>0</v>
      </c>
      <c r="M273">
        <f t="shared" si="97"/>
        <v>5511826.6351429522</v>
      </c>
      <c r="N273">
        <f>K273*Inputs!B6/12</f>
        <v>0</v>
      </c>
      <c r="O273">
        <f t="shared" si="98"/>
        <v>0</v>
      </c>
      <c r="P273">
        <f t="shared" si="99"/>
        <v>0</v>
      </c>
      <c r="Q273">
        <f>L273*Inputs!B6/12</f>
        <v>0</v>
      </c>
      <c r="R273">
        <f t="shared" si="100"/>
        <v>0</v>
      </c>
      <c r="S273">
        <f t="shared" si="101"/>
        <v>0</v>
      </c>
      <c r="T273">
        <f t="shared" si="102"/>
        <v>24121.53637394336</v>
      </c>
      <c r="U273">
        <f t="shared" si="103"/>
        <v>0</v>
      </c>
      <c r="V273">
        <f t="shared" si="104"/>
        <v>0</v>
      </c>
      <c r="W273">
        <f t="shared" si="105"/>
        <v>219620.76081211813</v>
      </c>
      <c r="X273">
        <f t="shared" si="106"/>
        <v>0</v>
      </c>
      <c r="Y273">
        <f t="shared" si="107"/>
        <v>0</v>
      </c>
      <c r="Z273">
        <f t="shared" si="108"/>
        <v>5292205.8743308345</v>
      </c>
      <c r="AA273">
        <f t="shared" si="109"/>
        <v>0</v>
      </c>
      <c r="AB273">
        <f t="shared" si="110"/>
        <v>0</v>
      </c>
      <c r="AC273">
        <f t="shared" si="111"/>
        <v>0</v>
      </c>
    </row>
    <row r="274" spans="1:29" x14ac:dyDescent="0.2">
      <c r="A274">
        <v>273</v>
      </c>
      <c r="B274">
        <f>LoanPool!L274</f>
        <v>23153.400700197351</v>
      </c>
      <c r="C274">
        <f>LoanPool!M274</f>
        <v>217277.84157366879</v>
      </c>
      <c r="D274">
        <f>LoanPool!H274</f>
        <v>1598.432753973133</v>
      </c>
      <c r="E274">
        <f t="shared" si="112"/>
        <v>0</v>
      </c>
      <c r="F274">
        <f t="shared" si="113"/>
        <v>0</v>
      </c>
      <c r="G274">
        <f t="shared" si="114"/>
        <v>5292205.8743308345</v>
      </c>
      <c r="H274">
        <f t="shared" si="92"/>
        <v>1598.432753973133</v>
      </c>
      <c r="I274">
        <f t="shared" si="93"/>
        <v>0</v>
      </c>
      <c r="J274">
        <f t="shared" si="94"/>
        <v>0</v>
      </c>
      <c r="K274">
        <f t="shared" si="95"/>
        <v>0</v>
      </c>
      <c r="L274">
        <f t="shared" si="96"/>
        <v>0</v>
      </c>
      <c r="M274">
        <f t="shared" si="97"/>
        <v>5290607.4415768618</v>
      </c>
      <c r="N274">
        <f>K274*Inputs!B6/12</f>
        <v>0</v>
      </c>
      <c r="O274">
        <f t="shared" si="98"/>
        <v>0</v>
      </c>
      <c r="P274">
        <f t="shared" si="99"/>
        <v>0</v>
      </c>
      <c r="Q274">
        <f>L274*Inputs!B6/12</f>
        <v>0</v>
      </c>
      <c r="R274">
        <f t="shared" si="100"/>
        <v>0</v>
      </c>
      <c r="S274">
        <f t="shared" si="101"/>
        <v>0</v>
      </c>
      <c r="T274">
        <f t="shared" si="102"/>
        <v>23153.400700197351</v>
      </c>
      <c r="U274">
        <f t="shared" si="103"/>
        <v>0</v>
      </c>
      <c r="V274">
        <f t="shared" si="104"/>
        <v>0</v>
      </c>
      <c r="W274">
        <f t="shared" si="105"/>
        <v>217277.84157366879</v>
      </c>
      <c r="X274">
        <f t="shared" si="106"/>
        <v>0</v>
      </c>
      <c r="Y274">
        <f t="shared" si="107"/>
        <v>0</v>
      </c>
      <c r="Z274">
        <f t="shared" si="108"/>
        <v>5073329.6000031931</v>
      </c>
      <c r="AA274">
        <f t="shared" si="109"/>
        <v>0</v>
      </c>
      <c r="AB274">
        <f t="shared" si="110"/>
        <v>0</v>
      </c>
      <c r="AC274">
        <f t="shared" si="111"/>
        <v>0</v>
      </c>
    </row>
    <row r="275" spans="1:29" x14ac:dyDescent="0.2">
      <c r="A275">
        <v>274</v>
      </c>
      <c r="B275">
        <f>LoanPool!L275</f>
        <v>22195.817000013914</v>
      </c>
      <c r="C275">
        <f>LoanPool!M275</f>
        <v>214955.9481837218</v>
      </c>
      <c r="D275">
        <f>LoanPool!H275</f>
        <v>1530.2253600410602</v>
      </c>
      <c r="E275">
        <f t="shared" si="112"/>
        <v>0</v>
      </c>
      <c r="F275">
        <f t="shared" si="113"/>
        <v>0</v>
      </c>
      <c r="G275">
        <f t="shared" si="114"/>
        <v>5073329.6000031931</v>
      </c>
      <c r="H275">
        <f t="shared" si="92"/>
        <v>1530.2253600410602</v>
      </c>
      <c r="I275">
        <f t="shared" si="93"/>
        <v>0</v>
      </c>
      <c r="J275">
        <f t="shared" si="94"/>
        <v>0</v>
      </c>
      <c r="K275">
        <f t="shared" si="95"/>
        <v>0</v>
      </c>
      <c r="L275">
        <f t="shared" si="96"/>
        <v>0</v>
      </c>
      <c r="M275">
        <f t="shared" si="97"/>
        <v>5071799.3746431516</v>
      </c>
      <c r="N275">
        <f>K275*Inputs!B6/12</f>
        <v>0</v>
      </c>
      <c r="O275">
        <f t="shared" si="98"/>
        <v>0</v>
      </c>
      <c r="P275">
        <f t="shared" si="99"/>
        <v>0</v>
      </c>
      <c r="Q275">
        <f>L275*Inputs!B6/12</f>
        <v>0</v>
      </c>
      <c r="R275">
        <f t="shared" si="100"/>
        <v>0</v>
      </c>
      <c r="S275">
        <f t="shared" si="101"/>
        <v>0</v>
      </c>
      <c r="T275">
        <f t="shared" si="102"/>
        <v>22195.817000013914</v>
      </c>
      <c r="U275">
        <f t="shared" si="103"/>
        <v>0</v>
      </c>
      <c r="V275">
        <f t="shared" si="104"/>
        <v>0</v>
      </c>
      <c r="W275">
        <f t="shared" si="105"/>
        <v>214955.9481837218</v>
      </c>
      <c r="X275">
        <f t="shared" si="106"/>
        <v>0</v>
      </c>
      <c r="Y275">
        <f t="shared" si="107"/>
        <v>0</v>
      </c>
      <c r="Z275">
        <f t="shared" si="108"/>
        <v>4856843.4264594298</v>
      </c>
      <c r="AA275">
        <f t="shared" si="109"/>
        <v>0</v>
      </c>
      <c r="AB275">
        <f t="shared" si="110"/>
        <v>0</v>
      </c>
      <c r="AC275">
        <f t="shared" si="111"/>
        <v>0</v>
      </c>
    </row>
    <row r="276" spans="1:29" x14ac:dyDescent="0.2">
      <c r="A276">
        <v>275</v>
      </c>
      <c r="B276">
        <f>LoanPool!L276</f>
        <v>21248.689990759955</v>
      </c>
      <c r="C276">
        <f>LoanPool!M276</f>
        <v>212654.90235714722</v>
      </c>
      <c r="D276">
        <f>LoanPool!H276</f>
        <v>1462.7642017059593</v>
      </c>
      <c r="E276">
        <f t="shared" si="112"/>
        <v>0</v>
      </c>
      <c r="F276">
        <f t="shared" si="113"/>
        <v>0</v>
      </c>
      <c r="G276">
        <f t="shared" si="114"/>
        <v>4856843.4264594298</v>
      </c>
      <c r="H276">
        <f t="shared" si="92"/>
        <v>1462.7642017059593</v>
      </c>
      <c r="I276">
        <f t="shared" si="93"/>
        <v>0</v>
      </c>
      <c r="J276">
        <f t="shared" si="94"/>
        <v>0</v>
      </c>
      <c r="K276">
        <f t="shared" si="95"/>
        <v>0</v>
      </c>
      <c r="L276">
        <f t="shared" si="96"/>
        <v>0</v>
      </c>
      <c r="M276">
        <f t="shared" si="97"/>
        <v>4855380.6622577235</v>
      </c>
      <c r="N276">
        <f>K276*Inputs!B6/12</f>
        <v>0</v>
      </c>
      <c r="O276">
        <f t="shared" si="98"/>
        <v>0</v>
      </c>
      <c r="P276">
        <f t="shared" si="99"/>
        <v>0</v>
      </c>
      <c r="Q276">
        <f>L276*Inputs!B6/12</f>
        <v>0</v>
      </c>
      <c r="R276">
        <f t="shared" si="100"/>
        <v>0</v>
      </c>
      <c r="S276">
        <f t="shared" si="101"/>
        <v>0</v>
      </c>
      <c r="T276">
        <f t="shared" si="102"/>
        <v>21248.689990759955</v>
      </c>
      <c r="U276">
        <f t="shared" si="103"/>
        <v>0</v>
      </c>
      <c r="V276">
        <f t="shared" si="104"/>
        <v>0</v>
      </c>
      <c r="W276">
        <f t="shared" si="105"/>
        <v>212654.90235714722</v>
      </c>
      <c r="X276">
        <f t="shared" si="106"/>
        <v>0</v>
      </c>
      <c r="Y276">
        <f t="shared" si="107"/>
        <v>0</v>
      </c>
      <c r="Z276">
        <f t="shared" si="108"/>
        <v>4642725.7599005764</v>
      </c>
      <c r="AA276">
        <f t="shared" si="109"/>
        <v>0</v>
      </c>
      <c r="AB276">
        <f t="shared" si="110"/>
        <v>0</v>
      </c>
      <c r="AC276">
        <f t="shared" si="111"/>
        <v>0</v>
      </c>
    </row>
    <row r="277" spans="1:29" x14ac:dyDescent="0.2">
      <c r="A277">
        <v>276</v>
      </c>
      <c r="B277">
        <f>LoanPool!L277</f>
        <v>20311.925199564972</v>
      </c>
      <c r="C277">
        <f>LoanPool!M277</f>
        <v>210374.52728812172</v>
      </c>
      <c r="D277">
        <f>LoanPool!H277</f>
        <v>1396.042533330628</v>
      </c>
      <c r="E277">
        <f t="shared" si="112"/>
        <v>0</v>
      </c>
      <c r="F277">
        <f t="shared" si="113"/>
        <v>0</v>
      </c>
      <c r="G277">
        <f t="shared" si="114"/>
        <v>4642725.7599005764</v>
      </c>
      <c r="H277">
        <f t="shared" si="92"/>
        <v>1396.042533330628</v>
      </c>
      <c r="I277">
        <f t="shared" si="93"/>
        <v>0</v>
      </c>
      <c r="J277">
        <f t="shared" si="94"/>
        <v>0</v>
      </c>
      <c r="K277">
        <f t="shared" si="95"/>
        <v>0</v>
      </c>
      <c r="L277">
        <f t="shared" si="96"/>
        <v>0</v>
      </c>
      <c r="M277">
        <f t="shared" si="97"/>
        <v>4641329.7173672458</v>
      </c>
      <c r="N277">
        <f>K277*Inputs!B6/12</f>
        <v>0</v>
      </c>
      <c r="O277">
        <f t="shared" si="98"/>
        <v>0</v>
      </c>
      <c r="P277">
        <f t="shared" si="99"/>
        <v>0</v>
      </c>
      <c r="Q277">
        <f>L277*Inputs!B6/12</f>
        <v>0</v>
      </c>
      <c r="R277">
        <f t="shared" si="100"/>
        <v>0</v>
      </c>
      <c r="S277">
        <f t="shared" si="101"/>
        <v>0</v>
      </c>
      <c r="T277">
        <f t="shared" si="102"/>
        <v>20311.925199564972</v>
      </c>
      <c r="U277">
        <f t="shared" si="103"/>
        <v>0</v>
      </c>
      <c r="V277">
        <f t="shared" si="104"/>
        <v>0</v>
      </c>
      <c r="W277">
        <f t="shared" si="105"/>
        <v>210374.52728812172</v>
      </c>
      <c r="X277">
        <f t="shared" si="106"/>
        <v>0</v>
      </c>
      <c r="Y277">
        <f t="shared" si="107"/>
        <v>0</v>
      </c>
      <c r="Z277">
        <f t="shared" si="108"/>
        <v>4430955.1900791237</v>
      </c>
      <c r="AA277">
        <f t="shared" si="109"/>
        <v>0</v>
      </c>
      <c r="AB277">
        <f t="shared" si="110"/>
        <v>0</v>
      </c>
      <c r="AC277">
        <f t="shared" si="111"/>
        <v>0</v>
      </c>
    </row>
    <row r="278" spans="1:29" x14ac:dyDescent="0.2">
      <c r="A278">
        <v>277</v>
      </c>
      <c r="B278">
        <f>LoanPool!L278</f>
        <v>19385.428956596115</v>
      </c>
      <c r="C278">
        <f>LoanPool!M278</f>
        <v>208114.64763796175</v>
      </c>
      <c r="D278">
        <f>LoanPool!H278</f>
        <v>1330.053666628341</v>
      </c>
      <c r="E278">
        <f t="shared" si="112"/>
        <v>0</v>
      </c>
      <c r="F278">
        <f t="shared" si="113"/>
        <v>0</v>
      </c>
      <c r="G278">
        <f t="shared" si="114"/>
        <v>4430955.1900791237</v>
      </c>
      <c r="H278">
        <f t="shared" si="92"/>
        <v>1330.053666628341</v>
      </c>
      <c r="I278">
        <f t="shared" si="93"/>
        <v>0</v>
      </c>
      <c r="J278">
        <f t="shared" si="94"/>
        <v>0</v>
      </c>
      <c r="K278">
        <f t="shared" si="95"/>
        <v>0</v>
      </c>
      <c r="L278">
        <f t="shared" si="96"/>
        <v>0</v>
      </c>
      <c r="M278">
        <f t="shared" si="97"/>
        <v>4429625.1364124957</v>
      </c>
      <c r="N278">
        <f>K278*Inputs!B6/12</f>
        <v>0</v>
      </c>
      <c r="O278">
        <f t="shared" si="98"/>
        <v>0</v>
      </c>
      <c r="P278">
        <f t="shared" si="99"/>
        <v>0</v>
      </c>
      <c r="Q278">
        <f>L278*Inputs!B6/12</f>
        <v>0</v>
      </c>
      <c r="R278">
        <f t="shared" si="100"/>
        <v>0</v>
      </c>
      <c r="S278">
        <f t="shared" si="101"/>
        <v>0</v>
      </c>
      <c r="T278">
        <f t="shared" si="102"/>
        <v>19385.428956596115</v>
      </c>
      <c r="U278">
        <f t="shared" si="103"/>
        <v>0</v>
      </c>
      <c r="V278">
        <f t="shared" si="104"/>
        <v>0</v>
      </c>
      <c r="W278">
        <f t="shared" si="105"/>
        <v>208114.64763796175</v>
      </c>
      <c r="X278">
        <f t="shared" si="106"/>
        <v>0</v>
      </c>
      <c r="Y278">
        <f t="shared" si="107"/>
        <v>0</v>
      </c>
      <c r="Z278">
        <f t="shared" si="108"/>
        <v>4221510.4887745343</v>
      </c>
      <c r="AA278">
        <f t="shared" si="109"/>
        <v>0</v>
      </c>
      <c r="AB278">
        <f t="shared" si="110"/>
        <v>0</v>
      </c>
      <c r="AC278">
        <f t="shared" si="111"/>
        <v>0</v>
      </c>
    </row>
    <row r="279" spans="1:29" x14ac:dyDescent="0.2">
      <c r="A279">
        <v>278</v>
      </c>
      <c r="B279">
        <f>LoanPool!L279</f>
        <v>18469.108388388529</v>
      </c>
      <c r="C279">
        <f>LoanPool!M279</f>
        <v>205875.08952305547</v>
      </c>
      <c r="D279">
        <f>LoanPool!H279</f>
        <v>1264.7909701864871</v>
      </c>
      <c r="E279">
        <f t="shared" si="112"/>
        <v>0</v>
      </c>
      <c r="F279">
        <f t="shared" si="113"/>
        <v>0</v>
      </c>
      <c r="G279">
        <f t="shared" si="114"/>
        <v>4221510.4887745343</v>
      </c>
      <c r="H279">
        <f t="shared" si="92"/>
        <v>1264.7909701864871</v>
      </c>
      <c r="I279">
        <f t="shared" si="93"/>
        <v>0</v>
      </c>
      <c r="J279">
        <f t="shared" si="94"/>
        <v>0</v>
      </c>
      <c r="K279">
        <f t="shared" si="95"/>
        <v>0</v>
      </c>
      <c r="L279">
        <f t="shared" si="96"/>
        <v>0</v>
      </c>
      <c r="M279">
        <f t="shared" si="97"/>
        <v>4220245.6978043476</v>
      </c>
      <c r="N279">
        <f>K279*Inputs!B6/12</f>
        <v>0</v>
      </c>
      <c r="O279">
        <f t="shared" si="98"/>
        <v>0</v>
      </c>
      <c r="P279">
        <f t="shared" si="99"/>
        <v>0</v>
      </c>
      <c r="Q279">
        <f>L279*Inputs!B6/12</f>
        <v>0</v>
      </c>
      <c r="R279">
        <f t="shared" si="100"/>
        <v>0</v>
      </c>
      <c r="S279">
        <f t="shared" si="101"/>
        <v>0</v>
      </c>
      <c r="T279">
        <f t="shared" si="102"/>
        <v>18469.108388388529</v>
      </c>
      <c r="U279">
        <f t="shared" si="103"/>
        <v>0</v>
      </c>
      <c r="V279">
        <f t="shared" si="104"/>
        <v>0</v>
      </c>
      <c r="W279">
        <f t="shared" si="105"/>
        <v>205875.08952305547</v>
      </c>
      <c r="X279">
        <f t="shared" si="106"/>
        <v>0</v>
      </c>
      <c r="Y279">
        <f t="shared" si="107"/>
        <v>0</v>
      </c>
      <c r="Z279">
        <f t="shared" si="108"/>
        <v>4014370.608281292</v>
      </c>
      <c r="AA279">
        <f t="shared" si="109"/>
        <v>0</v>
      </c>
      <c r="AB279">
        <f t="shared" si="110"/>
        <v>0</v>
      </c>
      <c r="AC279">
        <f t="shared" si="111"/>
        <v>0</v>
      </c>
    </row>
    <row r="280" spans="1:29" x14ac:dyDescent="0.2">
      <c r="A280">
        <v>279</v>
      </c>
      <c r="B280">
        <f>LoanPool!L280</f>
        <v>17562.871411230597</v>
      </c>
      <c r="C280">
        <f>LoanPool!M280</f>
        <v>203655.68050289393</v>
      </c>
      <c r="D280">
        <f>LoanPool!H280</f>
        <v>1200.2478689941274</v>
      </c>
      <c r="E280">
        <f t="shared" si="112"/>
        <v>0</v>
      </c>
      <c r="F280">
        <f t="shared" si="113"/>
        <v>0</v>
      </c>
      <c r="G280">
        <f t="shared" si="114"/>
        <v>4014370.608281292</v>
      </c>
      <c r="H280">
        <f t="shared" si="92"/>
        <v>1200.2478689941274</v>
      </c>
      <c r="I280">
        <f t="shared" si="93"/>
        <v>0</v>
      </c>
      <c r="J280">
        <f t="shared" si="94"/>
        <v>0</v>
      </c>
      <c r="K280">
        <f t="shared" si="95"/>
        <v>0</v>
      </c>
      <c r="L280">
        <f t="shared" si="96"/>
        <v>0</v>
      </c>
      <c r="M280">
        <f t="shared" si="97"/>
        <v>4013170.3604122978</v>
      </c>
      <c r="N280">
        <f>K280*Inputs!B6/12</f>
        <v>0</v>
      </c>
      <c r="O280">
        <f t="shared" si="98"/>
        <v>0</v>
      </c>
      <c r="P280">
        <f t="shared" si="99"/>
        <v>0</v>
      </c>
      <c r="Q280">
        <f>L280*Inputs!B6/12</f>
        <v>0</v>
      </c>
      <c r="R280">
        <f t="shared" si="100"/>
        <v>0</v>
      </c>
      <c r="S280">
        <f t="shared" si="101"/>
        <v>0</v>
      </c>
      <c r="T280">
        <f t="shared" si="102"/>
        <v>17562.871411230597</v>
      </c>
      <c r="U280">
        <f t="shared" si="103"/>
        <v>0</v>
      </c>
      <c r="V280">
        <f t="shared" si="104"/>
        <v>0</v>
      </c>
      <c r="W280">
        <f t="shared" si="105"/>
        <v>203655.68050289393</v>
      </c>
      <c r="X280">
        <f t="shared" si="106"/>
        <v>0</v>
      </c>
      <c r="Y280">
        <f t="shared" si="107"/>
        <v>0</v>
      </c>
      <c r="Z280">
        <f t="shared" si="108"/>
        <v>3809514.6799094039</v>
      </c>
      <c r="AA280">
        <f t="shared" si="109"/>
        <v>0</v>
      </c>
      <c r="AB280">
        <f t="shared" si="110"/>
        <v>0</v>
      </c>
      <c r="AC280">
        <f t="shared" si="111"/>
        <v>0</v>
      </c>
    </row>
    <row r="281" spans="1:29" x14ac:dyDescent="0.2">
      <c r="A281">
        <v>280</v>
      </c>
      <c r="B281">
        <f>LoanPool!L281</f>
        <v>16666.62672460359</v>
      </c>
      <c r="C281">
        <f>LoanPool!M281</f>
        <v>201456.24956820044</v>
      </c>
      <c r="D281">
        <f>LoanPool!H281</f>
        <v>1136.4178439734387</v>
      </c>
      <c r="E281">
        <f t="shared" si="112"/>
        <v>0</v>
      </c>
      <c r="F281">
        <f t="shared" si="113"/>
        <v>0</v>
      </c>
      <c r="G281">
        <f t="shared" si="114"/>
        <v>3809514.6799094039</v>
      </c>
      <c r="H281">
        <f t="shared" si="92"/>
        <v>1136.4178439734387</v>
      </c>
      <c r="I281">
        <f t="shared" si="93"/>
        <v>0</v>
      </c>
      <c r="J281">
        <f t="shared" si="94"/>
        <v>0</v>
      </c>
      <c r="K281">
        <f t="shared" si="95"/>
        <v>0</v>
      </c>
      <c r="L281">
        <f t="shared" si="96"/>
        <v>0</v>
      </c>
      <c r="M281">
        <f t="shared" si="97"/>
        <v>3808378.2620654306</v>
      </c>
      <c r="N281">
        <f>K281*Inputs!B6/12</f>
        <v>0</v>
      </c>
      <c r="O281">
        <f t="shared" si="98"/>
        <v>0</v>
      </c>
      <c r="P281">
        <f t="shared" si="99"/>
        <v>0</v>
      </c>
      <c r="Q281">
        <f>L281*Inputs!B6/12</f>
        <v>0</v>
      </c>
      <c r="R281">
        <f t="shared" si="100"/>
        <v>0</v>
      </c>
      <c r="S281">
        <f t="shared" si="101"/>
        <v>0</v>
      </c>
      <c r="T281">
        <f t="shared" si="102"/>
        <v>16666.62672460359</v>
      </c>
      <c r="U281">
        <f t="shared" si="103"/>
        <v>0</v>
      </c>
      <c r="V281">
        <f t="shared" si="104"/>
        <v>0</v>
      </c>
      <c r="W281">
        <f t="shared" si="105"/>
        <v>201456.24956820044</v>
      </c>
      <c r="X281">
        <f t="shared" si="106"/>
        <v>0</v>
      </c>
      <c r="Y281">
        <f t="shared" si="107"/>
        <v>0</v>
      </c>
      <c r="Z281">
        <f t="shared" si="108"/>
        <v>3606922.0124972304</v>
      </c>
      <c r="AA281">
        <f t="shared" si="109"/>
        <v>0</v>
      </c>
      <c r="AB281">
        <f t="shared" si="110"/>
        <v>0</v>
      </c>
      <c r="AC281">
        <f t="shared" si="111"/>
        <v>0</v>
      </c>
    </row>
    <row r="282" spans="1:29" x14ac:dyDescent="0.2">
      <c r="A282">
        <v>281</v>
      </c>
      <c r="B282">
        <f>LoanPool!L282</f>
        <v>15780.283804675328</v>
      </c>
      <c r="C282">
        <f>LoanPool!M282</f>
        <v>199276.6271291571</v>
      </c>
      <c r="D282">
        <f>LoanPool!H282</f>
        <v>1073.2944315150157</v>
      </c>
      <c r="E282">
        <f t="shared" si="112"/>
        <v>0</v>
      </c>
      <c r="F282">
        <f t="shared" si="113"/>
        <v>0</v>
      </c>
      <c r="G282">
        <f t="shared" si="114"/>
        <v>3606922.0124972304</v>
      </c>
      <c r="H282">
        <f t="shared" si="92"/>
        <v>1073.2944315150157</v>
      </c>
      <c r="I282">
        <f t="shared" si="93"/>
        <v>0</v>
      </c>
      <c r="J282">
        <f t="shared" si="94"/>
        <v>0</v>
      </c>
      <c r="K282">
        <f t="shared" si="95"/>
        <v>0</v>
      </c>
      <c r="L282">
        <f t="shared" si="96"/>
        <v>0</v>
      </c>
      <c r="M282">
        <f t="shared" si="97"/>
        <v>3605848.7180657154</v>
      </c>
      <c r="N282">
        <f>K282*Inputs!B6/12</f>
        <v>0</v>
      </c>
      <c r="O282">
        <f t="shared" si="98"/>
        <v>0</v>
      </c>
      <c r="P282">
        <f t="shared" si="99"/>
        <v>0</v>
      </c>
      <c r="Q282">
        <f>L282*Inputs!B6/12</f>
        <v>0</v>
      </c>
      <c r="R282">
        <f t="shared" si="100"/>
        <v>0</v>
      </c>
      <c r="S282">
        <f t="shared" si="101"/>
        <v>0</v>
      </c>
      <c r="T282">
        <f t="shared" si="102"/>
        <v>15780.283804675328</v>
      </c>
      <c r="U282">
        <f t="shared" si="103"/>
        <v>0</v>
      </c>
      <c r="V282">
        <f t="shared" si="104"/>
        <v>0</v>
      </c>
      <c r="W282">
        <f t="shared" si="105"/>
        <v>199276.6271291571</v>
      </c>
      <c r="X282">
        <f t="shared" si="106"/>
        <v>0</v>
      </c>
      <c r="Y282">
        <f t="shared" si="107"/>
        <v>0</v>
      </c>
      <c r="Z282">
        <f t="shared" si="108"/>
        <v>3406572.0909365583</v>
      </c>
      <c r="AA282">
        <f t="shared" si="109"/>
        <v>0</v>
      </c>
      <c r="AB282">
        <f t="shared" si="110"/>
        <v>0</v>
      </c>
      <c r="AC282">
        <f t="shared" si="111"/>
        <v>0</v>
      </c>
    </row>
    <row r="283" spans="1:29" x14ac:dyDescent="0.2">
      <c r="A283">
        <v>282</v>
      </c>
      <c r="B283">
        <f>LoanPool!L283</f>
        <v>14903.752897847386</v>
      </c>
      <c r="C283">
        <f>LoanPool!M283</f>
        <v>197116.64500372767</v>
      </c>
      <c r="D283">
        <f>LoanPool!H283</f>
        <v>1010.8712230169965</v>
      </c>
      <c r="E283">
        <f t="shared" si="112"/>
        <v>0</v>
      </c>
      <c r="F283">
        <f t="shared" si="113"/>
        <v>0</v>
      </c>
      <c r="G283">
        <f t="shared" si="114"/>
        <v>3406572.0909365583</v>
      </c>
      <c r="H283">
        <f t="shared" si="92"/>
        <v>1010.8712230169965</v>
      </c>
      <c r="I283">
        <f t="shared" si="93"/>
        <v>0</v>
      </c>
      <c r="J283">
        <f t="shared" si="94"/>
        <v>0</v>
      </c>
      <c r="K283">
        <f t="shared" si="95"/>
        <v>0</v>
      </c>
      <c r="L283">
        <f t="shared" si="96"/>
        <v>0</v>
      </c>
      <c r="M283">
        <f t="shared" si="97"/>
        <v>3405561.2197135412</v>
      </c>
      <c r="N283">
        <f>K283*Inputs!B6/12</f>
        <v>0</v>
      </c>
      <c r="O283">
        <f t="shared" si="98"/>
        <v>0</v>
      </c>
      <c r="P283">
        <f t="shared" si="99"/>
        <v>0</v>
      </c>
      <c r="Q283">
        <f>L283*Inputs!B6/12</f>
        <v>0</v>
      </c>
      <c r="R283">
        <f t="shared" si="100"/>
        <v>0</v>
      </c>
      <c r="S283">
        <f t="shared" si="101"/>
        <v>0</v>
      </c>
      <c r="T283">
        <f t="shared" si="102"/>
        <v>14903.752897847386</v>
      </c>
      <c r="U283">
        <f t="shared" si="103"/>
        <v>0</v>
      </c>
      <c r="V283">
        <f t="shared" si="104"/>
        <v>0</v>
      </c>
      <c r="W283">
        <f t="shared" si="105"/>
        <v>197116.64500372767</v>
      </c>
      <c r="X283">
        <f t="shared" si="106"/>
        <v>0</v>
      </c>
      <c r="Y283">
        <f t="shared" si="107"/>
        <v>0</v>
      </c>
      <c r="Z283">
        <f t="shared" si="108"/>
        <v>3208444.5747098136</v>
      </c>
      <c r="AA283">
        <f t="shared" si="109"/>
        <v>0</v>
      </c>
      <c r="AB283">
        <f t="shared" si="110"/>
        <v>0</v>
      </c>
      <c r="AC283">
        <f t="shared" si="111"/>
        <v>0</v>
      </c>
    </row>
    <row r="284" spans="1:29" x14ac:dyDescent="0.2">
      <c r="A284">
        <v>283</v>
      </c>
      <c r="B284">
        <f>LoanPool!L284</f>
        <v>14036.945014355377</v>
      </c>
      <c r="C284">
        <f>LoanPool!M284</f>
        <v>194976.13640607675</v>
      </c>
      <c r="D284">
        <f>LoanPool!H284</f>
        <v>949.14186442797836</v>
      </c>
      <c r="E284">
        <f t="shared" si="112"/>
        <v>0</v>
      </c>
      <c r="F284">
        <f t="shared" si="113"/>
        <v>0</v>
      </c>
      <c r="G284">
        <f t="shared" si="114"/>
        <v>3208444.5747098136</v>
      </c>
      <c r="H284">
        <f t="shared" si="92"/>
        <v>949.14186442797836</v>
      </c>
      <c r="I284">
        <f t="shared" si="93"/>
        <v>0</v>
      </c>
      <c r="J284">
        <f t="shared" si="94"/>
        <v>0</v>
      </c>
      <c r="K284">
        <f t="shared" si="95"/>
        <v>0</v>
      </c>
      <c r="L284">
        <f t="shared" si="96"/>
        <v>0</v>
      </c>
      <c r="M284">
        <f t="shared" si="97"/>
        <v>3207495.4328453857</v>
      </c>
      <c r="N284">
        <f>K284*Inputs!B6/12</f>
        <v>0</v>
      </c>
      <c r="O284">
        <f t="shared" si="98"/>
        <v>0</v>
      </c>
      <c r="P284">
        <f t="shared" si="99"/>
        <v>0</v>
      </c>
      <c r="Q284">
        <f>L284*Inputs!B6/12</f>
        <v>0</v>
      </c>
      <c r="R284">
        <f t="shared" si="100"/>
        <v>0</v>
      </c>
      <c r="S284">
        <f t="shared" si="101"/>
        <v>0</v>
      </c>
      <c r="T284">
        <f t="shared" si="102"/>
        <v>14036.945014355377</v>
      </c>
      <c r="U284">
        <f t="shared" si="103"/>
        <v>0</v>
      </c>
      <c r="V284">
        <f t="shared" si="104"/>
        <v>0</v>
      </c>
      <c r="W284">
        <f t="shared" si="105"/>
        <v>194976.13640607675</v>
      </c>
      <c r="X284">
        <f t="shared" si="106"/>
        <v>0</v>
      </c>
      <c r="Y284">
        <f t="shared" si="107"/>
        <v>0</v>
      </c>
      <c r="Z284">
        <f t="shared" si="108"/>
        <v>3012519.2964393091</v>
      </c>
      <c r="AA284">
        <f t="shared" si="109"/>
        <v>0</v>
      </c>
      <c r="AB284">
        <f t="shared" si="110"/>
        <v>0</v>
      </c>
      <c r="AC284">
        <f t="shared" si="111"/>
        <v>0</v>
      </c>
    </row>
    <row r="285" spans="1:29" x14ac:dyDescent="0.2">
      <c r="A285">
        <v>284</v>
      </c>
      <c r="B285">
        <f>LoanPool!L285</f>
        <v>13179.771921921918</v>
      </c>
      <c r="C285">
        <f>LoanPool!M285</f>
        <v>192854.9359350829</v>
      </c>
      <c r="D285">
        <f>LoanPool!H285</f>
        <v>888.10005579370034</v>
      </c>
      <c r="E285">
        <f t="shared" si="112"/>
        <v>0</v>
      </c>
      <c r="F285">
        <f t="shared" si="113"/>
        <v>0</v>
      </c>
      <c r="G285">
        <f t="shared" si="114"/>
        <v>3012519.2964393091</v>
      </c>
      <c r="H285">
        <f t="shared" si="92"/>
        <v>888.10005579370034</v>
      </c>
      <c r="I285">
        <f t="shared" si="93"/>
        <v>0</v>
      </c>
      <c r="J285">
        <f t="shared" si="94"/>
        <v>0</v>
      </c>
      <c r="K285">
        <f t="shared" si="95"/>
        <v>0</v>
      </c>
      <c r="L285">
        <f t="shared" si="96"/>
        <v>0</v>
      </c>
      <c r="M285">
        <f t="shared" si="97"/>
        <v>3011631.1963835154</v>
      </c>
      <c r="N285">
        <f>K285*Inputs!B6/12</f>
        <v>0</v>
      </c>
      <c r="O285">
        <f t="shared" si="98"/>
        <v>0</v>
      </c>
      <c r="P285">
        <f t="shared" si="99"/>
        <v>0</v>
      </c>
      <c r="Q285">
        <f>L285*Inputs!B6/12</f>
        <v>0</v>
      </c>
      <c r="R285">
        <f t="shared" si="100"/>
        <v>0</v>
      </c>
      <c r="S285">
        <f t="shared" si="101"/>
        <v>0</v>
      </c>
      <c r="T285">
        <f t="shared" si="102"/>
        <v>13179.771921921918</v>
      </c>
      <c r="U285">
        <f t="shared" si="103"/>
        <v>0</v>
      </c>
      <c r="V285">
        <f t="shared" si="104"/>
        <v>0</v>
      </c>
      <c r="W285">
        <f t="shared" si="105"/>
        <v>192854.9359350829</v>
      </c>
      <c r="X285">
        <f t="shared" si="106"/>
        <v>0</v>
      </c>
      <c r="Y285">
        <f t="shared" si="107"/>
        <v>0</v>
      </c>
      <c r="Z285">
        <f t="shared" si="108"/>
        <v>2818776.2604484325</v>
      </c>
      <c r="AA285">
        <f t="shared" si="109"/>
        <v>0</v>
      </c>
      <c r="AB285">
        <f t="shared" si="110"/>
        <v>0</v>
      </c>
      <c r="AC285">
        <f t="shared" si="111"/>
        <v>0</v>
      </c>
    </row>
    <row r="286" spans="1:29" x14ac:dyDescent="0.2">
      <c r="A286">
        <v>285</v>
      </c>
      <c r="B286">
        <f>LoanPool!L286</f>
        <v>12332.146139461835</v>
      </c>
      <c r="C286">
        <f>LoanPool!M286</f>
        <v>190752.87956294694</v>
      </c>
      <c r="D286">
        <f>LoanPool!H286</f>
        <v>827.73955080745134</v>
      </c>
      <c r="E286">
        <f t="shared" si="112"/>
        <v>0</v>
      </c>
      <c r="F286">
        <f t="shared" si="113"/>
        <v>0</v>
      </c>
      <c r="G286">
        <f t="shared" si="114"/>
        <v>2818776.2604484325</v>
      </c>
      <c r="H286">
        <f t="shared" si="92"/>
        <v>827.73955080745134</v>
      </c>
      <c r="I286">
        <f t="shared" si="93"/>
        <v>0</v>
      </c>
      <c r="J286">
        <f t="shared" si="94"/>
        <v>0</v>
      </c>
      <c r="K286">
        <f t="shared" si="95"/>
        <v>0</v>
      </c>
      <c r="L286">
        <f t="shared" si="96"/>
        <v>0</v>
      </c>
      <c r="M286">
        <f t="shared" si="97"/>
        <v>2817948.520897625</v>
      </c>
      <c r="N286">
        <f>K286*Inputs!B6/12</f>
        <v>0</v>
      </c>
      <c r="O286">
        <f t="shared" si="98"/>
        <v>0</v>
      </c>
      <c r="P286">
        <f t="shared" si="99"/>
        <v>0</v>
      </c>
      <c r="Q286">
        <f>L286*Inputs!B6/12</f>
        <v>0</v>
      </c>
      <c r="R286">
        <f t="shared" si="100"/>
        <v>0</v>
      </c>
      <c r="S286">
        <f t="shared" si="101"/>
        <v>0</v>
      </c>
      <c r="T286">
        <f t="shared" si="102"/>
        <v>12332.146139461835</v>
      </c>
      <c r="U286">
        <f t="shared" si="103"/>
        <v>0</v>
      </c>
      <c r="V286">
        <f t="shared" si="104"/>
        <v>0</v>
      </c>
      <c r="W286">
        <f t="shared" si="105"/>
        <v>190752.87956294694</v>
      </c>
      <c r="X286">
        <f t="shared" si="106"/>
        <v>0</v>
      </c>
      <c r="Y286">
        <f t="shared" si="107"/>
        <v>0</v>
      </c>
      <c r="Z286">
        <f t="shared" si="108"/>
        <v>2627195.641334678</v>
      </c>
      <c r="AA286">
        <f t="shared" si="109"/>
        <v>0</v>
      </c>
      <c r="AB286">
        <f t="shared" si="110"/>
        <v>0</v>
      </c>
      <c r="AC286">
        <f t="shared" si="111"/>
        <v>0</v>
      </c>
    </row>
    <row r="287" spans="1:29" x14ac:dyDescent="0.2">
      <c r="A287">
        <v>286</v>
      </c>
      <c r="B287">
        <f>LoanPool!L287</f>
        <v>11493.980930839158</v>
      </c>
      <c r="C287">
        <f>LoanPool!M287</f>
        <v>188669.80462389282</v>
      </c>
      <c r="D287">
        <f>LoanPool!H287</f>
        <v>768.05415636418275</v>
      </c>
      <c r="E287">
        <f t="shared" si="112"/>
        <v>0</v>
      </c>
      <c r="F287">
        <f t="shared" si="113"/>
        <v>0</v>
      </c>
      <c r="G287">
        <f t="shared" si="114"/>
        <v>2627195.641334678</v>
      </c>
      <c r="H287">
        <f t="shared" si="92"/>
        <v>768.05415636418275</v>
      </c>
      <c r="I287">
        <f t="shared" si="93"/>
        <v>0</v>
      </c>
      <c r="J287">
        <f t="shared" si="94"/>
        <v>0</v>
      </c>
      <c r="K287">
        <f t="shared" si="95"/>
        <v>0</v>
      </c>
      <c r="L287">
        <f t="shared" si="96"/>
        <v>0</v>
      </c>
      <c r="M287">
        <f t="shared" si="97"/>
        <v>2626427.5871783136</v>
      </c>
      <c r="N287">
        <f>K287*Inputs!B6/12</f>
        <v>0</v>
      </c>
      <c r="O287">
        <f t="shared" si="98"/>
        <v>0</v>
      </c>
      <c r="P287">
        <f t="shared" si="99"/>
        <v>0</v>
      </c>
      <c r="Q287">
        <f>L287*Inputs!B6/12</f>
        <v>0</v>
      </c>
      <c r="R287">
        <f t="shared" si="100"/>
        <v>0</v>
      </c>
      <c r="S287">
        <f t="shared" si="101"/>
        <v>0</v>
      </c>
      <c r="T287">
        <f t="shared" si="102"/>
        <v>11493.980930839158</v>
      </c>
      <c r="U287">
        <f t="shared" si="103"/>
        <v>0</v>
      </c>
      <c r="V287">
        <f t="shared" si="104"/>
        <v>0</v>
      </c>
      <c r="W287">
        <f t="shared" si="105"/>
        <v>188669.80462389282</v>
      </c>
      <c r="X287">
        <f t="shared" si="106"/>
        <v>0</v>
      </c>
      <c r="Y287">
        <f t="shared" si="107"/>
        <v>0</v>
      </c>
      <c r="Z287">
        <f t="shared" si="108"/>
        <v>2437757.7825544206</v>
      </c>
      <c r="AA287">
        <f t="shared" si="109"/>
        <v>0</v>
      </c>
      <c r="AB287">
        <f t="shared" si="110"/>
        <v>0</v>
      </c>
      <c r="AC287">
        <f t="shared" si="111"/>
        <v>0</v>
      </c>
    </row>
    <row r="288" spans="1:29" x14ac:dyDescent="0.2">
      <c r="A288">
        <v>287</v>
      </c>
      <c r="B288">
        <f>LoanPool!L288</f>
        <v>10665.190298675534</v>
      </c>
      <c r="C288">
        <f>LoanPool!M288</f>
        <v>186605.5498029615</v>
      </c>
      <c r="D288">
        <f>LoanPool!H288</f>
        <v>709.03773211828889</v>
      </c>
      <c r="E288">
        <f t="shared" si="112"/>
        <v>0</v>
      </c>
      <c r="F288">
        <f t="shared" si="113"/>
        <v>0</v>
      </c>
      <c r="G288">
        <f t="shared" si="114"/>
        <v>2437757.7825544206</v>
      </c>
      <c r="H288">
        <f t="shared" si="92"/>
        <v>709.03773211828889</v>
      </c>
      <c r="I288">
        <f t="shared" si="93"/>
        <v>0</v>
      </c>
      <c r="J288">
        <f t="shared" si="94"/>
        <v>0</v>
      </c>
      <c r="K288">
        <f t="shared" si="95"/>
        <v>0</v>
      </c>
      <c r="L288">
        <f t="shared" si="96"/>
        <v>0</v>
      </c>
      <c r="M288">
        <f t="shared" si="97"/>
        <v>2437048.7448223024</v>
      </c>
      <c r="N288">
        <f>K288*Inputs!B6/12</f>
        <v>0</v>
      </c>
      <c r="O288">
        <f t="shared" si="98"/>
        <v>0</v>
      </c>
      <c r="P288">
        <f t="shared" si="99"/>
        <v>0</v>
      </c>
      <c r="Q288">
        <f>L288*Inputs!B6/12</f>
        <v>0</v>
      </c>
      <c r="R288">
        <f t="shared" si="100"/>
        <v>0</v>
      </c>
      <c r="S288">
        <f t="shared" si="101"/>
        <v>0</v>
      </c>
      <c r="T288">
        <f t="shared" si="102"/>
        <v>10665.190298675534</v>
      </c>
      <c r="U288">
        <f t="shared" si="103"/>
        <v>0</v>
      </c>
      <c r="V288">
        <f t="shared" si="104"/>
        <v>0</v>
      </c>
      <c r="W288">
        <f t="shared" si="105"/>
        <v>186605.5498029615</v>
      </c>
      <c r="X288">
        <f t="shared" si="106"/>
        <v>0</v>
      </c>
      <c r="Y288">
        <f t="shared" si="107"/>
        <v>0</v>
      </c>
      <c r="Z288">
        <f t="shared" si="108"/>
        <v>2250443.1950193411</v>
      </c>
      <c r="AA288">
        <f t="shared" si="109"/>
        <v>0</v>
      </c>
      <c r="AB288">
        <f t="shared" si="110"/>
        <v>0</v>
      </c>
      <c r="AC288">
        <f t="shared" si="111"/>
        <v>0</v>
      </c>
    </row>
    <row r="289" spans="1:29" x14ac:dyDescent="0.2">
      <c r="A289">
        <v>288</v>
      </c>
      <c r="B289">
        <f>LoanPool!L289</f>
        <v>9845.6889782095604</v>
      </c>
      <c r="C289">
        <f>LoanPool!M289</f>
        <v>184559.95512489666</v>
      </c>
      <c r="D289">
        <f>LoanPool!H289</f>
        <v>650.68419004502778</v>
      </c>
      <c r="E289">
        <f t="shared" si="112"/>
        <v>0</v>
      </c>
      <c r="F289">
        <f t="shared" si="113"/>
        <v>0</v>
      </c>
      <c r="G289">
        <f t="shared" si="114"/>
        <v>2250443.1950193411</v>
      </c>
      <c r="H289">
        <f t="shared" si="92"/>
        <v>650.68419004502778</v>
      </c>
      <c r="I289">
        <f t="shared" si="93"/>
        <v>0</v>
      </c>
      <c r="J289">
        <f t="shared" si="94"/>
        <v>0</v>
      </c>
      <c r="K289">
        <f t="shared" si="95"/>
        <v>0</v>
      </c>
      <c r="L289">
        <f t="shared" si="96"/>
        <v>0</v>
      </c>
      <c r="M289">
        <f t="shared" si="97"/>
        <v>2249792.510829296</v>
      </c>
      <c r="N289">
        <f>K289*Inputs!B6/12</f>
        <v>0</v>
      </c>
      <c r="O289">
        <f t="shared" si="98"/>
        <v>0</v>
      </c>
      <c r="P289">
        <f t="shared" si="99"/>
        <v>0</v>
      </c>
      <c r="Q289">
        <f>L289*Inputs!B6/12</f>
        <v>0</v>
      </c>
      <c r="R289">
        <f t="shared" si="100"/>
        <v>0</v>
      </c>
      <c r="S289">
        <f t="shared" si="101"/>
        <v>0</v>
      </c>
      <c r="T289">
        <f t="shared" si="102"/>
        <v>9845.6889782095604</v>
      </c>
      <c r="U289">
        <f t="shared" si="103"/>
        <v>0</v>
      </c>
      <c r="V289">
        <f t="shared" si="104"/>
        <v>0</v>
      </c>
      <c r="W289">
        <f t="shared" si="105"/>
        <v>184559.95512489666</v>
      </c>
      <c r="X289">
        <f t="shared" si="106"/>
        <v>0</v>
      </c>
      <c r="Y289">
        <f t="shared" si="107"/>
        <v>0</v>
      </c>
      <c r="Z289">
        <f t="shared" si="108"/>
        <v>2065232.5557043992</v>
      </c>
      <c r="AA289">
        <f t="shared" si="109"/>
        <v>0</v>
      </c>
      <c r="AB289">
        <f t="shared" si="110"/>
        <v>0</v>
      </c>
      <c r="AC289">
        <f t="shared" si="111"/>
        <v>0</v>
      </c>
    </row>
    <row r="290" spans="1:29" x14ac:dyDescent="0.2">
      <c r="A290">
        <v>289</v>
      </c>
      <c r="B290">
        <f>LoanPool!L290</f>
        <v>9035.3924312066902</v>
      </c>
      <c r="C290">
        <f>LoanPool!M290</f>
        <v>182532.8619431215</v>
      </c>
      <c r="D290">
        <f>LoanPool!H290</f>
        <v>592.98749400555243</v>
      </c>
      <c r="E290">
        <f t="shared" si="112"/>
        <v>0</v>
      </c>
      <c r="F290">
        <f t="shared" si="113"/>
        <v>0</v>
      </c>
      <c r="G290">
        <f t="shared" si="114"/>
        <v>2065232.5557043992</v>
      </c>
      <c r="H290">
        <f t="shared" si="92"/>
        <v>592.98749400555243</v>
      </c>
      <c r="I290">
        <f t="shared" si="93"/>
        <v>0</v>
      </c>
      <c r="J290">
        <f t="shared" si="94"/>
        <v>0</v>
      </c>
      <c r="K290">
        <f t="shared" si="95"/>
        <v>0</v>
      </c>
      <c r="L290">
        <f t="shared" si="96"/>
        <v>0</v>
      </c>
      <c r="M290">
        <f t="shared" si="97"/>
        <v>2064639.5682103937</v>
      </c>
      <c r="N290">
        <f>K290*Inputs!B6/12</f>
        <v>0</v>
      </c>
      <c r="O290">
        <f t="shared" si="98"/>
        <v>0</v>
      </c>
      <c r="P290">
        <f t="shared" si="99"/>
        <v>0</v>
      </c>
      <c r="Q290">
        <f>L290*Inputs!B6/12</f>
        <v>0</v>
      </c>
      <c r="R290">
        <f t="shared" si="100"/>
        <v>0</v>
      </c>
      <c r="S290">
        <f t="shared" si="101"/>
        <v>0</v>
      </c>
      <c r="T290">
        <f t="shared" si="102"/>
        <v>9035.3924312066902</v>
      </c>
      <c r="U290">
        <f t="shared" si="103"/>
        <v>0</v>
      </c>
      <c r="V290">
        <f t="shared" si="104"/>
        <v>0</v>
      </c>
      <c r="W290">
        <f t="shared" si="105"/>
        <v>182532.8619431215</v>
      </c>
      <c r="X290">
        <f t="shared" si="106"/>
        <v>0</v>
      </c>
      <c r="Y290">
        <f t="shared" si="107"/>
        <v>0</v>
      </c>
      <c r="Z290">
        <f t="shared" si="108"/>
        <v>1882106.7062672721</v>
      </c>
      <c r="AA290">
        <f t="shared" si="109"/>
        <v>0</v>
      </c>
      <c r="AB290">
        <f t="shared" si="110"/>
        <v>0</v>
      </c>
      <c r="AC290">
        <f t="shared" si="111"/>
        <v>0</v>
      </c>
    </row>
    <row r="291" spans="1:29" x14ac:dyDescent="0.2">
      <c r="A291">
        <v>290</v>
      </c>
      <c r="B291">
        <f>LoanPool!L291</f>
        <v>8234.2168399192615</v>
      </c>
      <c r="C291">
        <f>LoanPool!M291</f>
        <v>180524.11292880564</v>
      </c>
      <c r="D291">
        <f>LoanPool!H291</f>
        <v>535.94165931552266</v>
      </c>
      <c r="E291">
        <f t="shared" si="112"/>
        <v>0</v>
      </c>
      <c r="F291">
        <f t="shared" si="113"/>
        <v>0</v>
      </c>
      <c r="G291">
        <f t="shared" si="114"/>
        <v>1882106.7062672721</v>
      </c>
      <c r="H291">
        <f t="shared" si="92"/>
        <v>535.94165931552266</v>
      </c>
      <c r="I291">
        <f t="shared" si="93"/>
        <v>0</v>
      </c>
      <c r="J291">
        <f t="shared" si="94"/>
        <v>0</v>
      </c>
      <c r="K291">
        <f t="shared" si="95"/>
        <v>0</v>
      </c>
      <c r="L291">
        <f t="shared" si="96"/>
        <v>0</v>
      </c>
      <c r="M291">
        <f t="shared" si="97"/>
        <v>1881570.7646079566</v>
      </c>
      <c r="N291">
        <f>K291*Inputs!B6/12</f>
        <v>0</v>
      </c>
      <c r="O291">
        <f t="shared" si="98"/>
        <v>0</v>
      </c>
      <c r="P291">
        <f t="shared" si="99"/>
        <v>0</v>
      </c>
      <c r="Q291">
        <f>L291*Inputs!B6/12</f>
        <v>0</v>
      </c>
      <c r="R291">
        <f t="shared" si="100"/>
        <v>0</v>
      </c>
      <c r="S291">
        <f t="shared" si="101"/>
        <v>0</v>
      </c>
      <c r="T291">
        <f t="shared" si="102"/>
        <v>8234.2168399192615</v>
      </c>
      <c r="U291">
        <f t="shared" si="103"/>
        <v>0</v>
      </c>
      <c r="V291">
        <f t="shared" si="104"/>
        <v>0</v>
      </c>
      <c r="W291">
        <f t="shared" si="105"/>
        <v>180524.11292880564</v>
      </c>
      <c r="X291">
        <f t="shared" si="106"/>
        <v>0</v>
      </c>
      <c r="Y291">
        <f t="shared" si="107"/>
        <v>0</v>
      </c>
      <c r="Z291">
        <f t="shared" si="108"/>
        <v>1701046.651679151</v>
      </c>
      <c r="AA291">
        <f t="shared" si="109"/>
        <v>0</v>
      </c>
      <c r="AB291">
        <f t="shared" si="110"/>
        <v>0</v>
      </c>
      <c r="AC291">
        <f t="shared" si="111"/>
        <v>0</v>
      </c>
    </row>
    <row r="292" spans="1:29" x14ac:dyDescent="0.2">
      <c r="A292">
        <v>291</v>
      </c>
      <c r="B292">
        <f>LoanPool!L292</f>
        <v>7442.0791010962303</v>
      </c>
      <c r="C292">
        <f>LoanPool!M292</f>
        <v>178533.55206002187</v>
      </c>
      <c r="D292">
        <f>LoanPool!H292</f>
        <v>479.54075231726733</v>
      </c>
      <c r="E292">
        <f t="shared" si="112"/>
        <v>0</v>
      </c>
      <c r="F292">
        <f t="shared" si="113"/>
        <v>0</v>
      </c>
      <c r="G292">
        <f t="shared" si="114"/>
        <v>1701046.651679151</v>
      </c>
      <c r="H292">
        <f t="shared" si="92"/>
        <v>479.54075231726733</v>
      </c>
      <c r="I292">
        <f t="shared" si="93"/>
        <v>0</v>
      </c>
      <c r="J292">
        <f t="shared" si="94"/>
        <v>0</v>
      </c>
      <c r="K292">
        <f t="shared" si="95"/>
        <v>0</v>
      </c>
      <c r="L292">
        <f t="shared" si="96"/>
        <v>0</v>
      </c>
      <c r="M292">
        <f t="shared" si="97"/>
        <v>1700567.1109268337</v>
      </c>
      <c r="N292">
        <f>K292*Inputs!B6/12</f>
        <v>0</v>
      </c>
      <c r="O292">
        <f t="shared" si="98"/>
        <v>0</v>
      </c>
      <c r="P292">
        <f t="shared" si="99"/>
        <v>0</v>
      </c>
      <c r="Q292">
        <f>L292*Inputs!B6/12</f>
        <v>0</v>
      </c>
      <c r="R292">
        <f t="shared" si="100"/>
        <v>0</v>
      </c>
      <c r="S292">
        <f t="shared" si="101"/>
        <v>0</v>
      </c>
      <c r="T292">
        <f t="shared" si="102"/>
        <v>7442.0791010962303</v>
      </c>
      <c r="U292">
        <f t="shared" si="103"/>
        <v>0</v>
      </c>
      <c r="V292">
        <f t="shared" si="104"/>
        <v>0</v>
      </c>
      <c r="W292">
        <f t="shared" si="105"/>
        <v>178533.55206002187</v>
      </c>
      <c r="X292">
        <f t="shared" si="106"/>
        <v>0</v>
      </c>
      <c r="Y292">
        <f t="shared" si="107"/>
        <v>0</v>
      </c>
      <c r="Z292">
        <f t="shared" si="108"/>
        <v>1522033.5588668119</v>
      </c>
      <c r="AA292">
        <f t="shared" si="109"/>
        <v>0</v>
      </c>
      <c r="AB292">
        <f t="shared" si="110"/>
        <v>0</v>
      </c>
      <c r="AC292">
        <f t="shared" si="111"/>
        <v>0</v>
      </c>
    </row>
    <row r="293" spans="1:29" x14ac:dyDescent="0.2">
      <c r="A293">
        <v>292</v>
      </c>
      <c r="B293">
        <f>LoanPool!L293</f>
        <v>6658.896820042246</v>
      </c>
      <c r="C293">
        <f>LoanPool!M293</f>
        <v>176561.0246109922</v>
      </c>
      <c r="D293">
        <f>LoanPool!H293</f>
        <v>423.77888995546925</v>
      </c>
      <c r="E293">
        <f t="shared" si="112"/>
        <v>0</v>
      </c>
      <c r="F293">
        <f t="shared" si="113"/>
        <v>0</v>
      </c>
      <c r="G293">
        <f t="shared" si="114"/>
        <v>1522033.5588668119</v>
      </c>
      <c r="H293">
        <f t="shared" si="92"/>
        <v>423.77888995546925</v>
      </c>
      <c r="I293">
        <f t="shared" si="93"/>
        <v>0</v>
      </c>
      <c r="J293">
        <f t="shared" si="94"/>
        <v>0</v>
      </c>
      <c r="K293">
        <f t="shared" si="95"/>
        <v>0</v>
      </c>
      <c r="L293">
        <f t="shared" si="96"/>
        <v>0</v>
      </c>
      <c r="M293">
        <f t="shared" si="97"/>
        <v>1521609.7799768564</v>
      </c>
      <c r="N293">
        <f>K293*Inputs!B6/12</f>
        <v>0</v>
      </c>
      <c r="O293">
        <f t="shared" si="98"/>
        <v>0</v>
      </c>
      <c r="P293">
        <f t="shared" si="99"/>
        <v>0</v>
      </c>
      <c r="Q293">
        <f>L293*Inputs!B6/12</f>
        <v>0</v>
      </c>
      <c r="R293">
        <f t="shared" si="100"/>
        <v>0</v>
      </c>
      <c r="S293">
        <f t="shared" si="101"/>
        <v>0</v>
      </c>
      <c r="T293">
        <f t="shared" si="102"/>
        <v>6658.896820042246</v>
      </c>
      <c r="U293">
        <f t="shared" si="103"/>
        <v>0</v>
      </c>
      <c r="V293">
        <f t="shared" si="104"/>
        <v>0</v>
      </c>
      <c r="W293">
        <f t="shared" si="105"/>
        <v>176561.0246109922</v>
      </c>
      <c r="X293">
        <f t="shared" si="106"/>
        <v>0</v>
      </c>
      <c r="Y293">
        <f t="shared" si="107"/>
        <v>0</v>
      </c>
      <c r="Z293">
        <f t="shared" si="108"/>
        <v>1345048.7553658641</v>
      </c>
      <c r="AA293">
        <f t="shared" si="109"/>
        <v>0</v>
      </c>
      <c r="AB293">
        <f t="shared" si="110"/>
        <v>0</v>
      </c>
      <c r="AC293">
        <f t="shared" si="111"/>
        <v>0</v>
      </c>
    </row>
    <row r="294" spans="1:29" x14ac:dyDescent="0.2">
      <c r="A294">
        <v>293</v>
      </c>
      <c r="B294">
        <f>LoanPool!L294</f>
        <v>5884.5883047255993</v>
      </c>
      <c r="C294">
        <f>LoanPool!M294</f>
        <v>174606.37714142079</v>
      </c>
      <c r="D294">
        <f>LoanPool!H294</f>
        <v>368.65023935634304</v>
      </c>
      <c r="E294">
        <f t="shared" si="112"/>
        <v>0</v>
      </c>
      <c r="F294">
        <f t="shared" si="113"/>
        <v>0</v>
      </c>
      <c r="G294">
        <f t="shared" si="114"/>
        <v>1345048.7553658641</v>
      </c>
      <c r="H294">
        <f t="shared" si="92"/>
        <v>368.65023935634304</v>
      </c>
      <c r="I294">
        <f t="shared" si="93"/>
        <v>0</v>
      </c>
      <c r="J294">
        <f t="shared" si="94"/>
        <v>0</v>
      </c>
      <c r="K294">
        <f t="shared" si="95"/>
        <v>0</v>
      </c>
      <c r="L294">
        <f t="shared" si="96"/>
        <v>0</v>
      </c>
      <c r="M294">
        <f t="shared" si="97"/>
        <v>1344680.1051265078</v>
      </c>
      <c r="N294">
        <f>K294*Inputs!B6/12</f>
        <v>0</v>
      </c>
      <c r="O294">
        <f t="shared" si="98"/>
        <v>0</v>
      </c>
      <c r="P294">
        <f t="shared" si="99"/>
        <v>0</v>
      </c>
      <c r="Q294">
        <f>L294*Inputs!B6/12</f>
        <v>0</v>
      </c>
      <c r="R294">
        <f t="shared" si="100"/>
        <v>0</v>
      </c>
      <c r="S294">
        <f t="shared" si="101"/>
        <v>0</v>
      </c>
      <c r="T294">
        <f t="shared" si="102"/>
        <v>5884.5883047255993</v>
      </c>
      <c r="U294">
        <f t="shared" si="103"/>
        <v>0</v>
      </c>
      <c r="V294">
        <f t="shared" si="104"/>
        <v>0</v>
      </c>
      <c r="W294">
        <f t="shared" si="105"/>
        <v>174606.37714142079</v>
      </c>
      <c r="X294">
        <f t="shared" si="106"/>
        <v>0</v>
      </c>
      <c r="Y294">
        <f t="shared" si="107"/>
        <v>0</v>
      </c>
      <c r="Z294">
        <f t="shared" si="108"/>
        <v>1170073.7279850871</v>
      </c>
      <c r="AA294">
        <f t="shared" si="109"/>
        <v>0</v>
      </c>
      <c r="AB294">
        <f t="shared" si="110"/>
        <v>0</v>
      </c>
      <c r="AC294">
        <f t="shared" si="111"/>
        <v>0</v>
      </c>
    </row>
    <row r="295" spans="1:29" x14ac:dyDescent="0.2">
      <c r="A295">
        <v>294</v>
      </c>
      <c r="B295">
        <f>LoanPool!L295</f>
        <v>5119.0725599347006</v>
      </c>
      <c r="C295">
        <f>LoanPool!M295</f>
        <v>172669.45748591615</v>
      </c>
      <c r="D295">
        <f>LoanPool!H295</f>
        <v>314.14901741027762</v>
      </c>
      <c r="E295">
        <f t="shared" si="112"/>
        <v>0</v>
      </c>
      <c r="F295">
        <f t="shared" si="113"/>
        <v>0</v>
      </c>
      <c r="G295">
        <f t="shared" si="114"/>
        <v>1170073.7279850871</v>
      </c>
      <c r="H295">
        <f t="shared" si="92"/>
        <v>314.14901741027762</v>
      </c>
      <c r="I295">
        <f t="shared" si="93"/>
        <v>0</v>
      </c>
      <c r="J295">
        <f t="shared" si="94"/>
        <v>0</v>
      </c>
      <c r="K295">
        <f t="shared" si="95"/>
        <v>0</v>
      </c>
      <c r="L295">
        <f t="shared" si="96"/>
        <v>0</v>
      </c>
      <c r="M295">
        <f t="shared" si="97"/>
        <v>1169759.5789676767</v>
      </c>
      <c r="N295">
        <f>K295*Inputs!B6/12</f>
        <v>0</v>
      </c>
      <c r="O295">
        <f t="shared" si="98"/>
        <v>0</v>
      </c>
      <c r="P295">
        <f t="shared" si="99"/>
        <v>0</v>
      </c>
      <c r="Q295">
        <f>L295*Inputs!B6/12</f>
        <v>0</v>
      </c>
      <c r="R295">
        <f t="shared" si="100"/>
        <v>0</v>
      </c>
      <c r="S295">
        <f t="shared" si="101"/>
        <v>0</v>
      </c>
      <c r="T295">
        <f t="shared" si="102"/>
        <v>5119.0725599347006</v>
      </c>
      <c r="U295">
        <f t="shared" si="103"/>
        <v>0</v>
      </c>
      <c r="V295">
        <f t="shared" si="104"/>
        <v>0</v>
      </c>
      <c r="W295">
        <f t="shared" si="105"/>
        <v>172669.45748591615</v>
      </c>
      <c r="X295">
        <f t="shared" si="106"/>
        <v>0</v>
      </c>
      <c r="Y295">
        <f t="shared" si="107"/>
        <v>0</v>
      </c>
      <c r="Z295">
        <f t="shared" si="108"/>
        <v>997090.12148176064</v>
      </c>
      <c r="AA295">
        <f t="shared" si="109"/>
        <v>0</v>
      </c>
      <c r="AB295">
        <f t="shared" si="110"/>
        <v>0</v>
      </c>
      <c r="AC295">
        <f t="shared" si="111"/>
        <v>0</v>
      </c>
    </row>
    <row r="296" spans="1:29" x14ac:dyDescent="0.2">
      <c r="A296">
        <v>295</v>
      </c>
      <c r="B296">
        <f>LoanPool!L296</f>
        <v>4362.2692814826469</v>
      </c>
      <c r="C296">
        <f>LoanPool!M296</f>
        <v>170750.11474349778</v>
      </c>
      <c r="D296">
        <f>LoanPool!H296</f>
        <v>260.26949035791455</v>
      </c>
      <c r="E296">
        <f t="shared" si="112"/>
        <v>0</v>
      </c>
      <c r="F296">
        <f t="shared" si="113"/>
        <v>0</v>
      </c>
      <c r="G296">
        <f t="shared" si="114"/>
        <v>997090.12148176064</v>
      </c>
      <c r="H296">
        <f t="shared" si="92"/>
        <v>260.26949035791455</v>
      </c>
      <c r="I296">
        <f t="shared" si="93"/>
        <v>0</v>
      </c>
      <c r="J296">
        <f t="shared" si="94"/>
        <v>0</v>
      </c>
      <c r="K296">
        <f t="shared" si="95"/>
        <v>0</v>
      </c>
      <c r="L296">
        <f t="shared" si="96"/>
        <v>0</v>
      </c>
      <c r="M296">
        <f t="shared" si="97"/>
        <v>996829.85199140268</v>
      </c>
      <c r="N296">
        <f>K296*Inputs!B6/12</f>
        <v>0</v>
      </c>
      <c r="O296">
        <f t="shared" si="98"/>
        <v>0</v>
      </c>
      <c r="P296">
        <f t="shared" si="99"/>
        <v>0</v>
      </c>
      <c r="Q296">
        <f>L296*Inputs!B6/12</f>
        <v>0</v>
      </c>
      <c r="R296">
        <f t="shared" si="100"/>
        <v>0</v>
      </c>
      <c r="S296">
        <f t="shared" si="101"/>
        <v>0</v>
      </c>
      <c r="T296">
        <f t="shared" si="102"/>
        <v>4362.2692814826469</v>
      </c>
      <c r="U296">
        <f t="shared" si="103"/>
        <v>0</v>
      </c>
      <c r="V296">
        <f t="shared" si="104"/>
        <v>0</v>
      </c>
      <c r="W296">
        <f t="shared" si="105"/>
        <v>170750.11474349778</v>
      </c>
      <c r="X296">
        <f t="shared" si="106"/>
        <v>0</v>
      </c>
      <c r="Y296">
        <f t="shared" si="107"/>
        <v>0</v>
      </c>
      <c r="Z296">
        <f t="shared" si="108"/>
        <v>826079.73724790488</v>
      </c>
      <c r="AA296">
        <f t="shared" si="109"/>
        <v>0</v>
      </c>
      <c r="AB296">
        <f t="shared" si="110"/>
        <v>0</v>
      </c>
      <c r="AC296">
        <f t="shared" si="111"/>
        <v>0</v>
      </c>
    </row>
    <row r="297" spans="1:29" x14ac:dyDescent="0.2">
      <c r="A297">
        <v>296</v>
      </c>
      <c r="B297">
        <f>LoanPool!L297</f>
        <v>3614.0988504595284</v>
      </c>
      <c r="C297">
        <f>LoanPool!M297</f>
        <v>168848.19926719149</v>
      </c>
      <c r="D297">
        <f>LoanPool!H297</f>
        <v>207.0059733796347</v>
      </c>
      <c r="E297">
        <f t="shared" si="112"/>
        <v>0</v>
      </c>
      <c r="F297">
        <f t="shared" si="113"/>
        <v>0</v>
      </c>
      <c r="G297">
        <f t="shared" si="114"/>
        <v>826079.73724790488</v>
      </c>
      <c r="H297">
        <f t="shared" si="92"/>
        <v>207.0059733796347</v>
      </c>
      <c r="I297">
        <f t="shared" si="93"/>
        <v>0</v>
      </c>
      <c r="J297">
        <f t="shared" si="94"/>
        <v>0</v>
      </c>
      <c r="K297">
        <f t="shared" si="95"/>
        <v>0</v>
      </c>
      <c r="L297">
        <f t="shared" si="96"/>
        <v>0</v>
      </c>
      <c r="M297">
        <f t="shared" si="97"/>
        <v>825872.73127452529</v>
      </c>
      <c r="N297">
        <f>K297*Inputs!B6/12</f>
        <v>0</v>
      </c>
      <c r="O297">
        <f t="shared" si="98"/>
        <v>0</v>
      </c>
      <c r="P297">
        <f t="shared" si="99"/>
        <v>0</v>
      </c>
      <c r="Q297">
        <f>L297*Inputs!B6/12</f>
        <v>0</v>
      </c>
      <c r="R297">
        <f t="shared" si="100"/>
        <v>0</v>
      </c>
      <c r="S297">
        <f t="shared" si="101"/>
        <v>0</v>
      </c>
      <c r="T297">
        <f t="shared" si="102"/>
        <v>3614.0988504595284</v>
      </c>
      <c r="U297">
        <f t="shared" si="103"/>
        <v>0</v>
      </c>
      <c r="V297">
        <f t="shared" si="104"/>
        <v>0</v>
      </c>
      <c r="W297">
        <f t="shared" si="105"/>
        <v>168848.19926719149</v>
      </c>
      <c r="X297">
        <f t="shared" si="106"/>
        <v>0</v>
      </c>
      <c r="Y297">
        <f t="shared" si="107"/>
        <v>0</v>
      </c>
      <c r="Z297">
        <f t="shared" si="108"/>
        <v>657024.53200733382</v>
      </c>
      <c r="AA297">
        <f t="shared" si="109"/>
        <v>0</v>
      </c>
      <c r="AB297">
        <f t="shared" si="110"/>
        <v>0</v>
      </c>
      <c r="AC297">
        <f t="shared" si="111"/>
        <v>0</v>
      </c>
    </row>
    <row r="298" spans="1:29" x14ac:dyDescent="0.2">
      <c r="A298">
        <v>297</v>
      </c>
      <c r="B298">
        <f>LoanPool!L298</f>
        <v>2874.4823275320296</v>
      </c>
      <c r="C298">
        <f>LoanPool!M298</f>
        <v>166963.56265370746</v>
      </c>
      <c r="D298">
        <f>LoanPool!H298</f>
        <v>154.35283018842441</v>
      </c>
      <c r="E298">
        <f t="shared" si="112"/>
        <v>0</v>
      </c>
      <c r="F298">
        <f t="shared" si="113"/>
        <v>0</v>
      </c>
      <c r="G298">
        <f t="shared" si="114"/>
        <v>657024.53200733382</v>
      </c>
      <c r="H298">
        <f t="shared" si="92"/>
        <v>154.35283018842441</v>
      </c>
      <c r="I298">
        <f t="shared" si="93"/>
        <v>0</v>
      </c>
      <c r="J298">
        <f t="shared" si="94"/>
        <v>0</v>
      </c>
      <c r="K298">
        <f t="shared" si="95"/>
        <v>0</v>
      </c>
      <c r="L298">
        <f t="shared" si="96"/>
        <v>0</v>
      </c>
      <c r="M298">
        <f t="shared" si="97"/>
        <v>656870.17917714536</v>
      </c>
      <c r="N298">
        <f>K298*Inputs!B6/12</f>
        <v>0</v>
      </c>
      <c r="O298">
        <f t="shared" si="98"/>
        <v>0</v>
      </c>
      <c r="P298">
        <f t="shared" si="99"/>
        <v>0</v>
      </c>
      <c r="Q298">
        <f>L298*Inputs!B6/12</f>
        <v>0</v>
      </c>
      <c r="R298">
        <f t="shared" si="100"/>
        <v>0</v>
      </c>
      <c r="S298">
        <f t="shared" si="101"/>
        <v>0</v>
      </c>
      <c r="T298">
        <f t="shared" si="102"/>
        <v>2874.4823275320296</v>
      </c>
      <c r="U298">
        <f t="shared" si="103"/>
        <v>0</v>
      </c>
      <c r="V298">
        <f t="shared" si="104"/>
        <v>0</v>
      </c>
      <c r="W298">
        <f t="shared" si="105"/>
        <v>166963.56265370746</v>
      </c>
      <c r="X298">
        <f t="shared" si="106"/>
        <v>0</v>
      </c>
      <c r="Y298">
        <f t="shared" si="107"/>
        <v>0</v>
      </c>
      <c r="Z298">
        <f t="shared" si="108"/>
        <v>489906.6165234379</v>
      </c>
      <c r="AA298">
        <f t="shared" si="109"/>
        <v>0</v>
      </c>
      <c r="AB298">
        <f t="shared" si="110"/>
        <v>0</v>
      </c>
      <c r="AC298">
        <f t="shared" si="111"/>
        <v>0</v>
      </c>
    </row>
    <row r="299" spans="1:29" x14ac:dyDescent="0.2">
      <c r="A299">
        <v>298</v>
      </c>
      <c r="B299">
        <f>LoanPool!L299</f>
        <v>2143.3414472899849</v>
      </c>
      <c r="C299">
        <f>LoanPool!M299</f>
        <v>165096.05773320483</v>
      </c>
      <c r="D299">
        <f>LoanPool!H299</f>
        <v>102.30447262609454</v>
      </c>
      <c r="E299">
        <f t="shared" si="112"/>
        <v>0</v>
      </c>
      <c r="F299">
        <f t="shared" si="113"/>
        <v>0</v>
      </c>
      <c r="G299">
        <f t="shared" si="114"/>
        <v>489906.6165234379</v>
      </c>
      <c r="H299">
        <f t="shared" si="92"/>
        <v>102.30447262609454</v>
      </c>
      <c r="I299">
        <f t="shared" si="93"/>
        <v>0</v>
      </c>
      <c r="J299">
        <f t="shared" si="94"/>
        <v>0</v>
      </c>
      <c r="K299">
        <f t="shared" si="95"/>
        <v>0</v>
      </c>
      <c r="L299">
        <f t="shared" si="96"/>
        <v>0</v>
      </c>
      <c r="M299">
        <f t="shared" si="97"/>
        <v>489804.31205081183</v>
      </c>
      <c r="N299">
        <f>K299*Inputs!B6/12</f>
        <v>0</v>
      </c>
      <c r="O299">
        <f t="shared" si="98"/>
        <v>0</v>
      </c>
      <c r="P299">
        <f t="shared" si="99"/>
        <v>0</v>
      </c>
      <c r="Q299">
        <f>L299*Inputs!B6/12</f>
        <v>0</v>
      </c>
      <c r="R299">
        <f t="shared" si="100"/>
        <v>0</v>
      </c>
      <c r="S299">
        <f t="shared" si="101"/>
        <v>0</v>
      </c>
      <c r="T299">
        <f t="shared" si="102"/>
        <v>2143.3414472899849</v>
      </c>
      <c r="U299">
        <f t="shared" si="103"/>
        <v>0</v>
      </c>
      <c r="V299">
        <f t="shared" si="104"/>
        <v>0</v>
      </c>
      <c r="W299">
        <f t="shared" si="105"/>
        <v>165096.05773320483</v>
      </c>
      <c r="X299">
        <f t="shared" si="106"/>
        <v>0</v>
      </c>
      <c r="Y299">
        <f t="shared" si="107"/>
        <v>0</v>
      </c>
      <c r="Z299">
        <f t="shared" si="108"/>
        <v>324708.25431760703</v>
      </c>
      <c r="AA299">
        <f t="shared" si="109"/>
        <v>0</v>
      </c>
      <c r="AB299">
        <f t="shared" si="110"/>
        <v>0</v>
      </c>
      <c r="AC299">
        <f t="shared" si="111"/>
        <v>0</v>
      </c>
    </row>
    <row r="300" spans="1:29" x14ac:dyDescent="0.2">
      <c r="A300">
        <v>299</v>
      </c>
      <c r="B300">
        <f>LoanPool!L300</f>
        <v>1420.5986126394746</v>
      </c>
      <c r="C300">
        <f>LoanPool!M300</f>
        <v>163245.53855913895</v>
      </c>
      <c r="D300">
        <f>LoanPool!H300</f>
        <v>50.855360262823808</v>
      </c>
      <c r="E300">
        <f t="shared" si="112"/>
        <v>0</v>
      </c>
      <c r="F300">
        <f t="shared" si="113"/>
        <v>0</v>
      </c>
      <c r="G300">
        <f t="shared" si="114"/>
        <v>324708.25431760703</v>
      </c>
      <c r="H300">
        <f t="shared" si="92"/>
        <v>50.855360262823808</v>
      </c>
      <c r="I300">
        <f t="shared" si="93"/>
        <v>0</v>
      </c>
      <c r="J300">
        <f t="shared" si="94"/>
        <v>0</v>
      </c>
      <c r="K300">
        <f t="shared" si="95"/>
        <v>0</v>
      </c>
      <c r="L300">
        <f t="shared" si="96"/>
        <v>0</v>
      </c>
      <c r="M300">
        <f t="shared" si="97"/>
        <v>324657.39895734418</v>
      </c>
      <c r="N300">
        <f>K300*Inputs!B6/12</f>
        <v>0</v>
      </c>
      <c r="O300">
        <f t="shared" si="98"/>
        <v>0</v>
      </c>
      <c r="P300">
        <f t="shared" si="99"/>
        <v>0</v>
      </c>
      <c r="Q300">
        <f>L300*Inputs!B6/12</f>
        <v>0</v>
      </c>
      <c r="R300">
        <f t="shared" si="100"/>
        <v>0</v>
      </c>
      <c r="S300">
        <f t="shared" si="101"/>
        <v>0</v>
      </c>
      <c r="T300">
        <f t="shared" si="102"/>
        <v>1420.5986126394746</v>
      </c>
      <c r="U300">
        <f t="shared" si="103"/>
        <v>0</v>
      </c>
      <c r="V300">
        <f t="shared" si="104"/>
        <v>0</v>
      </c>
      <c r="W300">
        <f t="shared" si="105"/>
        <v>163245.53855913895</v>
      </c>
      <c r="X300">
        <f t="shared" si="106"/>
        <v>0</v>
      </c>
      <c r="Y300">
        <f t="shared" si="107"/>
        <v>0</v>
      </c>
      <c r="Z300">
        <f t="shared" si="108"/>
        <v>161411.86039820523</v>
      </c>
      <c r="AA300">
        <f t="shared" si="109"/>
        <v>0</v>
      </c>
      <c r="AB300">
        <f t="shared" si="110"/>
        <v>0</v>
      </c>
      <c r="AC300">
        <f t="shared" si="111"/>
        <v>0</v>
      </c>
    </row>
    <row r="301" spans="1:29" x14ac:dyDescent="0.2">
      <c r="A301">
        <v>300</v>
      </c>
      <c r="B301">
        <f>LoanPool!L301</f>
        <v>706.17688924209187</v>
      </c>
      <c r="C301">
        <f>LoanPool!M301</f>
        <v>161411.8603981924</v>
      </c>
      <c r="D301">
        <f>LoanPool!H301</f>
        <v>0</v>
      </c>
      <c r="E301">
        <f t="shared" si="112"/>
        <v>0</v>
      </c>
      <c r="F301">
        <f t="shared" si="113"/>
        <v>0</v>
      </c>
      <c r="G301">
        <f t="shared" si="114"/>
        <v>161411.86039820523</v>
      </c>
      <c r="H301">
        <f t="shared" si="92"/>
        <v>0</v>
      </c>
      <c r="I301">
        <f t="shared" si="93"/>
        <v>0</v>
      </c>
      <c r="J301">
        <f t="shared" si="94"/>
        <v>0</v>
      </c>
      <c r="K301">
        <f t="shared" si="95"/>
        <v>0</v>
      </c>
      <c r="L301">
        <f t="shared" si="96"/>
        <v>0</v>
      </c>
      <c r="M301">
        <f t="shared" si="97"/>
        <v>161411.86039820523</v>
      </c>
      <c r="N301">
        <f>K301*Inputs!B6/12</f>
        <v>0</v>
      </c>
      <c r="O301">
        <f t="shared" si="98"/>
        <v>0</v>
      </c>
      <c r="P301">
        <f t="shared" si="99"/>
        <v>0</v>
      </c>
      <c r="Q301">
        <f>L301*Inputs!B6/12</f>
        <v>0</v>
      </c>
      <c r="R301">
        <f t="shared" si="100"/>
        <v>0</v>
      </c>
      <c r="S301">
        <f t="shared" si="101"/>
        <v>0</v>
      </c>
      <c r="T301">
        <f t="shared" si="102"/>
        <v>706.17688924209187</v>
      </c>
      <c r="U301">
        <f t="shared" si="103"/>
        <v>0</v>
      </c>
      <c r="V301">
        <f t="shared" si="104"/>
        <v>0</v>
      </c>
      <c r="W301">
        <f t="shared" si="105"/>
        <v>161411.8603981924</v>
      </c>
      <c r="X301">
        <f t="shared" si="106"/>
        <v>0</v>
      </c>
      <c r="Y301">
        <f t="shared" si="107"/>
        <v>0</v>
      </c>
      <c r="Z301">
        <f t="shared" si="108"/>
        <v>1.2834789231419563E-8</v>
      </c>
      <c r="AA301">
        <f t="shared" si="109"/>
        <v>0</v>
      </c>
      <c r="AB301">
        <f t="shared" si="110"/>
        <v>0</v>
      </c>
      <c r="AC301">
        <f t="shared" si="111"/>
        <v>0</v>
      </c>
    </row>
    <row r="302" spans="1:29" x14ac:dyDescent="0.2">
      <c r="A302">
        <v>301</v>
      </c>
      <c r="B302">
        <f>LoanPool!L302</f>
        <v>0</v>
      </c>
      <c r="C302">
        <f>LoanPool!M302</f>
        <v>0</v>
      </c>
      <c r="D302">
        <f>LoanPool!H302</f>
        <v>0</v>
      </c>
      <c r="E302">
        <f t="shared" si="112"/>
        <v>0</v>
      </c>
      <c r="F302">
        <f t="shared" si="113"/>
        <v>0</v>
      </c>
      <c r="G302">
        <f t="shared" si="114"/>
        <v>1.2834789231419563E-8</v>
      </c>
      <c r="H302">
        <f t="shared" si="92"/>
        <v>0</v>
      </c>
      <c r="I302">
        <f t="shared" si="93"/>
        <v>0</v>
      </c>
      <c r="J302">
        <f t="shared" si="94"/>
        <v>0</v>
      </c>
      <c r="K302">
        <f t="shared" si="95"/>
        <v>0</v>
      </c>
      <c r="L302">
        <f t="shared" si="96"/>
        <v>0</v>
      </c>
      <c r="M302">
        <f t="shared" si="97"/>
        <v>1.2834789231419563E-8</v>
      </c>
      <c r="N302">
        <f>K302*Inputs!B6/12</f>
        <v>0</v>
      </c>
      <c r="O302">
        <f t="shared" si="98"/>
        <v>0</v>
      </c>
      <c r="P302">
        <f t="shared" si="99"/>
        <v>0</v>
      </c>
      <c r="Q302">
        <f>L302*Inputs!B6/12</f>
        <v>0</v>
      </c>
      <c r="R302">
        <f t="shared" si="100"/>
        <v>0</v>
      </c>
      <c r="S302">
        <f t="shared" si="101"/>
        <v>0</v>
      </c>
      <c r="T302">
        <f t="shared" si="102"/>
        <v>0</v>
      </c>
      <c r="U302">
        <f t="shared" si="103"/>
        <v>0</v>
      </c>
      <c r="V302">
        <f t="shared" si="104"/>
        <v>0</v>
      </c>
      <c r="W302">
        <f t="shared" si="105"/>
        <v>0</v>
      </c>
      <c r="X302">
        <f t="shared" si="106"/>
        <v>0</v>
      </c>
      <c r="Y302">
        <f t="shared" si="107"/>
        <v>0</v>
      </c>
      <c r="Z302">
        <f t="shared" si="108"/>
        <v>1.2834789231419563E-8</v>
      </c>
      <c r="AA302">
        <f t="shared" si="109"/>
        <v>0</v>
      </c>
      <c r="AB302">
        <f t="shared" si="110"/>
        <v>0</v>
      </c>
      <c r="AC302">
        <f t="shared" si="111"/>
        <v>0</v>
      </c>
    </row>
    <row r="303" spans="1:29" x14ac:dyDescent="0.2">
      <c r="A303">
        <v>302</v>
      </c>
      <c r="B303">
        <f>LoanPool!L303</f>
        <v>0</v>
      </c>
      <c r="C303">
        <f>LoanPool!M303</f>
        <v>0</v>
      </c>
      <c r="D303">
        <f>LoanPool!H303</f>
        <v>0</v>
      </c>
      <c r="E303">
        <f t="shared" si="112"/>
        <v>0</v>
      </c>
      <c r="F303">
        <f t="shared" si="113"/>
        <v>0</v>
      </c>
      <c r="G303">
        <f t="shared" si="114"/>
        <v>1.2834789231419563E-8</v>
      </c>
      <c r="H303">
        <f t="shared" si="92"/>
        <v>0</v>
      </c>
      <c r="I303">
        <f t="shared" si="93"/>
        <v>0</v>
      </c>
      <c r="J303">
        <f t="shared" si="94"/>
        <v>0</v>
      </c>
      <c r="K303">
        <f t="shared" si="95"/>
        <v>0</v>
      </c>
      <c r="L303">
        <f t="shared" si="96"/>
        <v>0</v>
      </c>
      <c r="M303">
        <f t="shared" si="97"/>
        <v>1.2834789231419563E-8</v>
      </c>
      <c r="N303">
        <f>K303*Inputs!B6/12</f>
        <v>0</v>
      </c>
      <c r="O303">
        <f t="shared" si="98"/>
        <v>0</v>
      </c>
      <c r="P303">
        <f t="shared" si="99"/>
        <v>0</v>
      </c>
      <c r="Q303">
        <f>L303*Inputs!B6/12</f>
        <v>0</v>
      </c>
      <c r="R303">
        <f t="shared" si="100"/>
        <v>0</v>
      </c>
      <c r="S303">
        <f t="shared" si="101"/>
        <v>0</v>
      </c>
      <c r="T303">
        <f t="shared" si="102"/>
        <v>0</v>
      </c>
      <c r="U303">
        <f t="shared" si="103"/>
        <v>0</v>
      </c>
      <c r="V303">
        <f t="shared" si="104"/>
        <v>0</v>
      </c>
      <c r="W303">
        <f t="shared" si="105"/>
        <v>0</v>
      </c>
      <c r="X303">
        <f t="shared" si="106"/>
        <v>0</v>
      </c>
      <c r="Y303">
        <f t="shared" si="107"/>
        <v>0</v>
      </c>
      <c r="Z303">
        <f t="shared" si="108"/>
        <v>1.2834789231419563E-8</v>
      </c>
      <c r="AA303">
        <f t="shared" si="109"/>
        <v>0</v>
      </c>
      <c r="AB303">
        <f t="shared" si="110"/>
        <v>0</v>
      </c>
      <c r="AC303">
        <f t="shared" si="111"/>
        <v>0</v>
      </c>
    </row>
    <row r="304" spans="1:29" x14ac:dyDescent="0.2">
      <c r="A304">
        <v>303</v>
      </c>
      <c r="B304">
        <f>LoanPool!L304</f>
        <v>0</v>
      </c>
      <c r="C304">
        <f>LoanPool!M304</f>
        <v>0</v>
      </c>
      <c r="D304">
        <f>LoanPool!H304</f>
        <v>0</v>
      </c>
      <c r="E304">
        <f t="shared" si="112"/>
        <v>0</v>
      </c>
      <c r="F304">
        <f t="shared" si="113"/>
        <v>0</v>
      </c>
      <c r="G304">
        <f t="shared" si="114"/>
        <v>1.2834789231419563E-8</v>
      </c>
      <c r="H304">
        <f t="shared" si="92"/>
        <v>0</v>
      </c>
      <c r="I304">
        <f t="shared" si="93"/>
        <v>0</v>
      </c>
      <c r="J304">
        <f t="shared" si="94"/>
        <v>0</v>
      </c>
      <c r="K304">
        <f t="shared" si="95"/>
        <v>0</v>
      </c>
      <c r="L304">
        <f t="shared" si="96"/>
        <v>0</v>
      </c>
      <c r="M304">
        <f t="shared" si="97"/>
        <v>1.2834789231419563E-8</v>
      </c>
      <c r="N304">
        <f>K304*Inputs!B6/12</f>
        <v>0</v>
      </c>
      <c r="O304">
        <f t="shared" si="98"/>
        <v>0</v>
      </c>
      <c r="P304">
        <f t="shared" si="99"/>
        <v>0</v>
      </c>
      <c r="Q304">
        <f>L304*Inputs!B6/12</f>
        <v>0</v>
      </c>
      <c r="R304">
        <f t="shared" si="100"/>
        <v>0</v>
      </c>
      <c r="S304">
        <f t="shared" si="101"/>
        <v>0</v>
      </c>
      <c r="T304">
        <f t="shared" si="102"/>
        <v>0</v>
      </c>
      <c r="U304">
        <f t="shared" si="103"/>
        <v>0</v>
      </c>
      <c r="V304">
        <f t="shared" si="104"/>
        <v>0</v>
      </c>
      <c r="W304">
        <f t="shared" si="105"/>
        <v>0</v>
      </c>
      <c r="X304">
        <f t="shared" si="106"/>
        <v>0</v>
      </c>
      <c r="Y304">
        <f t="shared" si="107"/>
        <v>0</v>
      </c>
      <c r="Z304">
        <f t="shared" si="108"/>
        <v>1.2834789231419563E-8</v>
      </c>
      <c r="AA304">
        <f t="shared" si="109"/>
        <v>0</v>
      </c>
      <c r="AB304">
        <f t="shared" si="110"/>
        <v>0</v>
      </c>
      <c r="AC304">
        <f t="shared" si="111"/>
        <v>0</v>
      </c>
    </row>
    <row r="305" spans="1:29" x14ac:dyDescent="0.2">
      <c r="A305">
        <v>304</v>
      </c>
      <c r="B305">
        <f>LoanPool!L305</f>
        <v>0</v>
      </c>
      <c r="C305">
        <f>LoanPool!M305</f>
        <v>0</v>
      </c>
      <c r="D305">
        <f>LoanPool!H305</f>
        <v>0</v>
      </c>
      <c r="E305">
        <f t="shared" si="112"/>
        <v>0</v>
      </c>
      <c r="F305">
        <f t="shared" si="113"/>
        <v>0</v>
      </c>
      <c r="G305">
        <f t="shared" si="114"/>
        <v>1.2834789231419563E-8</v>
      </c>
      <c r="H305">
        <f t="shared" si="92"/>
        <v>0</v>
      </c>
      <c r="I305">
        <f t="shared" si="93"/>
        <v>0</v>
      </c>
      <c r="J305">
        <f t="shared" si="94"/>
        <v>0</v>
      </c>
      <c r="K305">
        <f t="shared" si="95"/>
        <v>0</v>
      </c>
      <c r="L305">
        <f t="shared" si="96"/>
        <v>0</v>
      </c>
      <c r="M305">
        <f t="shared" si="97"/>
        <v>1.2834789231419563E-8</v>
      </c>
      <c r="N305">
        <f>K305*Inputs!B6/12</f>
        <v>0</v>
      </c>
      <c r="O305">
        <f t="shared" si="98"/>
        <v>0</v>
      </c>
      <c r="P305">
        <f t="shared" si="99"/>
        <v>0</v>
      </c>
      <c r="Q305">
        <f>L305*Inputs!B6/12</f>
        <v>0</v>
      </c>
      <c r="R305">
        <f t="shared" si="100"/>
        <v>0</v>
      </c>
      <c r="S305">
        <f t="shared" si="101"/>
        <v>0</v>
      </c>
      <c r="T305">
        <f t="shared" si="102"/>
        <v>0</v>
      </c>
      <c r="U305">
        <f t="shared" si="103"/>
        <v>0</v>
      </c>
      <c r="V305">
        <f t="shared" si="104"/>
        <v>0</v>
      </c>
      <c r="W305">
        <f t="shared" si="105"/>
        <v>0</v>
      </c>
      <c r="X305">
        <f t="shared" si="106"/>
        <v>0</v>
      </c>
      <c r="Y305">
        <f t="shared" si="107"/>
        <v>0</v>
      </c>
      <c r="Z305">
        <f t="shared" si="108"/>
        <v>1.2834789231419563E-8</v>
      </c>
      <c r="AA305">
        <f t="shared" si="109"/>
        <v>0</v>
      </c>
      <c r="AB305">
        <f t="shared" si="110"/>
        <v>0</v>
      </c>
      <c r="AC305">
        <f t="shared" si="111"/>
        <v>0</v>
      </c>
    </row>
    <row r="306" spans="1:29" x14ac:dyDescent="0.2">
      <c r="A306">
        <v>305</v>
      </c>
      <c r="B306">
        <f>LoanPool!L306</f>
        <v>0</v>
      </c>
      <c r="C306">
        <f>LoanPool!M306</f>
        <v>0</v>
      </c>
      <c r="D306">
        <f>LoanPool!H306</f>
        <v>0</v>
      </c>
      <c r="E306">
        <f t="shared" si="112"/>
        <v>0</v>
      </c>
      <c r="F306">
        <f t="shared" si="113"/>
        <v>0</v>
      </c>
      <c r="G306">
        <f t="shared" si="114"/>
        <v>1.2834789231419563E-8</v>
      </c>
      <c r="H306">
        <f t="shared" si="92"/>
        <v>0</v>
      </c>
      <c r="I306">
        <f t="shared" si="93"/>
        <v>0</v>
      </c>
      <c r="J306">
        <f t="shared" si="94"/>
        <v>0</v>
      </c>
      <c r="K306">
        <f t="shared" si="95"/>
        <v>0</v>
      </c>
      <c r="L306">
        <f t="shared" si="96"/>
        <v>0</v>
      </c>
      <c r="M306">
        <f t="shared" si="97"/>
        <v>1.2834789231419563E-8</v>
      </c>
      <c r="N306">
        <f>K306*Inputs!B6/12</f>
        <v>0</v>
      </c>
      <c r="O306">
        <f t="shared" si="98"/>
        <v>0</v>
      </c>
      <c r="P306">
        <f t="shared" si="99"/>
        <v>0</v>
      </c>
      <c r="Q306">
        <f>L306*Inputs!B6/12</f>
        <v>0</v>
      </c>
      <c r="R306">
        <f t="shared" si="100"/>
        <v>0</v>
      </c>
      <c r="S306">
        <f t="shared" si="101"/>
        <v>0</v>
      </c>
      <c r="T306">
        <f t="shared" si="102"/>
        <v>0</v>
      </c>
      <c r="U306">
        <f t="shared" si="103"/>
        <v>0</v>
      </c>
      <c r="V306">
        <f t="shared" si="104"/>
        <v>0</v>
      </c>
      <c r="W306">
        <f t="shared" si="105"/>
        <v>0</v>
      </c>
      <c r="X306">
        <f t="shared" si="106"/>
        <v>0</v>
      </c>
      <c r="Y306">
        <f t="shared" si="107"/>
        <v>0</v>
      </c>
      <c r="Z306">
        <f t="shared" si="108"/>
        <v>1.2834789231419563E-8</v>
      </c>
      <c r="AA306">
        <f t="shared" si="109"/>
        <v>0</v>
      </c>
      <c r="AB306">
        <f t="shared" si="110"/>
        <v>0</v>
      </c>
      <c r="AC306">
        <f t="shared" si="111"/>
        <v>0</v>
      </c>
    </row>
    <row r="307" spans="1:29" x14ac:dyDescent="0.2">
      <c r="A307">
        <v>306</v>
      </c>
      <c r="B307">
        <f>LoanPool!L307</f>
        <v>0</v>
      </c>
      <c r="C307">
        <f>LoanPool!M307</f>
        <v>0</v>
      </c>
      <c r="D307">
        <f>LoanPool!H307</f>
        <v>0</v>
      </c>
      <c r="E307">
        <f t="shared" si="112"/>
        <v>0</v>
      </c>
      <c r="F307">
        <f t="shared" si="113"/>
        <v>0</v>
      </c>
      <c r="G307">
        <f t="shared" si="114"/>
        <v>1.2834789231419563E-8</v>
      </c>
      <c r="H307">
        <f t="shared" si="92"/>
        <v>0</v>
      </c>
      <c r="I307">
        <f t="shared" si="93"/>
        <v>0</v>
      </c>
      <c r="J307">
        <f t="shared" si="94"/>
        <v>0</v>
      </c>
      <c r="K307">
        <f t="shared" si="95"/>
        <v>0</v>
      </c>
      <c r="L307">
        <f t="shared" si="96"/>
        <v>0</v>
      </c>
      <c r="M307">
        <f t="shared" si="97"/>
        <v>1.2834789231419563E-8</v>
      </c>
      <c r="N307">
        <f>K307*Inputs!B6/12</f>
        <v>0</v>
      </c>
      <c r="O307">
        <f t="shared" si="98"/>
        <v>0</v>
      </c>
      <c r="P307">
        <f t="shared" si="99"/>
        <v>0</v>
      </c>
      <c r="Q307">
        <f>L307*Inputs!B6/12</f>
        <v>0</v>
      </c>
      <c r="R307">
        <f t="shared" si="100"/>
        <v>0</v>
      </c>
      <c r="S307">
        <f t="shared" si="101"/>
        <v>0</v>
      </c>
      <c r="T307">
        <f t="shared" si="102"/>
        <v>0</v>
      </c>
      <c r="U307">
        <f t="shared" si="103"/>
        <v>0</v>
      </c>
      <c r="V307">
        <f t="shared" si="104"/>
        <v>0</v>
      </c>
      <c r="W307">
        <f t="shared" si="105"/>
        <v>0</v>
      </c>
      <c r="X307">
        <f t="shared" si="106"/>
        <v>0</v>
      </c>
      <c r="Y307">
        <f t="shared" si="107"/>
        <v>0</v>
      </c>
      <c r="Z307">
        <f t="shared" si="108"/>
        <v>1.2834789231419563E-8</v>
      </c>
      <c r="AA307">
        <f t="shared" si="109"/>
        <v>0</v>
      </c>
      <c r="AB307">
        <f t="shared" si="110"/>
        <v>0</v>
      </c>
      <c r="AC307">
        <f t="shared" si="111"/>
        <v>0</v>
      </c>
    </row>
    <row r="308" spans="1:29" x14ac:dyDescent="0.2">
      <c r="A308">
        <v>307</v>
      </c>
      <c r="B308">
        <f>LoanPool!L308</f>
        <v>0</v>
      </c>
      <c r="C308">
        <f>LoanPool!M308</f>
        <v>0</v>
      </c>
      <c r="D308">
        <f>LoanPool!H308</f>
        <v>0</v>
      </c>
      <c r="E308">
        <f t="shared" si="112"/>
        <v>0</v>
      </c>
      <c r="F308">
        <f t="shared" si="113"/>
        <v>0</v>
      </c>
      <c r="G308">
        <f t="shared" si="114"/>
        <v>1.2834789231419563E-8</v>
      </c>
      <c r="H308">
        <f t="shared" si="92"/>
        <v>0</v>
      </c>
      <c r="I308">
        <f t="shared" si="93"/>
        <v>0</v>
      </c>
      <c r="J308">
        <f t="shared" si="94"/>
        <v>0</v>
      </c>
      <c r="K308">
        <f t="shared" si="95"/>
        <v>0</v>
      </c>
      <c r="L308">
        <f t="shared" si="96"/>
        <v>0</v>
      </c>
      <c r="M308">
        <f t="shared" si="97"/>
        <v>1.2834789231419563E-8</v>
      </c>
      <c r="N308">
        <f>K308*Inputs!B6/12</f>
        <v>0</v>
      </c>
      <c r="O308">
        <f t="shared" si="98"/>
        <v>0</v>
      </c>
      <c r="P308">
        <f t="shared" si="99"/>
        <v>0</v>
      </c>
      <c r="Q308">
        <f>L308*Inputs!B6/12</f>
        <v>0</v>
      </c>
      <c r="R308">
        <f t="shared" si="100"/>
        <v>0</v>
      </c>
      <c r="S308">
        <f t="shared" si="101"/>
        <v>0</v>
      </c>
      <c r="T308">
        <f t="shared" si="102"/>
        <v>0</v>
      </c>
      <c r="U308">
        <f t="shared" si="103"/>
        <v>0</v>
      </c>
      <c r="V308">
        <f t="shared" si="104"/>
        <v>0</v>
      </c>
      <c r="W308">
        <f t="shared" si="105"/>
        <v>0</v>
      </c>
      <c r="X308">
        <f t="shared" si="106"/>
        <v>0</v>
      </c>
      <c r="Y308">
        <f t="shared" si="107"/>
        <v>0</v>
      </c>
      <c r="Z308">
        <f t="shared" si="108"/>
        <v>1.2834789231419563E-8</v>
      </c>
      <c r="AA308">
        <f t="shared" si="109"/>
        <v>0</v>
      </c>
      <c r="AB308">
        <f t="shared" si="110"/>
        <v>0</v>
      </c>
      <c r="AC308">
        <f t="shared" si="111"/>
        <v>0</v>
      </c>
    </row>
    <row r="309" spans="1:29" x14ac:dyDescent="0.2">
      <c r="A309">
        <v>308</v>
      </c>
      <c r="B309">
        <f>LoanPool!L309</f>
        <v>0</v>
      </c>
      <c r="C309">
        <f>LoanPool!M309</f>
        <v>0</v>
      </c>
      <c r="D309">
        <f>LoanPool!H309</f>
        <v>0</v>
      </c>
      <c r="E309">
        <f t="shared" si="112"/>
        <v>0</v>
      </c>
      <c r="F309">
        <f t="shared" si="113"/>
        <v>0</v>
      </c>
      <c r="G309">
        <f t="shared" si="114"/>
        <v>1.2834789231419563E-8</v>
      </c>
      <c r="H309">
        <f t="shared" si="92"/>
        <v>0</v>
      </c>
      <c r="I309">
        <f t="shared" si="93"/>
        <v>0</v>
      </c>
      <c r="J309">
        <f t="shared" si="94"/>
        <v>0</v>
      </c>
      <c r="K309">
        <f t="shared" si="95"/>
        <v>0</v>
      </c>
      <c r="L309">
        <f t="shared" si="96"/>
        <v>0</v>
      </c>
      <c r="M309">
        <f t="shared" si="97"/>
        <v>1.2834789231419563E-8</v>
      </c>
      <c r="N309">
        <f>K309*Inputs!B6/12</f>
        <v>0</v>
      </c>
      <c r="O309">
        <f t="shared" si="98"/>
        <v>0</v>
      </c>
      <c r="P309">
        <f t="shared" si="99"/>
        <v>0</v>
      </c>
      <c r="Q309">
        <f>L309*Inputs!B6/12</f>
        <v>0</v>
      </c>
      <c r="R309">
        <f t="shared" si="100"/>
        <v>0</v>
      </c>
      <c r="S309">
        <f t="shared" si="101"/>
        <v>0</v>
      </c>
      <c r="T309">
        <f t="shared" si="102"/>
        <v>0</v>
      </c>
      <c r="U309">
        <f t="shared" si="103"/>
        <v>0</v>
      </c>
      <c r="V309">
        <f t="shared" si="104"/>
        <v>0</v>
      </c>
      <c r="W309">
        <f t="shared" si="105"/>
        <v>0</v>
      </c>
      <c r="X309">
        <f t="shared" si="106"/>
        <v>0</v>
      </c>
      <c r="Y309">
        <f t="shared" si="107"/>
        <v>0</v>
      </c>
      <c r="Z309">
        <f t="shared" si="108"/>
        <v>1.2834789231419563E-8</v>
      </c>
      <c r="AA309">
        <f t="shared" si="109"/>
        <v>0</v>
      </c>
      <c r="AB309">
        <f t="shared" si="110"/>
        <v>0</v>
      </c>
      <c r="AC309">
        <f t="shared" si="111"/>
        <v>0</v>
      </c>
    </row>
    <row r="310" spans="1:29" x14ac:dyDescent="0.2">
      <c r="A310">
        <v>309</v>
      </c>
      <c r="B310">
        <f>LoanPool!L310</f>
        <v>0</v>
      </c>
      <c r="C310">
        <f>LoanPool!M310</f>
        <v>0</v>
      </c>
      <c r="D310">
        <f>LoanPool!H310</f>
        <v>0</v>
      </c>
      <c r="E310">
        <f t="shared" si="112"/>
        <v>0</v>
      </c>
      <c r="F310">
        <f t="shared" si="113"/>
        <v>0</v>
      </c>
      <c r="G310">
        <f t="shared" si="114"/>
        <v>1.2834789231419563E-8</v>
      </c>
      <c r="H310">
        <f t="shared" si="92"/>
        <v>0</v>
      </c>
      <c r="I310">
        <f t="shared" si="93"/>
        <v>0</v>
      </c>
      <c r="J310">
        <f t="shared" si="94"/>
        <v>0</v>
      </c>
      <c r="K310">
        <f t="shared" si="95"/>
        <v>0</v>
      </c>
      <c r="L310">
        <f t="shared" si="96"/>
        <v>0</v>
      </c>
      <c r="M310">
        <f t="shared" si="97"/>
        <v>1.2834789231419563E-8</v>
      </c>
      <c r="N310">
        <f>K310*Inputs!B6/12</f>
        <v>0</v>
      </c>
      <c r="O310">
        <f t="shared" si="98"/>
        <v>0</v>
      </c>
      <c r="P310">
        <f t="shared" si="99"/>
        <v>0</v>
      </c>
      <c r="Q310">
        <f>L310*Inputs!B6/12</f>
        <v>0</v>
      </c>
      <c r="R310">
        <f t="shared" si="100"/>
        <v>0</v>
      </c>
      <c r="S310">
        <f t="shared" si="101"/>
        <v>0</v>
      </c>
      <c r="T310">
        <f t="shared" si="102"/>
        <v>0</v>
      </c>
      <c r="U310">
        <f t="shared" si="103"/>
        <v>0</v>
      </c>
      <c r="V310">
        <f t="shared" si="104"/>
        <v>0</v>
      </c>
      <c r="W310">
        <f t="shared" si="105"/>
        <v>0</v>
      </c>
      <c r="X310">
        <f t="shared" si="106"/>
        <v>0</v>
      </c>
      <c r="Y310">
        <f t="shared" si="107"/>
        <v>0</v>
      </c>
      <c r="Z310">
        <f t="shared" si="108"/>
        <v>1.2834789231419563E-8</v>
      </c>
      <c r="AA310">
        <f t="shared" si="109"/>
        <v>0</v>
      </c>
      <c r="AB310">
        <f t="shared" si="110"/>
        <v>0</v>
      </c>
      <c r="AC310">
        <f t="shared" si="111"/>
        <v>0</v>
      </c>
    </row>
    <row r="311" spans="1:29" x14ac:dyDescent="0.2">
      <c r="A311">
        <v>310</v>
      </c>
      <c r="B311">
        <f>LoanPool!L311</f>
        <v>0</v>
      </c>
      <c r="C311">
        <f>LoanPool!M311</f>
        <v>0</v>
      </c>
      <c r="D311">
        <f>LoanPool!H311</f>
        <v>0</v>
      </c>
      <c r="E311">
        <f t="shared" si="112"/>
        <v>0</v>
      </c>
      <c r="F311">
        <f t="shared" si="113"/>
        <v>0</v>
      </c>
      <c r="G311">
        <f t="shared" si="114"/>
        <v>1.2834789231419563E-8</v>
      </c>
      <c r="H311">
        <f t="shared" si="92"/>
        <v>0</v>
      </c>
      <c r="I311">
        <f t="shared" si="93"/>
        <v>0</v>
      </c>
      <c r="J311">
        <f t="shared" si="94"/>
        <v>0</v>
      </c>
      <c r="K311">
        <f t="shared" si="95"/>
        <v>0</v>
      </c>
      <c r="L311">
        <f t="shared" si="96"/>
        <v>0</v>
      </c>
      <c r="M311">
        <f t="shared" si="97"/>
        <v>1.2834789231419563E-8</v>
      </c>
      <c r="N311">
        <f>K311*Inputs!B6/12</f>
        <v>0</v>
      </c>
      <c r="O311">
        <f t="shared" si="98"/>
        <v>0</v>
      </c>
      <c r="P311">
        <f t="shared" si="99"/>
        <v>0</v>
      </c>
      <c r="Q311">
        <f>L311*Inputs!B6/12</f>
        <v>0</v>
      </c>
      <c r="R311">
        <f t="shared" si="100"/>
        <v>0</v>
      </c>
      <c r="S311">
        <f t="shared" si="101"/>
        <v>0</v>
      </c>
      <c r="T311">
        <f t="shared" si="102"/>
        <v>0</v>
      </c>
      <c r="U311">
        <f t="shared" si="103"/>
        <v>0</v>
      </c>
      <c r="V311">
        <f t="shared" si="104"/>
        <v>0</v>
      </c>
      <c r="W311">
        <f t="shared" si="105"/>
        <v>0</v>
      </c>
      <c r="X311">
        <f t="shared" si="106"/>
        <v>0</v>
      </c>
      <c r="Y311">
        <f t="shared" si="107"/>
        <v>0</v>
      </c>
      <c r="Z311">
        <f t="shared" si="108"/>
        <v>1.2834789231419563E-8</v>
      </c>
      <c r="AA311">
        <f t="shared" si="109"/>
        <v>0</v>
      </c>
      <c r="AB311">
        <f t="shared" si="110"/>
        <v>0</v>
      </c>
      <c r="AC311">
        <f t="shared" si="111"/>
        <v>0</v>
      </c>
    </row>
    <row r="312" spans="1:29" x14ac:dyDescent="0.2">
      <c r="A312">
        <v>311</v>
      </c>
      <c r="B312">
        <f>LoanPool!L312</f>
        <v>0</v>
      </c>
      <c r="C312">
        <f>LoanPool!M312</f>
        <v>0</v>
      </c>
      <c r="D312">
        <f>LoanPool!H312</f>
        <v>0</v>
      </c>
      <c r="E312">
        <f t="shared" si="112"/>
        <v>0</v>
      </c>
      <c r="F312">
        <f t="shared" si="113"/>
        <v>0</v>
      </c>
      <c r="G312">
        <f t="shared" si="114"/>
        <v>1.2834789231419563E-8</v>
      </c>
      <c r="H312">
        <f t="shared" si="92"/>
        <v>0</v>
      </c>
      <c r="I312">
        <f t="shared" si="93"/>
        <v>0</v>
      </c>
      <c r="J312">
        <f t="shared" si="94"/>
        <v>0</v>
      </c>
      <c r="K312">
        <f t="shared" si="95"/>
        <v>0</v>
      </c>
      <c r="L312">
        <f t="shared" si="96"/>
        <v>0</v>
      </c>
      <c r="M312">
        <f t="shared" si="97"/>
        <v>1.2834789231419563E-8</v>
      </c>
      <c r="N312">
        <f>K312*Inputs!B6/12</f>
        <v>0</v>
      </c>
      <c r="O312">
        <f t="shared" si="98"/>
        <v>0</v>
      </c>
      <c r="P312">
        <f t="shared" si="99"/>
        <v>0</v>
      </c>
      <c r="Q312">
        <f>L312*Inputs!B6/12</f>
        <v>0</v>
      </c>
      <c r="R312">
        <f t="shared" si="100"/>
        <v>0</v>
      </c>
      <c r="S312">
        <f t="shared" si="101"/>
        <v>0</v>
      </c>
      <c r="T312">
        <f t="shared" si="102"/>
        <v>0</v>
      </c>
      <c r="U312">
        <f t="shared" si="103"/>
        <v>0</v>
      </c>
      <c r="V312">
        <f t="shared" si="104"/>
        <v>0</v>
      </c>
      <c r="W312">
        <f t="shared" si="105"/>
        <v>0</v>
      </c>
      <c r="X312">
        <f t="shared" si="106"/>
        <v>0</v>
      </c>
      <c r="Y312">
        <f t="shared" si="107"/>
        <v>0</v>
      </c>
      <c r="Z312">
        <f t="shared" si="108"/>
        <v>1.2834789231419563E-8</v>
      </c>
      <c r="AA312">
        <f t="shared" si="109"/>
        <v>0</v>
      </c>
      <c r="AB312">
        <f t="shared" si="110"/>
        <v>0</v>
      </c>
      <c r="AC312">
        <f t="shared" si="111"/>
        <v>0</v>
      </c>
    </row>
    <row r="313" spans="1:29" x14ac:dyDescent="0.2">
      <c r="A313">
        <v>312</v>
      </c>
      <c r="B313">
        <f>LoanPool!L313</f>
        <v>0</v>
      </c>
      <c r="C313">
        <f>LoanPool!M313</f>
        <v>0</v>
      </c>
      <c r="D313">
        <f>LoanPool!H313</f>
        <v>0</v>
      </c>
      <c r="E313">
        <f t="shared" si="112"/>
        <v>0</v>
      </c>
      <c r="F313">
        <f t="shared" si="113"/>
        <v>0</v>
      </c>
      <c r="G313">
        <f t="shared" si="114"/>
        <v>1.2834789231419563E-8</v>
      </c>
      <c r="H313">
        <f t="shared" si="92"/>
        <v>0</v>
      </c>
      <c r="I313">
        <f t="shared" si="93"/>
        <v>0</v>
      </c>
      <c r="J313">
        <f t="shared" si="94"/>
        <v>0</v>
      </c>
      <c r="K313">
        <f t="shared" si="95"/>
        <v>0</v>
      </c>
      <c r="L313">
        <f t="shared" si="96"/>
        <v>0</v>
      </c>
      <c r="M313">
        <f t="shared" si="97"/>
        <v>1.2834789231419563E-8</v>
      </c>
      <c r="N313">
        <f>K313*Inputs!B6/12</f>
        <v>0</v>
      </c>
      <c r="O313">
        <f t="shared" si="98"/>
        <v>0</v>
      </c>
      <c r="P313">
        <f t="shared" si="99"/>
        <v>0</v>
      </c>
      <c r="Q313">
        <f>L313*Inputs!B6/12</f>
        <v>0</v>
      </c>
      <c r="R313">
        <f t="shared" si="100"/>
        <v>0</v>
      </c>
      <c r="S313">
        <f t="shared" si="101"/>
        <v>0</v>
      </c>
      <c r="T313">
        <f t="shared" si="102"/>
        <v>0</v>
      </c>
      <c r="U313">
        <f t="shared" si="103"/>
        <v>0</v>
      </c>
      <c r="V313">
        <f t="shared" si="104"/>
        <v>0</v>
      </c>
      <c r="W313">
        <f t="shared" si="105"/>
        <v>0</v>
      </c>
      <c r="X313">
        <f t="shared" si="106"/>
        <v>0</v>
      </c>
      <c r="Y313">
        <f t="shared" si="107"/>
        <v>0</v>
      </c>
      <c r="Z313">
        <f t="shared" si="108"/>
        <v>1.2834789231419563E-8</v>
      </c>
      <c r="AA313">
        <f t="shared" si="109"/>
        <v>0</v>
      </c>
      <c r="AB313">
        <f t="shared" si="110"/>
        <v>0</v>
      </c>
      <c r="AC313">
        <f t="shared" si="111"/>
        <v>0</v>
      </c>
    </row>
    <row r="314" spans="1:29" x14ac:dyDescent="0.2">
      <c r="A314">
        <v>313</v>
      </c>
      <c r="B314">
        <f>LoanPool!L314</f>
        <v>0</v>
      </c>
      <c r="C314">
        <f>LoanPool!M314</f>
        <v>0</v>
      </c>
      <c r="D314">
        <f>LoanPool!H314</f>
        <v>0</v>
      </c>
      <c r="E314">
        <f t="shared" si="112"/>
        <v>0</v>
      </c>
      <c r="F314">
        <f t="shared" si="113"/>
        <v>0</v>
      </c>
      <c r="G314">
        <f t="shared" si="114"/>
        <v>1.2834789231419563E-8</v>
      </c>
      <c r="H314">
        <f t="shared" si="92"/>
        <v>0</v>
      </c>
      <c r="I314">
        <f t="shared" si="93"/>
        <v>0</v>
      </c>
      <c r="J314">
        <f t="shared" si="94"/>
        <v>0</v>
      </c>
      <c r="K314">
        <f t="shared" si="95"/>
        <v>0</v>
      </c>
      <c r="L314">
        <f t="shared" si="96"/>
        <v>0</v>
      </c>
      <c r="M314">
        <f t="shared" si="97"/>
        <v>1.2834789231419563E-8</v>
      </c>
      <c r="N314">
        <f>K314*Inputs!B6/12</f>
        <v>0</v>
      </c>
      <c r="O314">
        <f t="shared" si="98"/>
        <v>0</v>
      </c>
      <c r="P314">
        <f t="shared" si="99"/>
        <v>0</v>
      </c>
      <c r="Q314">
        <f>L314*Inputs!B6/12</f>
        <v>0</v>
      </c>
      <c r="R314">
        <f t="shared" si="100"/>
        <v>0</v>
      </c>
      <c r="S314">
        <f t="shared" si="101"/>
        <v>0</v>
      </c>
      <c r="T314">
        <f t="shared" si="102"/>
        <v>0</v>
      </c>
      <c r="U314">
        <f t="shared" si="103"/>
        <v>0</v>
      </c>
      <c r="V314">
        <f t="shared" si="104"/>
        <v>0</v>
      </c>
      <c r="W314">
        <f t="shared" si="105"/>
        <v>0</v>
      </c>
      <c r="X314">
        <f t="shared" si="106"/>
        <v>0</v>
      </c>
      <c r="Y314">
        <f t="shared" si="107"/>
        <v>0</v>
      </c>
      <c r="Z314">
        <f t="shared" si="108"/>
        <v>1.2834789231419563E-8</v>
      </c>
      <c r="AA314">
        <f t="shared" si="109"/>
        <v>0</v>
      </c>
      <c r="AB314">
        <f t="shared" si="110"/>
        <v>0</v>
      </c>
      <c r="AC314">
        <f t="shared" si="111"/>
        <v>0</v>
      </c>
    </row>
    <row r="315" spans="1:29" x14ac:dyDescent="0.2">
      <c r="A315">
        <v>314</v>
      </c>
      <c r="B315">
        <f>LoanPool!L315</f>
        <v>0</v>
      </c>
      <c r="C315">
        <f>LoanPool!M315</f>
        <v>0</v>
      </c>
      <c r="D315">
        <f>LoanPool!H315</f>
        <v>0</v>
      </c>
      <c r="E315">
        <f t="shared" si="112"/>
        <v>0</v>
      </c>
      <c r="F315">
        <f t="shared" si="113"/>
        <v>0</v>
      </c>
      <c r="G315">
        <f t="shared" si="114"/>
        <v>1.2834789231419563E-8</v>
      </c>
      <c r="H315">
        <f t="shared" si="92"/>
        <v>0</v>
      </c>
      <c r="I315">
        <f t="shared" si="93"/>
        <v>0</v>
      </c>
      <c r="J315">
        <f t="shared" si="94"/>
        <v>0</v>
      </c>
      <c r="K315">
        <f t="shared" si="95"/>
        <v>0</v>
      </c>
      <c r="L315">
        <f t="shared" si="96"/>
        <v>0</v>
      </c>
      <c r="M315">
        <f t="shared" si="97"/>
        <v>1.2834789231419563E-8</v>
      </c>
      <c r="N315">
        <f>K315*Inputs!B6/12</f>
        <v>0</v>
      </c>
      <c r="O315">
        <f t="shared" si="98"/>
        <v>0</v>
      </c>
      <c r="P315">
        <f t="shared" si="99"/>
        <v>0</v>
      </c>
      <c r="Q315">
        <f>L315*Inputs!B6/12</f>
        <v>0</v>
      </c>
      <c r="R315">
        <f t="shared" si="100"/>
        <v>0</v>
      </c>
      <c r="S315">
        <f t="shared" si="101"/>
        <v>0</v>
      </c>
      <c r="T315">
        <f t="shared" si="102"/>
        <v>0</v>
      </c>
      <c r="U315">
        <f t="shared" si="103"/>
        <v>0</v>
      </c>
      <c r="V315">
        <f t="shared" si="104"/>
        <v>0</v>
      </c>
      <c r="W315">
        <f t="shared" si="105"/>
        <v>0</v>
      </c>
      <c r="X315">
        <f t="shared" si="106"/>
        <v>0</v>
      </c>
      <c r="Y315">
        <f t="shared" si="107"/>
        <v>0</v>
      </c>
      <c r="Z315">
        <f t="shared" si="108"/>
        <v>1.2834789231419563E-8</v>
      </c>
      <c r="AA315">
        <f t="shared" si="109"/>
        <v>0</v>
      </c>
      <c r="AB315">
        <f t="shared" si="110"/>
        <v>0</v>
      </c>
      <c r="AC315">
        <f t="shared" si="111"/>
        <v>0</v>
      </c>
    </row>
    <row r="316" spans="1:29" x14ac:dyDescent="0.2">
      <c r="A316">
        <v>315</v>
      </c>
      <c r="B316">
        <f>LoanPool!L316</f>
        <v>0</v>
      </c>
      <c r="C316">
        <f>LoanPool!M316</f>
        <v>0</v>
      </c>
      <c r="D316">
        <f>LoanPool!H316</f>
        <v>0</v>
      </c>
      <c r="E316">
        <f t="shared" si="112"/>
        <v>0</v>
      </c>
      <c r="F316">
        <f t="shared" si="113"/>
        <v>0</v>
      </c>
      <c r="G316">
        <f t="shared" si="114"/>
        <v>1.2834789231419563E-8</v>
      </c>
      <c r="H316">
        <f t="shared" si="92"/>
        <v>0</v>
      </c>
      <c r="I316">
        <f t="shared" si="93"/>
        <v>0</v>
      </c>
      <c r="J316">
        <f t="shared" si="94"/>
        <v>0</v>
      </c>
      <c r="K316">
        <f t="shared" si="95"/>
        <v>0</v>
      </c>
      <c r="L316">
        <f t="shared" si="96"/>
        <v>0</v>
      </c>
      <c r="M316">
        <f t="shared" si="97"/>
        <v>1.2834789231419563E-8</v>
      </c>
      <c r="N316">
        <f>K316*Inputs!B6/12</f>
        <v>0</v>
      </c>
      <c r="O316">
        <f t="shared" si="98"/>
        <v>0</v>
      </c>
      <c r="P316">
        <f t="shared" si="99"/>
        <v>0</v>
      </c>
      <c r="Q316">
        <f>L316*Inputs!B6/12</f>
        <v>0</v>
      </c>
      <c r="R316">
        <f t="shared" si="100"/>
        <v>0</v>
      </c>
      <c r="S316">
        <f t="shared" si="101"/>
        <v>0</v>
      </c>
      <c r="T316">
        <f t="shared" si="102"/>
        <v>0</v>
      </c>
      <c r="U316">
        <f t="shared" si="103"/>
        <v>0</v>
      </c>
      <c r="V316">
        <f t="shared" si="104"/>
        <v>0</v>
      </c>
      <c r="W316">
        <f t="shared" si="105"/>
        <v>0</v>
      </c>
      <c r="X316">
        <f t="shared" si="106"/>
        <v>0</v>
      </c>
      <c r="Y316">
        <f t="shared" si="107"/>
        <v>0</v>
      </c>
      <c r="Z316">
        <f t="shared" si="108"/>
        <v>1.2834789231419563E-8</v>
      </c>
      <c r="AA316">
        <f t="shared" si="109"/>
        <v>0</v>
      </c>
      <c r="AB316">
        <f t="shared" si="110"/>
        <v>0</v>
      </c>
      <c r="AC316">
        <f t="shared" si="111"/>
        <v>0</v>
      </c>
    </row>
    <row r="317" spans="1:29" x14ac:dyDescent="0.2">
      <c r="A317">
        <v>316</v>
      </c>
      <c r="B317">
        <f>LoanPool!L317</f>
        <v>0</v>
      </c>
      <c r="C317">
        <f>LoanPool!M317</f>
        <v>0</v>
      </c>
      <c r="D317">
        <f>LoanPool!H317</f>
        <v>0</v>
      </c>
      <c r="E317">
        <f t="shared" si="112"/>
        <v>0</v>
      </c>
      <c r="F317">
        <f t="shared" si="113"/>
        <v>0</v>
      </c>
      <c r="G317">
        <f t="shared" si="114"/>
        <v>1.2834789231419563E-8</v>
      </c>
      <c r="H317">
        <f t="shared" si="92"/>
        <v>0</v>
      </c>
      <c r="I317">
        <f t="shared" si="93"/>
        <v>0</v>
      </c>
      <c r="J317">
        <f t="shared" si="94"/>
        <v>0</v>
      </c>
      <c r="K317">
        <f t="shared" si="95"/>
        <v>0</v>
      </c>
      <c r="L317">
        <f t="shared" si="96"/>
        <v>0</v>
      </c>
      <c r="M317">
        <f t="shared" si="97"/>
        <v>1.2834789231419563E-8</v>
      </c>
      <c r="N317">
        <f>K317*Inputs!B6/12</f>
        <v>0</v>
      </c>
      <c r="O317">
        <f t="shared" si="98"/>
        <v>0</v>
      </c>
      <c r="P317">
        <f t="shared" si="99"/>
        <v>0</v>
      </c>
      <c r="Q317">
        <f>L317*Inputs!B6/12</f>
        <v>0</v>
      </c>
      <c r="R317">
        <f t="shared" si="100"/>
        <v>0</v>
      </c>
      <c r="S317">
        <f t="shared" si="101"/>
        <v>0</v>
      </c>
      <c r="T317">
        <f t="shared" si="102"/>
        <v>0</v>
      </c>
      <c r="U317">
        <f t="shared" si="103"/>
        <v>0</v>
      </c>
      <c r="V317">
        <f t="shared" si="104"/>
        <v>0</v>
      </c>
      <c r="W317">
        <f t="shared" si="105"/>
        <v>0</v>
      </c>
      <c r="X317">
        <f t="shared" si="106"/>
        <v>0</v>
      </c>
      <c r="Y317">
        <f t="shared" si="107"/>
        <v>0</v>
      </c>
      <c r="Z317">
        <f t="shared" si="108"/>
        <v>1.2834789231419563E-8</v>
      </c>
      <c r="AA317">
        <f t="shared" si="109"/>
        <v>0</v>
      </c>
      <c r="AB317">
        <f t="shared" si="110"/>
        <v>0</v>
      </c>
      <c r="AC317">
        <f t="shared" si="111"/>
        <v>0</v>
      </c>
    </row>
    <row r="318" spans="1:29" x14ac:dyDescent="0.2">
      <c r="A318">
        <v>317</v>
      </c>
      <c r="B318">
        <f>LoanPool!L318</f>
        <v>0</v>
      </c>
      <c r="C318">
        <f>LoanPool!M318</f>
        <v>0</v>
      </c>
      <c r="D318">
        <f>LoanPool!H318</f>
        <v>0</v>
      </c>
      <c r="E318">
        <f t="shared" si="112"/>
        <v>0</v>
      </c>
      <c r="F318">
        <f t="shared" si="113"/>
        <v>0</v>
      </c>
      <c r="G318">
        <f t="shared" si="114"/>
        <v>1.2834789231419563E-8</v>
      </c>
      <c r="H318">
        <f t="shared" si="92"/>
        <v>0</v>
      </c>
      <c r="I318">
        <f t="shared" si="93"/>
        <v>0</v>
      </c>
      <c r="J318">
        <f t="shared" si="94"/>
        <v>0</v>
      </c>
      <c r="K318">
        <f t="shared" si="95"/>
        <v>0</v>
      </c>
      <c r="L318">
        <f t="shared" si="96"/>
        <v>0</v>
      </c>
      <c r="M318">
        <f t="shared" si="97"/>
        <v>1.2834789231419563E-8</v>
      </c>
      <c r="N318">
        <f>K318*Inputs!B6/12</f>
        <v>0</v>
      </c>
      <c r="O318">
        <f t="shared" si="98"/>
        <v>0</v>
      </c>
      <c r="P318">
        <f t="shared" si="99"/>
        <v>0</v>
      </c>
      <c r="Q318">
        <f>L318*Inputs!B6/12</f>
        <v>0</v>
      </c>
      <c r="R318">
        <f t="shared" si="100"/>
        <v>0</v>
      </c>
      <c r="S318">
        <f t="shared" si="101"/>
        <v>0</v>
      </c>
      <c r="T318">
        <f t="shared" si="102"/>
        <v>0</v>
      </c>
      <c r="U318">
        <f t="shared" si="103"/>
        <v>0</v>
      </c>
      <c r="V318">
        <f t="shared" si="104"/>
        <v>0</v>
      </c>
      <c r="W318">
        <f t="shared" si="105"/>
        <v>0</v>
      </c>
      <c r="X318">
        <f t="shared" si="106"/>
        <v>0</v>
      </c>
      <c r="Y318">
        <f t="shared" si="107"/>
        <v>0</v>
      </c>
      <c r="Z318">
        <f t="shared" si="108"/>
        <v>1.2834789231419563E-8</v>
      </c>
      <c r="AA318">
        <f t="shared" si="109"/>
        <v>0</v>
      </c>
      <c r="AB318">
        <f t="shared" si="110"/>
        <v>0</v>
      </c>
      <c r="AC318">
        <f t="shared" si="111"/>
        <v>0</v>
      </c>
    </row>
    <row r="319" spans="1:29" x14ac:dyDescent="0.2">
      <c r="A319">
        <v>318</v>
      </c>
      <c r="B319">
        <f>LoanPool!L319</f>
        <v>0</v>
      </c>
      <c r="C319">
        <f>LoanPool!M319</f>
        <v>0</v>
      </c>
      <c r="D319">
        <f>LoanPool!H319</f>
        <v>0</v>
      </c>
      <c r="E319">
        <f t="shared" si="112"/>
        <v>0</v>
      </c>
      <c r="F319">
        <f t="shared" si="113"/>
        <v>0</v>
      </c>
      <c r="G319">
        <f t="shared" si="114"/>
        <v>1.2834789231419563E-8</v>
      </c>
      <c r="H319">
        <f t="shared" si="92"/>
        <v>0</v>
      </c>
      <c r="I319">
        <f t="shared" si="93"/>
        <v>0</v>
      </c>
      <c r="J319">
        <f t="shared" si="94"/>
        <v>0</v>
      </c>
      <c r="K319">
        <f t="shared" si="95"/>
        <v>0</v>
      </c>
      <c r="L319">
        <f t="shared" si="96"/>
        <v>0</v>
      </c>
      <c r="M319">
        <f t="shared" si="97"/>
        <v>1.2834789231419563E-8</v>
      </c>
      <c r="N319">
        <f>K319*Inputs!B6/12</f>
        <v>0</v>
      </c>
      <c r="O319">
        <f t="shared" si="98"/>
        <v>0</v>
      </c>
      <c r="P319">
        <f t="shared" si="99"/>
        <v>0</v>
      </c>
      <c r="Q319">
        <f>L319*Inputs!B6/12</f>
        <v>0</v>
      </c>
      <c r="R319">
        <f t="shared" si="100"/>
        <v>0</v>
      </c>
      <c r="S319">
        <f t="shared" si="101"/>
        <v>0</v>
      </c>
      <c r="T319">
        <f t="shared" si="102"/>
        <v>0</v>
      </c>
      <c r="U319">
        <f t="shared" si="103"/>
        <v>0</v>
      </c>
      <c r="V319">
        <f t="shared" si="104"/>
        <v>0</v>
      </c>
      <c r="W319">
        <f t="shared" si="105"/>
        <v>0</v>
      </c>
      <c r="X319">
        <f t="shared" si="106"/>
        <v>0</v>
      </c>
      <c r="Y319">
        <f t="shared" si="107"/>
        <v>0</v>
      </c>
      <c r="Z319">
        <f t="shared" si="108"/>
        <v>1.2834789231419563E-8</v>
      </c>
      <c r="AA319">
        <f t="shared" si="109"/>
        <v>0</v>
      </c>
      <c r="AB319">
        <f t="shared" si="110"/>
        <v>0</v>
      </c>
      <c r="AC319">
        <f t="shared" si="111"/>
        <v>0</v>
      </c>
    </row>
    <row r="320" spans="1:29" x14ac:dyDescent="0.2">
      <c r="A320">
        <v>319</v>
      </c>
      <c r="B320">
        <f>LoanPool!L320</f>
        <v>0</v>
      </c>
      <c r="C320">
        <f>LoanPool!M320</f>
        <v>0</v>
      </c>
      <c r="D320">
        <f>LoanPool!H320</f>
        <v>0</v>
      </c>
      <c r="E320">
        <f t="shared" si="112"/>
        <v>0</v>
      </c>
      <c r="F320">
        <f t="shared" si="113"/>
        <v>0</v>
      </c>
      <c r="G320">
        <f t="shared" si="114"/>
        <v>1.2834789231419563E-8</v>
      </c>
      <c r="H320">
        <f t="shared" si="92"/>
        <v>0</v>
      </c>
      <c r="I320">
        <f t="shared" si="93"/>
        <v>0</v>
      </c>
      <c r="J320">
        <f t="shared" si="94"/>
        <v>0</v>
      </c>
      <c r="K320">
        <f t="shared" si="95"/>
        <v>0</v>
      </c>
      <c r="L320">
        <f t="shared" si="96"/>
        <v>0</v>
      </c>
      <c r="M320">
        <f t="shared" si="97"/>
        <v>1.2834789231419563E-8</v>
      </c>
      <c r="N320">
        <f>K320*Inputs!B6/12</f>
        <v>0</v>
      </c>
      <c r="O320">
        <f t="shared" si="98"/>
        <v>0</v>
      </c>
      <c r="P320">
        <f t="shared" si="99"/>
        <v>0</v>
      </c>
      <c r="Q320">
        <f>L320*Inputs!B6/12</f>
        <v>0</v>
      </c>
      <c r="R320">
        <f t="shared" si="100"/>
        <v>0</v>
      </c>
      <c r="S320">
        <f t="shared" si="101"/>
        <v>0</v>
      </c>
      <c r="T320">
        <f t="shared" si="102"/>
        <v>0</v>
      </c>
      <c r="U320">
        <f t="shared" si="103"/>
        <v>0</v>
      </c>
      <c r="V320">
        <f t="shared" si="104"/>
        <v>0</v>
      </c>
      <c r="W320">
        <f t="shared" si="105"/>
        <v>0</v>
      </c>
      <c r="X320">
        <f t="shared" si="106"/>
        <v>0</v>
      </c>
      <c r="Y320">
        <f t="shared" si="107"/>
        <v>0</v>
      </c>
      <c r="Z320">
        <f t="shared" si="108"/>
        <v>1.2834789231419563E-8</v>
      </c>
      <c r="AA320">
        <f t="shared" si="109"/>
        <v>0</v>
      </c>
      <c r="AB320">
        <f t="shared" si="110"/>
        <v>0</v>
      </c>
      <c r="AC320">
        <f t="shared" si="111"/>
        <v>0</v>
      </c>
    </row>
    <row r="321" spans="1:29" x14ac:dyDescent="0.2">
      <c r="A321">
        <v>320</v>
      </c>
      <c r="B321">
        <f>LoanPool!L321</f>
        <v>0</v>
      </c>
      <c r="C321">
        <f>LoanPool!M321</f>
        <v>0</v>
      </c>
      <c r="D321">
        <f>LoanPool!H321</f>
        <v>0</v>
      </c>
      <c r="E321">
        <f t="shared" si="112"/>
        <v>0</v>
      </c>
      <c r="F321">
        <f t="shared" si="113"/>
        <v>0</v>
      </c>
      <c r="G321">
        <f t="shared" si="114"/>
        <v>1.2834789231419563E-8</v>
      </c>
      <c r="H321">
        <f t="shared" si="92"/>
        <v>0</v>
      </c>
      <c r="I321">
        <f t="shared" si="93"/>
        <v>0</v>
      </c>
      <c r="J321">
        <f t="shared" si="94"/>
        <v>0</v>
      </c>
      <c r="K321">
        <f t="shared" si="95"/>
        <v>0</v>
      </c>
      <c r="L321">
        <f t="shared" si="96"/>
        <v>0</v>
      </c>
      <c r="M321">
        <f t="shared" si="97"/>
        <v>1.2834789231419563E-8</v>
      </c>
      <c r="N321">
        <f>K321*Inputs!B6/12</f>
        <v>0</v>
      </c>
      <c r="O321">
        <f t="shared" si="98"/>
        <v>0</v>
      </c>
      <c r="P321">
        <f t="shared" si="99"/>
        <v>0</v>
      </c>
      <c r="Q321">
        <f>L321*Inputs!B6/12</f>
        <v>0</v>
      </c>
      <c r="R321">
        <f t="shared" si="100"/>
        <v>0</v>
      </c>
      <c r="S321">
        <f t="shared" si="101"/>
        <v>0</v>
      </c>
      <c r="T321">
        <f t="shared" si="102"/>
        <v>0</v>
      </c>
      <c r="U321">
        <f t="shared" si="103"/>
        <v>0</v>
      </c>
      <c r="V321">
        <f t="shared" si="104"/>
        <v>0</v>
      </c>
      <c r="W321">
        <f t="shared" si="105"/>
        <v>0</v>
      </c>
      <c r="X321">
        <f t="shared" si="106"/>
        <v>0</v>
      </c>
      <c r="Y321">
        <f t="shared" si="107"/>
        <v>0</v>
      </c>
      <c r="Z321">
        <f t="shared" si="108"/>
        <v>1.2834789231419563E-8</v>
      </c>
      <c r="AA321">
        <f t="shared" si="109"/>
        <v>0</v>
      </c>
      <c r="AB321">
        <f t="shared" si="110"/>
        <v>0</v>
      </c>
      <c r="AC321">
        <f t="shared" si="111"/>
        <v>0</v>
      </c>
    </row>
    <row r="322" spans="1:29" x14ac:dyDescent="0.2">
      <c r="A322">
        <v>321</v>
      </c>
      <c r="B322">
        <f>LoanPool!L322</f>
        <v>0</v>
      </c>
      <c r="C322">
        <f>LoanPool!M322</f>
        <v>0</v>
      </c>
      <c r="D322">
        <f>LoanPool!H322</f>
        <v>0</v>
      </c>
      <c r="E322">
        <f t="shared" si="112"/>
        <v>0</v>
      </c>
      <c r="F322">
        <f t="shared" si="113"/>
        <v>0</v>
      </c>
      <c r="G322">
        <f t="shared" si="114"/>
        <v>1.2834789231419563E-8</v>
      </c>
      <c r="H322">
        <f t="shared" ref="H322:H385" si="115">MIN(D322,G322)</f>
        <v>0</v>
      </c>
      <c r="I322">
        <f t="shared" ref="I322:I385" si="116">MIN(MAX(D322-H322,0),F322)</f>
        <v>0</v>
      </c>
      <c r="J322">
        <f t="shared" ref="J322:J385" si="117">MIN(MAX(D322-H322-I322,0),E322)</f>
        <v>0</v>
      </c>
      <c r="K322">
        <f t="shared" ref="K322:K385" si="118">MAX(E322-J322,0)</f>
        <v>0</v>
      </c>
      <c r="L322">
        <f t="shared" ref="L322:L361" si="119">MAX(F322-I322,0)</f>
        <v>0</v>
      </c>
      <c r="M322">
        <f t="shared" ref="M322:M361" si="120">MAX(G322-H322,0)</f>
        <v>1.2834789231419563E-8</v>
      </c>
      <c r="N322">
        <f>K322*Inputs!B6/12</f>
        <v>0</v>
      </c>
      <c r="O322">
        <f t="shared" ref="O322:O385" si="121">MIN(B322,N322)</f>
        <v>0</v>
      </c>
      <c r="P322">
        <f t="shared" ref="P322:P385" si="122">N322-O322</f>
        <v>0</v>
      </c>
      <c r="Q322">
        <f>L322*Inputs!B6/12</f>
        <v>0</v>
      </c>
      <c r="R322">
        <f t="shared" ref="R322:R385" si="123">MIN(MAX(B322-O322,0),Q322)</f>
        <v>0</v>
      </c>
      <c r="S322">
        <f t="shared" ref="S322:S385" si="124">Q322-R322</f>
        <v>0</v>
      </c>
      <c r="T322">
        <f t="shared" ref="T322:T361" si="125">MAX(B322-O322-R322,0)</f>
        <v>0</v>
      </c>
      <c r="U322">
        <f t="shared" ref="U322:U361" si="126">MIN(C322,K322)</f>
        <v>0</v>
      </c>
      <c r="V322">
        <f t="shared" ref="V322:V385" si="127">MIN(MAX(C322-U322,0),L322)</f>
        <v>0</v>
      </c>
      <c r="W322">
        <f t="shared" ref="W322:W385" si="128">MIN(MAX(C322-U322-V322,0),M322)</f>
        <v>0</v>
      </c>
      <c r="X322">
        <f t="shared" ref="X322:X361" si="129">MAX(K322-U322,0)</f>
        <v>0</v>
      </c>
      <c r="Y322">
        <f t="shared" ref="Y322:Y361" si="130">MAX(L322-V322,0)</f>
        <v>0</v>
      </c>
      <c r="Z322">
        <f t="shared" ref="Z322:Z361" si="131">MAX(M322-W322,0)</f>
        <v>1.2834789231419563E-8</v>
      </c>
      <c r="AA322">
        <f t="shared" ref="AA322:AA361" si="132">C322-(U322+V322+W322)</f>
        <v>0</v>
      </c>
      <c r="AB322">
        <f t="shared" ref="AB322:AB361" si="133">B322-(O322+R322+T322)</f>
        <v>0</v>
      </c>
      <c r="AC322">
        <f t="shared" ref="AC322:AC361" si="134">D322-(H322+I322+J322)</f>
        <v>0</v>
      </c>
    </row>
    <row r="323" spans="1:29" x14ac:dyDescent="0.2">
      <c r="A323">
        <v>322</v>
      </c>
      <c r="B323">
        <f>LoanPool!L323</f>
        <v>0</v>
      </c>
      <c r="C323">
        <f>LoanPool!M323</f>
        <v>0</v>
      </c>
      <c r="D323">
        <f>LoanPool!H323</f>
        <v>0</v>
      </c>
      <c r="E323">
        <f t="shared" ref="E323:E361" si="135">X322</f>
        <v>0</v>
      </c>
      <c r="F323">
        <f t="shared" ref="F323:F361" si="136">Y322</f>
        <v>0</v>
      </c>
      <c r="G323">
        <f t="shared" ref="G323:G361" si="137">Z322</f>
        <v>1.2834789231419563E-8</v>
      </c>
      <c r="H323">
        <f t="shared" si="115"/>
        <v>0</v>
      </c>
      <c r="I323">
        <f t="shared" si="116"/>
        <v>0</v>
      </c>
      <c r="J323">
        <f t="shared" si="117"/>
        <v>0</v>
      </c>
      <c r="K323">
        <f t="shared" si="118"/>
        <v>0</v>
      </c>
      <c r="L323">
        <f t="shared" si="119"/>
        <v>0</v>
      </c>
      <c r="M323">
        <f t="shared" si="120"/>
        <v>1.2834789231419563E-8</v>
      </c>
      <c r="N323">
        <f>K323*Inputs!B6/12</f>
        <v>0</v>
      </c>
      <c r="O323">
        <f t="shared" si="121"/>
        <v>0</v>
      </c>
      <c r="P323">
        <f t="shared" si="122"/>
        <v>0</v>
      </c>
      <c r="Q323">
        <f>L323*Inputs!B6/12</f>
        <v>0</v>
      </c>
      <c r="R323">
        <f t="shared" si="123"/>
        <v>0</v>
      </c>
      <c r="S323">
        <f t="shared" si="124"/>
        <v>0</v>
      </c>
      <c r="T323">
        <f t="shared" si="125"/>
        <v>0</v>
      </c>
      <c r="U323">
        <f t="shared" si="126"/>
        <v>0</v>
      </c>
      <c r="V323">
        <f t="shared" si="127"/>
        <v>0</v>
      </c>
      <c r="W323">
        <f t="shared" si="128"/>
        <v>0</v>
      </c>
      <c r="X323">
        <f t="shared" si="129"/>
        <v>0</v>
      </c>
      <c r="Y323">
        <f t="shared" si="130"/>
        <v>0</v>
      </c>
      <c r="Z323">
        <f t="shared" si="131"/>
        <v>1.2834789231419563E-8</v>
      </c>
      <c r="AA323">
        <f t="shared" si="132"/>
        <v>0</v>
      </c>
      <c r="AB323">
        <f t="shared" si="133"/>
        <v>0</v>
      </c>
      <c r="AC323">
        <f t="shared" si="134"/>
        <v>0</v>
      </c>
    </row>
    <row r="324" spans="1:29" x14ac:dyDescent="0.2">
      <c r="A324">
        <v>323</v>
      </c>
      <c r="B324">
        <f>LoanPool!L324</f>
        <v>0</v>
      </c>
      <c r="C324">
        <f>LoanPool!M324</f>
        <v>0</v>
      </c>
      <c r="D324">
        <f>LoanPool!H324</f>
        <v>0</v>
      </c>
      <c r="E324">
        <f t="shared" si="135"/>
        <v>0</v>
      </c>
      <c r="F324">
        <f t="shared" si="136"/>
        <v>0</v>
      </c>
      <c r="G324">
        <f t="shared" si="137"/>
        <v>1.2834789231419563E-8</v>
      </c>
      <c r="H324">
        <f t="shared" si="115"/>
        <v>0</v>
      </c>
      <c r="I324">
        <f t="shared" si="116"/>
        <v>0</v>
      </c>
      <c r="J324">
        <f t="shared" si="117"/>
        <v>0</v>
      </c>
      <c r="K324">
        <f t="shared" si="118"/>
        <v>0</v>
      </c>
      <c r="L324">
        <f t="shared" si="119"/>
        <v>0</v>
      </c>
      <c r="M324">
        <f t="shared" si="120"/>
        <v>1.2834789231419563E-8</v>
      </c>
      <c r="N324">
        <f>K324*Inputs!B6/12</f>
        <v>0</v>
      </c>
      <c r="O324">
        <f t="shared" si="121"/>
        <v>0</v>
      </c>
      <c r="P324">
        <f t="shared" si="122"/>
        <v>0</v>
      </c>
      <c r="Q324">
        <f>L324*Inputs!B6/12</f>
        <v>0</v>
      </c>
      <c r="R324">
        <f t="shared" si="123"/>
        <v>0</v>
      </c>
      <c r="S324">
        <f t="shared" si="124"/>
        <v>0</v>
      </c>
      <c r="T324">
        <f t="shared" si="125"/>
        <v>0</v>
      </c>
      <c r="U324">
        <f t="shared" si="126"/>
        <v>0</v>
      </c>
      <c r="V324">
        <f t="shared" si="127"/>
        <v>0</v>
      </c>
      <c r="W324">
        <f t="shared" si="128"/>
        <v>0</v>
      </c>
      <c r="X324">
        <f t="shared" si="129"/>
        <v>0</v>
      </c>
      <c r="Y324">
        <f t="shared" si="130"/>
        <v>0</v>
      </c>
      <c r="Z324">
        <f t="shared" si="131"/>
        <v>1.2834789231419563E-8</v>
      </c>
      <c r="AA324">
        <f t="shared" si="132"/>
        <v>0</v>
      </c>
      <c r="AB324">
        <f t="shared" si="133"/>
        <v>0</v>
      </c>
      <c r="AC324">
        <f t="shared" si="134"/>
        <v>0</v>
      </c>
    </row>
    <row r="325" spans="1:29" x14ac:dyDescent="0.2">
      <c r="A325">
        <v>324</v>
      </c>
      <c r="B325">
        <f>LoanPool!L325</f>
        <v>0</v>
      </c>
      <c r="C325">
        <f>LoanPool!M325</f>
        <v>0</v>
      </c>
      <c r="D325">
        <f>LoanPool!H325</f>
        <v>0</v>
      </c>
      <c r="E325">
        <f t="shared" si="135"/>
        <v>0</v>
      </c>
      <c r="F325">
        <f t="shared" si="136"/>
        <v>0</v>
      </c>
      <c r="G325">
        <f t="shared" si="137"/>
        <v>1.2834789231419563E-8</v>
      </c>
      <c r="H325">
        <f t="shared" si="115"/>
        <v>0</v>
      </c>
      <c r="I325">
        <f t="shared" si="116"/>
        <v>0</v>
      </c>
      <c r="J325">
        <f t="shared" si="117"/>
        <v>0</v>
      </c>
      <c r="K325">
        <f t="shared" si="118"/>
        <v>0</v>
      </c>
      <c r="L325">
        <f t="shared" si="119"/>
        <v>0</v>
      </c>
      <c r="M325">
        <f t="shared" si="120"/>
        <v>1.2834789231419563E-8</v>
      </c>
      <c r="N325">
        <f>K325*Inputs!B6/12</f>
        <v>0</v>
      </c>
      <c r="O325">
        <f t="shared" si="121"/>
        <v>0</v>
      </c>
      <c r="P325">
        <f t="shared" si="122"/>
        <v>0</v>
      </c>
      <c r="Q325">
        <f>L325*Inputs!B6/12</f>
        <v>0</v>
      </c>
      <c r="R325">
        <f t="shared" si="123"/>
        <v>0</v>
      </c>
      <c r="S325">
        <f t="shared" si="124"/>
        <v>0</v>
      </c>
      <c r="T325">
        <f t="shared" si="125"/>
        <v>0</v>
      </c>
      <c r="U325">
        <f t="shared" si="126"/>
        <v>0</v>
      </c>
      <c r="V325">
        <f t="shared" si="127"/>
        <v>0</v>
      </c>
      <c r="W325">
        <f t="shared" si="128"/>
        <v>0</v>
      </c>
      <c r="X325">
        <f t="shared" si="129"/>
        <v>0</v>
      </c>
      <c r="Y325">
        <f t="shared" si="130"/>
        <v>0</v>
      </c>
      <c r="Z325">
        <f t="shared" si="131"/>
        <v>1.2834789231419563E-8</v>
      </c>
      <c r="AA325">
        <f t="shared" si="132"/>
        <v>0</v>
      </c>
      <c r="AB325">
        <f t="shared" si="133"/>
        <v>0</v>
      </c>
      <c r="AC325">
        <f t="shared" si="134"/>
        <v>0</v>
      </c>
    </row>
    <row r="326" spans="1:29" x14ac:dyDescent="0.2">
      <c r="A326">
        <v>325</v>
      </c>
      <c r="B326">
        <f>LoanPool!L326</f>
        <v>0</v>
      </c>
      <c r="C326">
        <f>LoanPool!M326</f>
        <v>0</v>
      </c>
      <c r="D326">
        <f>LoanPool!H326</f>
        <v>0</v>
      </c>
      <c r="E326">
        <f t="shared" si="135"/>
        <v>0</v>
      </c>
      <c r="F326">
        <f t="shared" si="136"/>
        <v>0</v>
      </c>
      <c r="G326">
        <f t="shared" si="137"/>
        <v>1.2834789231419563E-8</v>
      </c>
      <c r="H326">
        <f t="shared" si="115"/>
        <v>0</v>
      </c>
      <c r="I326">
        <f t="shared" si="116"/>
        <v>0</v>
      </c>
      <c r="J326">
        <f t="shared" si="117"/>
        <v>0</v>
      </c>
      <c r="K326">
        <f t="shared" si="118"/>
        <v>0</v>
      </c>
      <c r="L326">
        <f t="shared" si="119"/>
        <v>0</v>
      </c>
      <c r="M326">
        <f t="shared" si="120"/>
        <v>1.2834789231419563E-8</v>
      </c>
      <c r="N326">
        <f>K326*Inputs!B6/12</f>
        <v>0</v>
      </c>
      <c r="O326">
        <f t="shared" si="121"/>
        <v>0</v>
      </c>
      <c r="P326">
        <f t="shared" si="122"/>
        <v>0</v>
      </c>
      <c r="Q326">
        <f>L326*Inputs!B6/12</f>
        <v>0</v>
      </c>
      <c r="R326">
        <f t="shared" si="123"/>
        <v>0</v>
      </c>
      <c r="S326">
        <f t="shared" si="124"/>
        <v>0</v>
      </c>
      <c r="T326">
        <f t="shared" si="125"/>
        <v>0</v>
      </c>
      <c r="U326">
        <f t="shared" si="126"/>
        <v>0</v>
      </c>
      <c r="V326">
        <f t="shared" si="127"/>
        <v>0</v>
      </c>
      <c r="W326">
        <f t="shared" si="128"/>
        <v>0</v>
      </c>
      <c r="X326">
        <f t="shared" si="129"/>
        <v>0</v>
      </c>
      <c r="Y326">
        <f t="shared" si="130"/>
        <v>0</v>
      </c>
      <c r="Z326">
        <f t="shared" si="131"/>
        <v>1.2834789231419563E-8</v>
      </c>
      <c r="AA326">
        <f t="shared" si="132"/>
        <v>0</v>
      </c>
      <c r="AB326">
        <f t="shared" si="133"/>
        <v>0</v>
      </c>
      <c r="AC326">
        <f t="shared" si="134"/>
        <v>0</v>
      </c>
    </row>
    <row r="327" spans="1:29" x14ac:dyDescent="0.2">
      <c r="A327">
        <v>326</v>
      </c>
      <c r="B327">
        <f>LoanPool!L327</f>
        <v>0</v>
      </c>
      <c r="C327">
        <f>LoanPool!M327</f>
        <v>0</v>
      </c>
      <c r="D327">
        <f>LoanPool!H327</f>
        <v>0</v>
      </c>
      <c r="E327">
        <f t="shared" si="135"/>
        <v>0</v>
      </c>
      <c r="F327">
        <f t="shared" si="136"/>
        <v>0</v>
      </c>
      <c r="G327">
        <f t="shared" si="137"/>
        <v>1.2834789231419563E-8</v>
      </c>
      <c r="H327">
        <f t="shared" si="115"/>
        <v>0</v>
      </c>
      <c r="I327">
        <f t="shared" si="116"/>
        <v>0</v>
      </c>
      <c r="J327">
        <f t="shared" si="117"/>
        <v>0</v>
      </c>
      <c r="K327">
        <f t="shared" si="118"/>
        <v>0</v>
      </c>
      <c r="L327">
        <f t="shared" si="119"/>
        <v>0</v>
      </c>
      <c r="M327">
        <f t="shared" si="120"/>
        <v>1.2834789231419563E-8</v>
      </c>
      <c r="N327">
        <f>K327*Inputs!B6/12</f>
        <v>0</v>
      </c>
      <c r="O327">
        <f t="shared" si="121"/>
        <v>0</v>
      </c>
      <c r="P327">
        <f t="shared" si="122"/>
        <v>0</v>
      </c>
      <c r="Q327">
        <f>L327*Inputs!B6/12</f>
        <v>0</v>
      </c>
      <c r="R327">
        <f t="shared" si="123"/>
        <v>0</v>
      </c>
      <c r="S327">
        <f t="shared" si="124"/>
        <v>0</v>
      </c>
      <c r="T327">
        <f t="shared" si="125"/>
        <v>0</v>
      </c>
      <c r="U327">
        <f t="shared" si="126"/>
        <v>0</v>
      </c>
      <c r="V327">
        <f t="shared" si="127"/>
        <v>0</v>
      </c>
      <c r="W327">
        <f t="shared" si="128"/>
        <v>0</v>
      </c>
      <c r="X327">
        <f t="shared" si="129"/>
        <v>0</v>
      </c>
      <c r="Y327">
        <f t="shared" si="130"/>
        <v>0</v>
      </c>
      <c r="Z327">
        <f t="shared" si="131"/>
        <v>1.2834789231419563E-8</v>
      </c>
      <c r="AA327">
        <f t="shared" si="132"/>
        <v>0</v>
      </c>
      <c r="AB327">
        <f t="shared" si="133"/>
        <v>0</v>
      </c>
      <c r="AC327">
        <f t="shared" si="134"/>
        <v>0</v>
      </c>
    </row>
    <row r="328" spans="1:29" x14ac:dyDescent="0.2">
      <c r="A328">
        <v>327</v>
      </c>
      <c r="B328">
        <f>LoanPool!L328</f>
        <v>0</v>
      </c>
      <c r="C328">
        <f>LoanPool!M328</f>
        <v>0</v>
      </c>
      <c r="D328">
        <f>LoanPool!H328</f>
        <v>0</v>
      </c>
      <c r="E328">
        <f t="shared" si="135"/>
        <v>0</v>
      </c>
      <c r="F328">
        <f t="shared" si="136"/>
        <v>0</v>
      </c>
      <c r="G328">
        <f t="shared" si="137"/>
        <v>1.2834789231419563E-8</v>
      </c>
      <c r="H328">
        <f t="shared" si="115"/>
        <v>0</v>
      </c>
      <c r="I328">
        <f t="shared" si="116"/>
        <v>0</v>
      </c>
      <c r="J328">
        <f t="shared" si="117"/>
        <v>0</v>
      </c>
      <c r="K328">
        <f t="shared" si="118"/>
        <v>0</v>
      </c>
      <c r="L328">
        <f t="shared" si="119"/>
        <v>0</v>
      </c>
      <c r="M328">
        <f t="shared" si="120"/>
        <v>1.2834789231419563E-8</v>
      </c>
      <c r="N328">
        <f>K328*Inputs!B6/12</f>
        <v>0</v>
      </c>
      <c r="O328">
        <f t="shared" si="121"/>
        <v>0</v>
      </c>
      <c r="P328">
        <f t="shared" si="122"/>
        <v>0</v>
      </c>
      <c r="Q328">
        <f>L328*Inputs!B6/12</f>
        <v>0</v>
      </c>
      <c r="R328">
        <f t="shared" si="123"/>
        <v>0</v>
      </c>
      <c r="S328">
        <f t="shared" si="124"/>
        <v>0</v>
      </c>
      <c r="T328">
        <f t="shared" si="125"/>
        <v>0</v>
      </c>
      <c r="U328">
        <f t="shared" si="126"/>
        <v>0</v>
      </c>
      <c r="V328">
        <f t="shared" si="127"/>
        <v>0</v>
      </c>
      <c r="W328">
        <f t="shared" si="128"/>
        <v>0</v>
      </c>
      <c r="X328">
        <f t="shared" si="129"/>
        <v>0</v>
      </c>
      <c r="Y328">
        <f t="shared" si="130"/>
        <v>0</v>
      </c>
      <c r="Z328">
        <f t="shared" si="131"/>
        <v>1.2834789231419563E-8</v>
      </c>
      <c r="AA328">
        <f t="shared" si="132"/>
        <v>0</v>
      </c>
      <c r="AB328">
        <f t="shared" si="133"/>
        <v>0</v>
      </c>
      <c r="AC328">
        <f t="shared" si="134"/>
        <v>0</v>
      </c>
    </row>
    <row r="329" spans="1:29" x14ac:dyDescent="0.2">
      <c r="A329">
        <v>328</v>
      </c>
      <c r="B329">
        <f>LoanPool!L329</f>
        <v>0</v>
      </c>
      <c r="C329">
        <f>LoanPool!M329</f>
        <v>0</v>
      </c>
      <c r="D329">
        <f>LoanPool!H329</f>
        <v>0</v>
      </c>
      <c r="E329">
        <f t="shared" si="135"/>
        <v>0</v>
      </c>
      <c r="F329">
        <f t="shared" si="136"/>
        <v>0</v>
      </c>
      <c r="G329">
        <f t="shared" si="137"/>
        <v>1.2834789231419563E-8</v>
      </c>
      <c r="H329">
        <f t="shared" si="115"/>
        <v>0</v>
      </c>
      <c r="I329">
        <f t="shared" si="116"/>
        <v>0</v>
      </c>
      <c r="J329">
        <f t="shared" si="117"/>
        <v>0</v>
      </c>
      <c r="K329">
        <f t="shared" si="118"/>
        <v>0</v>
      </c>
      <c r="L329">
        <f t="shared" si="119"/>
        <v>0</v>
      </c>
      <c r="M329">
        <f t="shared" si="120"/>
        <v>1.2834789231419563E-8</v>
      </c>
      <c r="N329">
        <f>K329*Inputs!B6/12</f>
        <v>0</v>
      </c>
      <c r="O329">
        <f t="shared" si="121"/>
        <v>0</v>
      </c>
      <c r="P329">
        <f t="shared" si="122"/>
        <v>0</v>
      </c>
      <c r="Q329">
        <f>L329*Inputs!B6/12</f>
        <v>0</v>
      </c>
      <c r="R329">
        <f t="shared" si="123"/>
        <v>0</v>
      </c>
      <c r="S329">
        <f t="shared" si="124"/>
        <v>0</v>
      </c>
      <c r="T329">
        <f t="shared" si="125"/>
        <v>0</v>
      </c>
      <c r="U329">
        <f t="shared" si="126"/>
        <v>0</v>
      </c>
      <c r="V329">
        <f t="shared" si="127"/>
        <v>0</v>
      </c>
      <c r="W329">
        <f t="shared" si="128"/>
        <v>0</v>
      </c>
      <c r="X329">
        <f t="shared" si="129"/>
        <v>0</v>
      </c>
      <c r="Y329">
        <f t="shared" si="130"/>
        <v>0</v>
      </c>
      <c r="Z329">
        <f t="shared" si="131"/>
        <v>1.2834789231419563E-8</v>
      </c>
      <c r="AA329">
        <f t="shared" si="132"/>
        <v>0</v>
      </c>
      <c r="AB329">
        <f t="shared" si="133"/>
        <v>0</v>
      </c>
      <c r="AC329">
        <f t="shared" si="134"/>
        <v>0</v>
      </c>
    </row>
    <row r="330" spans="1:29" x14ac:dyDescent="0.2">
      <c r="A330">
        <v>329</v>
      </c>
      <c r="B330">
        <f>LoanPool!L330</f>
        <v>0</v>
      </c>
      <c r="C330">
        <f>LoanPool!M330</f>
        <v>0</v>
      </c>
      <c r="D330">
        <f>LoanPool!H330</f>
        <v>0</v>
      </c>
      <c r="E330">
        <f t="shared" si="135"/>
        <v>0</v>
      </c>
      <c r="F330">
        <f t="shared" si="136"/>
        <v>0</v>
      </c>
      <c r="G330">
        <f t="shared" si="137"/>
        <v>1.2834789231419563E-8</v>
      </c>
      <c r="H330">
        <f t="shared" si="115"/>
        <v>0</v>
      </c>
      <c r="I330">
        <f t="shared" si="116"/>
        <v>0</v>
      </c>
      <c r="J330">
        <f t="shared" si="117"/>
        <v>0</v>
      </c>
      <c r="K330">
        <f t="shared" si="118"/>
        <v>0</v>
      </c>
      <c r="L330">
        <f t="shared" si="119"/>
        <v>0</v>
      </c>
      <c r="M330">
        <f t="shared" si="120"/>
        <v>1.2834789231419563E-8</v>
      </c>
      <c r="N330">
        <f>K330*Inputs!B6/12</f>
        <v>0</v>
      </c>
      <c r="O330">
        <f t="shared" si="121"/>
        <v>0</v>
      </c>
      <c r="P330">
        <f t="shared" si="122"/>
        <v>0</v>
      </c>
      <c r="Q330">
        <f>L330*Inputs!B6/12</f>
        <v>0</v>
      </c>
      <c r="R330">
        <f t="shared" si="123"/>
        <v>0</v>
      </c>
      <c r="S330">
        <f t="shared" si="124"/>
        <v>0</v>
      </c>
      <c r="T330">
        <f t="shared" si="125"/>
        <v>0</v>
      </c>
      <c r="U330">
        <f t="shared" si="126"/>
        <v>0</v>
      </c>
      <c r="V330">
        <f t="shared" si="127"/>
        <v>0</v>
      </c>
      <c r="W330">
        <f t="shared" si="128"/>
        <v>0</v>
      </c>
      <c r="X330">
        <f t="shared" si="129"/>
        <v>0</v>
      </c>
      <c r="Y330">
        <f t="shared" si="130"/>
        <v>0</v>
      </c>
      <c r="Z330">
        <f t="shared" si="131"/>
        <v>1.2834789231419563E-8</v>
      </c>
      <c r="AA330">
        <f t="shared" si="132"/>
        <v>0</v>
      </c>
      <c r="AB330">
        <f t="shared" si="133"/>
        <v>0</v>
      </c>
      <c r="AC330">
        <f t="shared" si="134"/>
        <v>0</v>
      </c>
    </row>
    <row r="331" spans="1:29" x14ac:dyDescent="0.2">
      <c r="A331">
        <v>330</v>
      </c>
      <c r="B331">
        <f>LoanPool!L331</f>
        <v>0</v>
      </c>
      <c r="C331">
        <f>LoanPool!M331</f>
        <v>0</v>
      </c>
      <c r="D331">
        <f>LoanPool!H331</f>
        <v>0</v>
      </c>
      <c r="E331">
        <f t="shared" si="135"/>
        <v>0</v>
      </c>
      <c r="F331">
        <f t="shared" si="136"/>
        <v>0</v>
      </c>
      <c r="G331">
        <f t="shared" si="137"/>
        <v>1.2834789231419563E-8</v>
      </c>
      <c r="H331">
        <f t="shared" si="115"/>
        <v>0</v>
      </c>
      <c r="I331">
        <f t="shared" si="116"/>
        <v>0</v>
      </c>
      <c r="J331">
        <f t="shared" si="117"/>
        <v>0</v>
      </c>
      <c r="K331">
        <f t="shared" si="118"/>
        <v>0</v>
      </c>
      <c r="L331">
        <f t="shared" si="119"/>
        <v>0</v>
      </c>
      <c r="M331">
        <f t="shared" si="120"/>
        <v>1.2834789231419563E-8</v>
      </c>
      <c r="N331">
        <f>K331*Inputs!B6/12</f>
        <v>0</v>
      </c>
      <c r="O331">
        <f t="shared" si="121"/>
        <v>0</v>
      </c>
      <c r="P331">
        <f t="shared" si="122"/>
        <v>0</v>
      </c>
      <c r="Q331">
        <f>L331*Inputs!B6/12</f>
        <v>0</v>
      </c>
      <c r="R331">
        <f t="shared" si="123"/>
        <v>0</v>
      </c>
      <c r="S331">
        <f t="shared" si="124"/>
        <v>0</v>
      </c>
      <c r="T331">
        <f t="shared" si="125"/>
        <v>0</v>
      </c>
      <c r="U331">
        <f t="shared" si="126"/>
        <v>0</v>
      </c>
      <c r="V331">
        <f t="shared" si="127"/>
        <v>0</v>
      </c>
      <c r="W331">
        <f t="shared" si="128"/>
        <v>0</v>
      </c>
      <c r="X331">
        <f t="shared" si="129"/>
        <v>0</v>
      </c>
      <c r="Y331">
        <f t="shared" si="130"/>
        <v>0</v>
      </c>
      <c r="Z331">
        <f t="shared" si="131"/>
        <v>1.2834789231419563E-8</v>
      </c>
      <c r="AA331">
        <f t="shared" si="132"/>
        <v>0</v>
      </c>
      <c r="AB331">
        <f t="shared" si="133"/>
        <v>0</v>
      </c>
      <c r="AC331">
        <f t="shared" si="134"/>
        <v>0</v>
      </c>
    </row>
    <row r="332" spans="1:29" x14ac:dyDescent="0.2">
      <c r="A332">
        <v>331</v>
      </c>
      <c r="B332">
        <f>LoanPool!L332</f>
        <v>0</v>
      </c>
      <c r="C332">
        <f>LoanPool!M332</f>
        <v>0</v>
      </c>
      <c r="D332">
        <f>LoanPool!H332</f>
        <v>0</v>
      </c>
      <c r="E332">
        <f t="shared" si="135"/>
        <v>0</v>
      </c>
      <c r="F332">
        <f t="shared" si="136"/>
        <v>0</v>
      </c>
      <c r="G332">
        <f t="shared" si="137"/>
        <v>1.2834789231419563E-8</v>
      </c>
      <c r="H332">
        <f t="shared" si="115"/>
        <v>0</v>
      </c>
      <c r="I332">
        <f t="shared" si="116"/>
        <v>0</v>
      </c>
      <c r="J332">
        <f t="shared" si="117"/>
        <v>0</v>
      </c>
      <c r="K332">
        <f t="shared" si="118"/>
        <v>0</v>
      </c>
      <c r="L332">
        <f t="shared" si="119"/>
        <v>0</v>
      </c>
      <c r="M332">
        <f t="shared" si="120"/>
        <v>1.2834789231419563E-8</v>
      </c>
      <c r="N332">
        <f>K332*Inputs!B6/12</f>
        <v>0</v>
      </c>
      <c r="O332">
        <f t="shared" si="121"/>
        <v>0</v>
      </c>
      <c r="P332">
        <f t="shared" si="122"/>
        <v>0</v>
      </c>
      <c r="Q332">
        <f>L332*Inputs!B6/12</f>
        <v>0</v>
      </c>
      <c r="R332">
        <f t="shared" si="123"/>
        <v>0</v>
      </c>
      <c r="S332">
        <f t="shared" si="124"/>
        <v>0</v>
      </c>
      <c r="T332">
        <f t="shared" si="125"/>
        <v>0</v>
      </c>
      <c r="U332">
        <f t="shared" si="126"/>
        <v>0</v>
      </c>
      <c r="V332">
        <f t="shared" si="127"/>
        <v>0</v>
      </c>
      <c r="W332">
        <f t="shared" si="128"/>
        <v>0</v>
      </c>
      <c r="X332">
        <f t="shared" si="129"/>
        <v>0</v>
      </c>
      <c r="Y332">
        <f t="shared" si="130"/>
        <v>0</v>
      </c>
      <c r="Z332">
        <f t="shared" si="131"/>
        <v>1.2834789231419563E-8</v>
      </c>
      <c r="AA332">
        <f t="shared" si="132"/>
        <v>0</v>
      </c>
      <c r="AB332">
        <f t="shared" si="133"/>
        <v>0</v>
      </c>
      <c r="AC332">
        <f t="shared" si="134"/>
        <v>0</v>
      </c>
    </row>
    <row r="333" spans="1:29" x14ac:dyDescent="0.2">
      <c r="A333">
        <v>332</v>
      </c>
      <c r="B333">
        <f>LoanPool!L333</f>
        <v>0</v>
      </c>
      <c r="C333">
        <f>LoanPool!M333</f>
        <v>0</v>
      </c>
      <c r="D333">
        <f>LoanPool!H333</f>
        <v>0</v>
      </c>
      <c r="E333">
        <f t="shared" si="135"/>
        <v>0</v>
      </c>
      <c r="F333">
        <f t="shared" si="136"/>
        <v>0</v>
      </c>
      <c r="G333">
        <f t="shared" si="137"/>
        <v>1.2834789231419563E-8</v>
      </c>
      <c r="H333">
        <f t="shared" si="115"/>
        <v>0</v>
      </c>
      <c r="I333">
        <f t="shared" si="116"/>
        <v>0</v>
      </c>
      <c r="J333">
        <f t="shared" si="117"/>
        <v>0</v>
      </c>
      <c r="K333">
        <f t="shared" si="118"/>
        <v>0</v>
      </c>
      <c r="L333">
        <f t="shared" si="119"/>
        <v>0</v>
      </c>
      <c r="M333">
        <f t="shared" si="120"/>
        <v>1.2834789231419563E-8</v>
      </c>
      <c r="N333">
        <f>K333*Inputs!B6/12</f>
        <v>0</v>
      </c>
      <c r="O333">
        <f t="shared" si="121"/>
        <v>0</v>
      </c>
      <c r="P333">
        <f t="shared" si="122"/>
        <v>0</v>
      </c>
      <c r="Q333">
        <f>L333*Inputs!B6/12</f>
        <v>0</v>
      </c>
      <c r="R333">
        <f t="shared" si="123"/>
        <v>0</v>
      </c>
      <c r="S333">
        <f t="shared" si="124"/>
        <v>0</v>
      </c>
      <c r="T333">
        <f t="shared" si="125"/>
        <v>0</v>
      </c>
      <c r="U333">
        <f t="shared" si="126"/>
        <v>0</v>
      </c>
      <c r="V333">
        <f t="shared" si="127"/>
        <v>0</v>
      </c>
      <c r="W333">
        <f t="shared" si="128"/>
        <v>0</v>
      </c>
      <c r="X333">
        <f t="shared" si="129"/>
        <v>0</v>
      </c>
      <c r="Y333">
        <f t="shared" si="130"/>
        <v>0</v>
      </c>
      <c r="Z333">
        <f t="shared" si="131"/>
        <v>1.2834789231419563E-8</v>
      </c>
      <c r="AA333">
        <f t="shared" si="132"/>
        <v>0</v>
      </c>
      <c r="AB333">
        <f t="shared" si="133"/>
        <v>0</v>
      </c>
      <c r="AC333">
        <f t="shared" si="134"/>
        <v>0</v>
      </c>
    </row>
    <row r="334" spans="1:29" x14ac:dyDescent="0.2">
      <c r="A334">
        <v>333</v>
      </c>
      <c r="B334">
        <f>LoanPool!L334</f>
        <v>0</v>
      </c>
      <c r="C334">
        <f>LoanPool!M334</f>
        <v>0</v>
      </c>
      <c r="D334">
        <f>LoanPool!H334</f>
        <v>0</v>
      </c>
      <c r="E334">
        <f t="shared" si="135"/>
        <v>0</v>
      </c>
      <c r="F334">
        <f t="shared" si="136"/>
        <v>0</v>
      </c>
      <c r="G334">
        <f t="shared" si="137"/>
        <v>1.2834789231419563E-8</v>
      </c>
      <c r="H334">
        <f t="shared" si="115"/>
        <v>0</v>
      </c>
      <c r="I334">
        <f t="shared" si="116"/>
        <v>0</v>
      </c>
      <c r="J334">
        <f t="shared" si="117"/>
        <v>0</v>
      </c>
      <c r="K334">
        <f t="shared" si="118"/>
        <v>0</v>
      </c>
      <c r="L334">
        <f t="shared" si="119"/>
        <v>0</v>
      </c>
      <c r="M334">
        <f t="shared" si="120"/>
        <v>1.2834789231419563E-8</v>
      </c>
      <c r="N334">
        <f>K334*Inputs!B6/12</f>
        <v>0</v>
      </c>
      <c r="O334">
        <f t="shared" si="121"/>
        <v>0</v>
      </c>
      <c r="P334">
        <f t="shared" si="122"/>
        <v>0</v>
      </c>
      <c r="Q334">
        <f>L334*Inputs!B6/12</f>
        <v>0</v>
      </c>
      <c r="R334">
        <f t="shared" si="123"/>
        <v>0</v>
      </c>
      <c r="S334">
        <f t="shared" si="124"/>
        <v>0</v>
      </c>
      <c r="T334">
        <f t="shared" si="125"/>
        <v>0</v>
      </c>
      <c r="U334">
        <f t="shared" si="126"/>
        <v>0</v>
      </c>
      <c r="V334">
        <f t="shared" si="127"/>
        <v>0</v>
      </c>
      <c r="W334">
        <f t="shared" si="128"/>
        <v>0</v>
      </c>
      <c r="X334">
        <f t="shared" si="129"/>
        <v>0</v>
      </c>
      <c r="Y334">
        <f t="shared" si="130"/>
        <v>0</v>
      </c>
      <c r="Z334">
        <f t="shared" si="131"/>
        <v>1.2834789231419563E-8</v>
      </c>
      <c r="AA334">
        <f t="shared" si="132"/>
        <v>0</v>
      </c>
      <c r="AB334">
        <f t="shared" si="133"/>
        <v>0</v>
      </c>
      <c r="AC334">
        <f t="shared" si="134"/>
        <v>0</v>
      </c>
    </row>
    <row r="335" spans="1:29" x14ac:dyDescent="0.2">
      <c r="A335">
        <v>334</v>
      </c>
      <c r="B335">
        <f>LoanPool!L335</f>
        <v>0</v>
      </c>
      <c r="C335">
        <f>LoanPool!M335</f>
        <v>0</v>
      </c>
      <c r="D335">
        <f>LoanPool!H335</f>
        <v>0</v>
      </c>
      <c r="E335">
        <f t="shared" si="135"/>
        <v>0</v>
      </c>
      <c r="F335">
        <f t="shared" si="136"/>
        <v>0</v>
      </c>
      <c r="G335">
        <f t="shared" si="137"/>
        <v>1.2834789231419563E-8</v>
      </c>
      <c r="H335">
        <f t="shared" si="115"/>
        <v>0</v>
      </c>
      <c r="I335">
        <f t="shared" si="116"/>
        <v>0</v>
      </c>
      <c r="J335">
        <f t="shared" si="117"/>
        <v>0</v>
      </c>
      <c r="K335">
        <f t="shared" si="118"/>
        <v>0</v>
      </c>
      <c r="L335">
        <f t="shared" si="119"/>
        <v>0</v>
      </c>
      <c r="M335">
        <f t="shared" si="120"/>
        <v>1.2834789231419563E-8</v>
      </c>
      <c r="N335">
        <f>K335*Inputs!B6/12</f>
        <v>0</v>
      </c>
      <c r="O335">
        <f t="shared" si="121"/>
        <v>0</v>
      </c>
      <c r="P335">
        <f t="shared" si="122"/>
        <v>0</v>
      </c>
      <c r="Q335">
        <f>L335*Inputs!B6/12</f>
        <v>0</v>
      </c>
      <c r="R335">
        <f t="shared" si="123"/>
        <v>0</v>
      </c>
      <c r="S335">
        <f t="shared" si="124"/>
        <v>0</v>
      </c>
      <c r="T335">
        <f t="shared" si="125"/>
        <v>0</v>
      </c>
      <c r="U335">
        <f t="shared" si="126"/>
        <v>0</v>
      </c>
      <c r="V335">
        <f t="shared" si="127"/>
        <v>0</v>
      </c>
      <c r="W335">
        <f t="shared" si="128"/>
        <v>0</v>
      </c>
      <c r="X335">
        <f t="shared" si="129"/>
        <v>0</v>
      </c>
      <c r="Y335">
        <f t="shared" si="130"/>
        <v>0</v>
      </c>
      <c r="Z335">
        <f t="shared" si="131"/>
        <v>1.2834789231419563E-8</v>
      </c>
      <c r="AA335">
        <f t="shared" si="132"/>
        <v>0</v>
      </c>
      <c r="AB335">
        <f t="shared" si="133"/>
        <v>0</v>
      </c>
      <c r="AC335">
        <f t="shared" si="134"/>
        <v>0</v>
      </c>
    </row>
    <row r="336" spans="1:29" x14ac:dyDescent="0.2">
      <c r="A336">
        <v>335</v>
      </c>
      <c r="B336">
        <f>LoanPool!L336</f>
        <v>0</v>
      </c>
      <c r="C336">
        <f>LoanPool!M336</f>
        <v>0</v>
      </c>
      <c r="D336">
        <f>LoanPool!H336</f>
        <v>0</v>
      </c>
      <c r="E336">
        <f t="shared" si="135"/>
        <v>0</v>
      </c>
      <c r="F336">
        <f t="shared" si="136"/>
        <v>0</v>
      </c>
      <c r="G336">
        <f t="shared" si="137"/>
        <v>1.2834789231419563E-8</v>
      </c>
      <c r="H336">
        <f t="shared" si="115"/>
        <v>0</v>
      </c>
      <c r="I336">
        <f t="shared" si="116"/>
        <v>0</v>
      </c>
      <c r="J336">
        <f t="shared" si="117"/>
        <v>0</v>
      </c>
      <c r="K336">
        <f t="shared" si="118"/>
        <v>0</v>
      </c>
      <c r="L336">
        <f t="shared" si="119"/>
        <v>0</v>
      </c>
      <c r="M336">
        <f t="shared" si="120"/>
        <v>1.2834789231419563E-8</v>
      </c>
      <c r="N336">
        <f>K336*Inputs!B6/12</f>
        <v>0</v>
      </c>
      <c r="O336">
        <f t="shared" si="121"/>
        <v>0</v>
      </c>
      <c r="P336">
        <f t="shared" si="122"/>
        <v>0</v>
      </c>
      <c r="Q336">
        <f>L336*Inputs!B6/12</f>
        <v>0</v>
      </c>
      <c r="R336">
        <f t="shared" si="123"/>
        <v>0</v>
      </c>
      <c r="S336">
        <f t="shared" si="124"/>
        <v>0</v>
      </c>
      <c r="T336">
        <f t="shared" si="125"/>
        <v>0</v>
      </c>
      <c r="U336">
        <f t="shared" si="126"/>
        <v>0</v>
      </c>
      <c r="V336">
        <f t="shared" si="127"/>
        <v>0</v>
      </c>
      <c r="W336">
        <f t="shared" si="128"/>
        <v>0</v>
      </c>
      <c r="X336">
        <f t="shared" si="129"/>
        <v>0</v>
      </c>
      <c r="Y336">
        <f t="shared" si="130"/>
        <v>0</v>
      </c>
      <c r="Z336">
        <f t="shared" si="131"/>
        <v>1.2834789231419563E-8</v>
      </c>
      <c r="AA336">
        <f t="shared" si="132"/>
        <v>0</v>
      </c>
      <c r="AB336">
        <f t="shared" si="133"/>
        <v>0</v>
      </c>
      <c r="AC336">
        <f t="shared" si="134"/>
        <v>0</v>
      </c>
    </row>
    <row r="337" spans="1:29" x14ac:dyDescent="0.2">
      <c r="A337">
        <v>336</v>
      </c>
      <c r="B337">
        <f>LoanPool!L337</f>
        <v>0</v>
      </c>
      <c r="C337">
        <f>LoanPool!M337</f>
        <v>0</v>
      </c>
      <c r="D337">
        <f>LoanPool!H337</f>
        <v>0</v>
      </c>
      <c r="E337">
        <f t="shared" si="135"/>
        <v>0</v>
      </c>
      <c r="F337">
        <f t="shared" si="136"/>
        <v>0</v>
      </c>
      <c r="G337">
        <f t="shared" si="137"/>
        <v>1.2834789231419563E-8</v>
      </c>
      <c r="H337">
        <f t="shared" si="115"/>
        <v>0</v>
      </c>
      <c r="I337">
        <f t="shared" si="116"/>
        <v>0</v>
      </c>
      <c r="J337">
        <f t="shared" si="117"/>
        <v>0</v>
      </c>
      <c r="K337">
        <f t="shared" si="118"/>
        <v>0</v>
      </c>
      <c r="L337">
        <f t="shared" si="119"/>
        <v>0</v>
      </c>
      <c r="M337">
        <f t="shared" si="120"/>
        <v>1.2834789231419563E-8</v>
      </c>
      <c r="N337">
        <f>K337*Inputs!B6/12</f>
        <v>0</v>
      </c>
      <c r="O337">
        <f t="shared" si="121"/>
        <v>0</v>
      </c>
      <c r="P337">
        <f t="shared" si="122"/>
        <v>0</v>
      </c>
      <c r="Q337">
        <f>L337*Inputs!B6/12</f>
        <v>0</v>
      </c>
      <c r="R337">
        <f t="shared" si="123"/>
        <v>0</v>
      </c>
      <c r="S337">
        <f t="shared" si="124"/>
        <v>0</v>
      </c>
      <c r="T337">
        <f t="shared" si="125"/>
        <v>0</v>
      </c>
      <c r="U337">
        <f t="shared" si="126"/>
        <v>0</v>
      </c>
      <c r="V337">
        <f t="shared" si="127"/>
        <v>0</v>
      </c>
      <c r="W337">
        <f t="shared" si="128"/>
        <v>0</v>
      </c>
      <c r="X337">
        <f t="shared" si="129"/>
        <v>0</v>
      </c>
      <c r="Y337">
        <f t="shared" si="130"/>
        <v>0</v>
      </c>
      <c r="Z337">
        <f t="shared" si="131"/>
        <v>1.2834789231419563E-8</v>
      </c>
      <c r="AA337">
        <f t="shared" si="132"/>
        <v>0</v>
      </c>
      <c r="AB337">
        <f t="shared" si="133"/>
        <v>0</v>
      </c>
      <c r="AC337">
        <f t="shared" si="134"/>
        <v>0</v>
      </c>
    </row>
    <row r="338" spans="1:29" x14ac:dyDescent="0.2">
      <c r="A338">
        <v>337</v>
      </c>
      <c r="B338">
        <f>LoanPool!L338</f>
        <v>0</v>
      </c>
      <c r="C338">
        <f>LoanPool!M338</f>
        <v>0</v>
      </c>
      <c r="D338">
        <f>LoanPool!H338</f>
        <v>0</v>
      </c>
      <c r="E338">
        <f t="shared" si="135"/>
        <v>0</v>
      </c>
      <c r="F338">
        <f t="shared" si="136"/>
        <v>0</v>
      </c>
      <c r="G338">
        <f t="shared" si="137"/>
        <v>1.2834789231419563E-8</v>
      </c>
      <c r="H338">
        <f t="shared" si="115"/>
        <v>0</v>
      </c>
      <c r="I338">
        <f t="shared" si="116"/>
        <v>0</v>
      </c>
      <c r="J338">
        <f t="shared" si="117"/>
        <v>0</v>
      </c>
      <c r="K338">
        <f t="shared" si="118"/>
        <v>0</v>
      </c>
      <c r="L338">
        <f t="shared" si="119"/>
        <v>0</v>
      </c>
      <c r="M338">
        <f t="shared" si="120"/>
        <v>1.2834789231419563E-8</v>
      </c>
      <c r="N338">
        <f>K338*Inputs!B6/12</f>
        <v>0</v>
      </c>
      <c r="O338">
        <f t="shared" si="121"/>
        <v>0</v>
      </c>
      <c r="P338">
        <f t="shared" si="122"/>
        <v>0</v>
      </c>
      <c r="Q338">
        <f>L338*Inputs!B6/12</f>
        <v>0</v>
      </c>
      <c r="R338">
        <f t="shared" si="123"/>
        <v>0</v>
      </c>
      <c r="S338">
        <f t="shared" si="124"/>
        <v>0</v>
      </c>
      <c r="T338">
        <f t="shared" si="125"/>
        <v>0</v>
      </c>
      <c r="U338">
        <f t="shared" si="126"/>
        <v>0</v>
      </c>
      <c r="V338">
        <f t="shared" si="127"/>
        <v>0</v>
      </c>
      <c r="W338">
        <f t="shared" si="128"/>
        <v>0</v>
      </c>
      <c r="X338">
        <f t="shared" si="129"/>
        <v>0</v>
      </c>
      <c r="Y338">
        <f t="shared" si="130"/>
        <v>0</v>
      </c>
      <c r="Z338">
        <f t="shared" si="131"/>
        <v>1.2834789231419563E-8</v>
      </c>
      <c r="AA338">
        <f t="shared" si="132"/>
        <v>0</v>
      </c>
      <c r="AB338">
        <f t="shared" si="133"/>
        <v>0</v>
      </c>
      <c r="AC338">
        <f t="shared" si="134"/>
        <v>0</v>
      </c>
    </row>
    <row r="339" spans="1:29" x14ac:dyDescent="0.2">
      <c r="A339">
        <v>338</v>
      </c>
      <c r="B339">
        <f>LoanPool!L339</f>
        <v>0</v>
      </c>
      <c r="C339">
        <f>LoanPool!M339</f>
        <v>0</v>
      </c>
      <c r="D339">
        <f>LoanPool!H339</f>
        <v>0</v>
      </c>
      <c r="E339">
        <f t="shared" si="135"/>
        <v>0</v>
      </c>
      <c r="F339">
        <f t="shared" si="136"/>
        <v>0</v>
      </c>
      <c r="G339">
        <f t="shared" si="137"/>
        <v>1.2834789231419563E-8</v>
      </c>
      <c r="H339">
        <f t="shared" si="115"/>
        <v>0</v>
      </c>
      <c r="I339">
        <f t="shared" si="116"/>
        <v>0</v>
      </c>
      <c r="J339">
        <f t="shared" si="117"/>
        <v>0</v>
      </c>
      <c r="K339">
        <f t="shared" si="118"/>
        <v>0</v>
      </c>
      <c r="L339">
        <f t="shared" si="119"/>
        <v>0</v>
      </c>
      <c r="M339">
        <f t="shared" si="120"/>
        <v>1.2834789231419563E-8</v>
      </c>
      <c r="N339">
        <f>K339*Inputs!B6/12</f>
        <v>0</v>
      </c>
      <c r="O339">
        <f t="shared" si="121"/>
        <v>0</v>
      </c>
      <c r="P339">
        <f t="shared" si="122"/>
        <v>0</v>
      </c>
      <c r="Q339">
        <f>L339*Inputs!B6/12</f>
        <v>0</v>
      </c>
      <c r="R339">
        <f t="shared" si="123"/>
        <v>0</v>
      </c>
      <c r="S339">
        <f t="shared" si="124"/>
        <v>0</v>
      </c>
      <c r="T339">
        <f t="shared" si="125"/>
        <v>0</v>
      </c>
      <c r="U339">
        <f t="shared" si="126"/>
        <v>0</v>
      </c>
      <c r="V339">
        <f t="shared" si="127"/>
        <v>0</v>
      </c>
      <c r="W339">
        <f t="shared" si="128"/>
        <v>0</v>
      </c>
      <c r="X339">
        <f t="shared" si="129"/>
        <v>0</v>
      </c>
      <c r="Y339">
        <f t="shared" si="130"/>
        <v>0</v>
      </c>
      <c r="Z339">
        <f t="shared" si="131"/>
        <v>1.2834789231419563E-8</v>
      </c>
      <c r="AA339">
        <f t="shared" si="132"/>
        <v>0</v>
      </c>
      <c r="AB339">
        <f t="shared" si="133"/>
        <v>0</v>
      </c>
      <c r="AC339">
        <f t="shared" si="134"/>
        <v>0</v>
      </c>
    </row>
    <row r="340" spans="1:29" x14ac:dyDescent="0.2">
      <c r="A340">
        <v>339</v>
      </c>
      <c r="B340">
        <f>LoanPool!L340</f>
        <v>0</v>
      </c>
      <c r="C340">
        <f>LoanPool!M340</f>
        <v>0</v>
      </c>
      <c r="D340">
        <f>LoanPool!H340</f>
        <v>0</v>
      </c>
      <c r="E340">
        <f t="shared" si="135"/>
        <v>0</v>
      </c>
      <c r="F340">
        <f t="shared" si="136"/>
        <v>0</v>
      </c>
      <c r="G340">
        <f t="shared" si="137"/>
        <v>1.2834789231419563E-8</v>
      </c>
      <c r="H340">
        <f t="shared" si="115"/>
        <v>0</v>
      </c>
      <c r="I340">
        <f t="shared" si="116"/>
        <v>0</v>
      </c>
      <c r="J340">
        <f t="shared" si="117"/>
        <v>0</v>
      </c>
      <c r="K340">
        <f t="shared" si="118"/>
        <v>0</v>
      </c>
      <c r="L340">
        <f t="shared" si="119"/>
        <v>0</v>
      </c>
      <c r="M340">
        <f t="shared" si="120"/>
        <v>1.2834789231419563E-8</v>
      </c>
      <c r="N340">
        <f>K340*Inputs!B6/12</f>
        <v>0</v>
      </c>
      <c r="O340">
        <f t="shared" si="121"/>
        <v>0</v>
      </c>
      <c r="P340">
        <f t="shared" si="122"/>
        <v>0</v>
      </c>
      <c r="Q340">
        <f>L340*Inputs!B6/12</f>
        <v>0</v>
      </c>
      <c r="R340">
        <f t="shared" si="123"/>
        <v>0</v>
      </c>
      <c r="S340">
        <f t="shared" si="124"/>
        <v>0</v>
      </c>
      <c r="T340">
        <f t="shared" si="125"/>
        <v>0</v>
      </c>
      <c r="U340">
        <f t="shared" si="126"/>
        <v>0</v>
      </c>
      <c r="V340">
        <f t="shared" si="127"/>
        <v>0</v>
      </c>
      <c r="W340">
        <f t="shared" si="128"/>
        <v>0</v>
      </c>
      <c r="X340">
        <f t="shared" si="129"/>
        <v>0</v>
      </c>
      <c r="Y340">
        <f t="shared" si="130"/>
        <v>0</v>
      </c>
      <c r="Z340">
        <f t="shared" si="131"/>
        <v>1.2834789231419563E-8</v>
      </c>
      <c r="AA340">
        <f t="shared" si="132"/>
        <v>0</v>
      </c>
      <c r="AB340">
        <f t="shared" si="133"/>
        <v>0</v>
      </c>
      <c r="AC340">
        <f t="shared" si="134"/>
        <v>0</v>
      </c>
    </row>
    <row r="341" spans="1:29" x14ac:dyDescent="0.2">
      <c r="A341">
        <v>340</v>
      </c>
      <c r="B341">
        <f>LoanPool!L341</f>
        <v>0</v>
      </c>
      <c r="C341">
        <f>LoanPool!M341</f>
        <v>0</v>
      </c>
      <c r="D341">
        <f>LoanPool!H341</f>
        <v>0</v>
      </c>
      <c r="E341">
        <f t="shared" si="135"/>
        <v>0</v>
      </c>
      <c r="F341">
        <f t="shared" si="136"/>
        <v>0</v>
      </c>
      <c r="G341">
        <f t="shared" si="137"/>
        <v>1.2834789231419563E-8</v>
      </c>
      <c r="H341">
        <f t="shared" si="115"/>
        <v>0</v>
      </c>
      <c r="I341">
        <f t="shared" si="116"/>
        <v>0</v>
      </c>
      <c r="J341">
        <f t="shared" si="117"/>
        <v>0</v>
      </c>
      <c r="K341">
        <f t="shared" si="118"/>
        <v>0</v>
      </c>
      <c r="L341">
        <f t="shared" si="119"/>
        <v>0</v>
      </c>
      <c r="M341">
        <f t="shared" si="120"/>
        <v>1.2834789231419563E-8</v>
      </c>
      <c r="N341">
        <f>K341*Inputs!B6/12</f>
        <v>0</v>
      </c>
      <c r="O341">
        <f t="shared" si="121"/>
        <v>0</v>
      </c>
      <c r="P341">
        <f t="shared" si="122"/>
        <v>0</v>
      </c>
      <c r="Q341">
        <f>L341*Inputs!B6/12</f>
        <v>0</v>
      </c>
      <c r="R341">
        <f t="shared" si="123"/>
        <v>0</v>
      </c>
      <c r="S341">
        <f t="shared" si="124"/>
        <v>0</v>
      </c>
      <c r="T341">
        <f t="shared" si="125"/>
        <v>0</v>
      </c>
      <c r="U341">
        <f t="shared" si="126"/>
        <v>0</v>
      </c>
      <c r="V341">
        <f t="shared" si="127"/>
        <v>0</v>
      </c>
      <c r="W341">
        <f t="shared" si="128"/>
        <v>0</v>
      </c>
      <c r="X341">
        <f t="shared" si="129"/>
        <v>0</v>
      </c>
      <c r="Y341">
        <f t="shared" si="130"/>
        <v>0</v>
      </c>
      <c r="Z341">
        <f t="shared" si="131"/>
        <v>1.2834789231419563E-8</v>
      </c>
      <c r="AA341">
        <f t="shared" si="132"/>
        <v>0</v>
      </c>
      <c r="AB341">
        <f t="shared" si="133"/>
        <v>0</v>
      </c>
      <c r="AC341">
        <f t="shared" si="134"/>
        <v>0</v>
      </c>
    </row>
    <row r="342" spans="1:29" x14ac:dyDescent="0.2">
      <c r="A342">
        <v>341</v>
      </c>
      <c r="B342">
        <f>LoanPool!L342</f>
        <v>0</v>
      </c>
      <c r="C342">
        <f>LoanPool!M342</f>
        <v>0</v>
      </c>
      <c r="D342">
        <f>LoanPool!H342</f>
        <v>0</v>
      </c>
      <c r="E342">
        <f t="shared" si="135"/>
        <v>0</v>
      </c>
      <c r="F342">
        <f t="shared" si="136"/>
        <v>0</v>
      </c>
      <c r="G342">
        <f t="shared" si="137"/>
        <v>1.2834789231419563E-8</v>
      </c>
      <c r="H342">
        <f t="shared" si="115"/>
        <v>0</v>
      </c>
      <c r="I342">
        <f t="shared" si="116"/>
        <v>0</v>
      </c>
      <c r="J342">
        <f t="shared" si="117"/>
        <v>0</v>
      </c>
      <c r="K342">
        <f t="shared" si="118"/>
        <v>0</v>
      </c>
      <c r="L342">
        <f t="shared" si="119"/>
        <v>0</v>
      </c>
      <c r="M342">
        <f t="shared" si="120"/>
        <v>1.2834789231419563E-8</v>
      </c>
      <c r="N342">
        <f>K342*Inputs!B6/12</f>
        <v>0</v>
      </c>
      <c r="O342">
        <f t="shared" si="121"/>
        <v>0</v>
      </c>
      <c r="P342">
        <f t="shared" si="122"/>
        <v>0</v>
      </c>
      <c r="Q342">
        <f>L342*Inputs!B6/12</f>
        <v>0</v>
      </c>
      <c r="R342">
        <f t="shared" si="123"/>
        <v>0</v>
      </c>
      <c r="S342">
        <f t="shared" si="124"/>
        <v>0</v>
      </c>
      <c r="T342">
        <f t="shared" si="125"/>
        <v>0</v>
      </c>
      <c r="U342">
        <f t="shared" si="126"/>
        <v>0</v>
      </c>
      <c r="V342">
        <f t="shared" si="127"/>
        <v>0</v>
      </c>
      <c r="W342">
        <f t="shared" si="128"/>
        <v>0</v>
      </c>
      <c r="X342">
        <f t="shared" si="129"/>
        <v>0</v>
      </c>
      <c r="Y342">
        <f t="shared" si="130"/>
        <v>0</v>
      </c>
      <c r="Z342">
        <f t="shared" si="131"/>
        <v>1.2834789231419563E-8</v>
      </c>
      <c r="AA342">
        <f t="shared" si="132"/>
        <v>0</v>
      </c>
      <c r="AB342">
        <f t="shared" si="133"/>
        <v>0</v>
      </c>
      <c r="AC342">
        <f t="shared" si="134"/>
        <v>0</v>
      </c>
    </row>
    <row r="343" spans="1:29" x14ac:dyDescent="0.2">
      <c r="A343">
        <v>342</v>
      </c>
      <c r="B343">
        <f>LoanPool!L343</f>
        <v>0</v>
      </c>
      <c r="C343">
        <f>LoanPool!M343</f>
        <v>0</v>
      </c>
      <c r="D343">
        <f>LoanPool!H343</f>
        <v>0</v>
      </c>
      <c r="E343">
        <f t="shared" si="135"/>
        <v>0</v>
      </c>
      <c r="F343">
        <f t="shared" si="136"/>
        <v>0</v>
      </c>
      <c r="G343">
        <f t="shared" si="137"/>
        <v>1.2834789231419563E-8</v>
      </c>
      <c r="H343">
        <f t="shared" si="115"/>
        <v>0</v>
      </c>
      <c r="I343">
        <f t="shared" si="116"/>
        <v>0</v>
      </c>
      <c r="J343">
        <f t="shared" si="117"/>
        <v>0</v>
      </c>
      <c r="K343">
        <f t="shared" si="118"/>
        <v>0</v>
      </c>
      <c r="L343">
        <f t="shared" si="119"/>
        <v>0</v>
      </c>
      <c r="M343">
        <f t="shared" si="120"/>
        <v>1.2834789231419563E-8</v>
      </c>
      <c r="N343">
        <f>K343*Inputs!B6/12</f>
        <v>0</v>
      </c>
      <c r="O343">
        <f t="shared" si="121"/>
        <v>0</v>
      </c>
      <c r="P343">
        <f t="shared" si="122"/>
        <v>0</v>
      </c>
      <c r="Q343">
        <f>L343*Inputs!B6/12</f>
        <v>0</v>
      </c>
      <c r="R343">
        <f t="shared" si="123"/>
        <v>0</v>
      </c>
      <c r="S343">
        <f t="shared" si="124"/>
        <v>0</v>
      </c>
      <c r="T343">
        <f t="shared" si="125"/>
        <v>0</v>
      </c>
      <c r="U343">
        <f t="shared" si="126"/>
        <v>0</v>
      </c>
      <c r="V343">
        <f t="shared" si="127"/>
        <v>0</v>
      </c>
      <c r="W343">
        <f t="shared" si="128"/>
        <v>0</v>
      </c>
      <c r="X343">
        <f t="shared" si="129"/>
        <v>0</v>
      </c>
      <c r="Y343">
        <f t="shared" si="130"/>
        <v>0</v>
      </c>
      <c r="Z343">
        <f t="shared" si="131"/>
        <v>1.2834789231419563E-8</v>
      </c>
      <c r="AA343">
        <f t="shared" si="132"/>
        <v>0</v>
      </c>
      <c r="AB343">
        <f t="shared" si="133"/>
        <v>0</v>
      </c>
      <c r="AC343">
        <f t="shared" si="134"/>
        <v>0</v>
      </c>
    </row>
    <row r="344" spans="1:29" x14ac:dyDescent="0.2">
      <c r="A344">
        <v>343</v>
      </c>
      <c r="B344">
        <f>LoanPool!L344</f>
        <v>0</v>
      </c>
      <c r="C344">
        <f>LoanPool!M344</f>
        <v>0</v>
      </c>
      <c r="D344">
        <f>LoanPool!H344</f>
        <v>0</v>
      </c>
      <c r="E344">
        <f t="shared" si="135"/>
        <v>0</v>
      </c>
      <c r="F344">
        <f t="shared" si="136"/>
        <v>0</v>
      </c>
      <c r="G344">
        <f t="shared" si="137"/>
        <v>1.2834789231419563E-8</v>
      </c>
      <c r="H344">
        <f t="shared" si="115"/>
        <v>0</v>
      </c>
      <c r="I344">
        <f t="shared" si="116"/>
        <v>0</v>
      </c>
      <c r="J344">
        <f t="shared" si="117"/>
        <v>0</v>
      </c>
      <c r="K344">
        <f t="shared" si="118"/>
        <v>0</v>
      </c>
      <c r="L344">
        <f t="shared" si="119"/>
        <v>0</v>
      </c>
      <c r="M344">
        <f t="shared" si="120"/>
        <v>1.2834789231419563E-8</v>
      </c>
      <c r="N344">
        <f>K344*Inputs!B6/12</f>
        <v>0</v>
      </c>
      <c r="O344">
        <f t="shared" si="121"/>
        <v>0</v>
      </c>
      <c r="P344">
        <f t="shared" si="122"/>
        <v>0</v>
      </c>
      <c r="Q344">
        <f>L344*Inputs!B6/12</f>
        <v>0</v>
      </c>
      <c r="R344">
        <f t="shared" si="123"/>
        <v>0</v>
      </c>
      <c r="S344">
        <f t="shared" si="124"/>
        <v>0</v>
      </c>
      <c r="T344">
        <f t="shared" si="125"/>
        <v>0</v>
      </c>
      <c r="U344">
        <f t="shared" si="126"/>
        <v>0</v>
      </c>
      <c r="V344">
        <f t="shared" si="127"/>
        <v>0</v>
      </c>
      <c r="W344">
        <f t="shared" si="128"/>
        <v>0</v>
      </c>
      <c r="X344">
        <f t="shared" si="129"/>
        <v>0</v>
      </c>
      <c r="Y344">
        <f t="shared" si="130"/>
        <v>0</v>
      </c>
      <c r="Z344">
        <f t="shared" si="131"/>
        <v>1.2834789231419563E-8</v>
      </c>
      <c r="AA344">
        <f t="shared" si="132"/>
        <v>0</v>
      </c>
      <c r="AB344">
        <f t="shared" si="133"/>
        <v>0</v>
      </c>
      <c r="AC344">
        <f t="shared" si="134"/>
        <v>0</v>
      </c>
    </row>
    <row r="345" spans="1:29" x14ac:dyDescent="0.2">
      <c r="A345">
        <v>344</v>
      </c>
      <c r="B345">
        <f>LoanPool!L345</f>
        <v>0</v>
      </c>
      <c r="C345">
        <f>LoanPool!M345</f>
        <v>0</v>
      </c>
      <c r="D345">
        <f>LoanPool!H345</f>
        <v>0</v>
      </c>
      <c r="E345">
        <f t="shared" si="135"/>
        <v>0</v>
      </c>
      <c r="F345">
        <f t="shared" si="136"/>
        <v>0</v>
      </c>
      <c r="G345">
        <f t="shared" si="137"/>
        <v>1.2834789231419563E-8</v>
      </c>
      <c r="H345">
        <f t="shared" si="115"/>
        <v>0</v>
      </c>
      <c r="I345">
        <f t="shared" si="116"/>
        <v>0</v>
      </c>
      <c r="J345">
        <f t="shared" si="117"/>
        <v>0</v>
      </c>
      <c r="K345">
        <f t="shared" si="118"/>
        <v>0</v>
      </c>
      <c r="L345">
        <f t="shared" si="119"/>
        <v>0</v>
      </c>
      <c r="M345">
        <f t="shared" si="120"/>
        <v>1.2834789231419563E-8</v>
      </c>
      <c r="N345">
        <f>K345*Inputs!B6/12</f>
        <v>0</v>
      </c>
      <c r="O345">
        <f t="shared" si="121"/>
        <v>0</v>
      </c>
      <c r="P345">
        <f t="shared" si="122"/>
        <v>0</v>
      </c>
      <c r="Q345">
        <f>L345*Inputs!B6/12</f>
        <v>0</v>
      </c>
      <c r="R345">
        <f t="shared" si="123"/>
        <v>0</v>
      </c>
      <c r="S345">
        <f t="shared" si="124"/>
        <v>0</v>
      </c>
      <c r="T345">
        <f t="shared" si="125"/>
        <v>0</v>
      </c>
      <c r="U345">
        <f t="shared" si="126"/>
        <v>0</v>
      </c>
      <c r="V345">
        <f t="shared" si="127"/>
        <v>0</v>
      </c>
      <c r="W345">
        <f t="shared" si="128"/>
        <v>0</v>
      </c>
      <c r="X345">
        <f t="shared" si="129"/>
        <v>0</v>
      </c>
      <c r="Y345">
        <f t="shared" si="130"/>
        <v>0</v>
      </c>
      <c r="Z345">
        <f t="shared" si="131"/>
        <v>1.2834789231419563E-8</v>
      </c>
      <c r="AA345">
        <f t="shared" si="132"/>
        <v>0</v>
      </c>
      <c r="AB345">
        <f t="shared" si="133"/>
        <v>0</v>
      </c>
      <c r="AC345">
        <f t="shared" si="134"/>
        <v>0</v>
      </c>
    </row>
    <row r="346" spans="1:29" x14ac:dyDescent="0.2">
      <c r="A346">
        <v>345</v>
      </c>
      <c r="B346">
        <f>LoanPool!L346</f>
        <v>0</v>
      </c>
      <c r="C346">
        <f>LoanPool!M346</f>
        <v>0</v>
      </c>
      <c r="D346">
        <f>LoanPool!H346</f>
        <v>0</v>
      </c>
      <c r="E346">
        <f t="shared" si="135"/>
        <v>0</v>
      </c>
      <c r="F346">
        <f t="shared" si="136"/>
        <v>0</v>
      </c>
      <c r="G346">
        <f t="shared" si="137"/>
        <v>1.2834789231419563E-8</v>
      </c>
      <c r="H346">
        <f t="shared" si="115"/>
        <v>0</v>
      </c>
      <c r="I346">
        <f t="shared" si="116"/>
        <v>0</v>
      </c>
      <c r="J346">
        <f t="shared" si="117"/>
        <v>0</v>
      </c>
      <c r="K346">
        <f t="shared" si="118"/>
        <v>0</v>
      </c>
      <c r="L346">
        <f t="shared" si="119"/>
        <v>0</v>
      </c>
      <c r="M346">
        <f t="shared" si="120"/>
        <v>1.2834789231419563E-8</v>
      </c>
      <c r="N346">
        <f>K346*Inputs!B6/12</f>
        <v>0</v>
      </c>
      <c r="O346">
        <f t="shared" si="121"/>
        <v>0</v>
      </c>
      <c r="P346">
        <f t="shared" si="122"/>
        <v>0</v>
      </c>
      <c r="Q346">
        <f>L346*Inputs!B6/12</f>
        <v>0</v>
      </c>
      <c r="R346">
        <f t="shared" si="123"/>
        <v>0</v>
      </c>
      <c r="S346">
        <f t="shared" si="124"/>
        <v>0</v>
      </c>
      <c r="T346">
        <f t="shared" si="125"/>
        <v>0</v>
      </c>
      <c r="U346">
        <f t="shared" si="126"/>
        <v>0</v>
      </c>
      <c r="V346">
        <f t="shared" si="127"/>
        <v>0</v>
      </c>
      <c r="W346">
        <f t="shared" si="128"/>
        <v>0</v>
      </c>
      <c r="X346">
        <f t="shared" si="129"/>
        <v>0</v>
      </c>
      <c r="Y346">
        <f t="shared" si="130"/>
        <v>0</v>
      </c>
      <c r="Z346">
        <f t="shared" si="131"/>
        <v>1.2834789231419563E-8</v>
      </c>
      <c r="AA346">
        <f t="shared" si="132"/>
        <v>0</v>
      </c>
      <c r="AB346">
        <f t="shared" si="133"/>
        <v>0</v>
      </c>
      <c r="AC346">
        <f t="shared" si="134"/>
        <v>0</v>
      </c>
    </row>
    <row r="347" spans="1:29" x14ac:dyDescent="0.2">
      <c r="A347">
        <v>346</v>
      </c>
      <c r="B347">
        <f>LoanPool!L347</f>
        <v>0</v>
      </c>
      <c r="C347">
        <f>LoanPool!M347</f>
        <v>0</v>
      </c>
      <c r="D347">
        <f>LoanPool!H347</f>
        <v>0</v>
      </c>
      <c r="E347">
        <f t="shared" si="135"/>
        <v>0</v>
      </c>
      <c r="F347">
        <f t="shared" si="136"/>
        <v>0</v>
      </c>
      <c r="G347">
        <f t="shared" si="137"/>
        <v>1.2834789231419563E-8</v>
      </c>
      <c r="H347">
        <f t="shared" si="115"/>
        <v>0</v>
      </c>
      <c r="I347">
        <f t="shared" si="116"/>
        <v>0</v>
      </c>
      <c r="J347">
        <f t="shared" si="117"/>
        <v>0</v>
      </c>
      <c r="K347">
        <f t="shared" si="118"/>
        <v>0</v>
      </c>
      <c r="L347">
        <f t="shared" si="119"/>
        <v>0</v>
      </c>
      <c r="M347">
        <f t="shared" si="120"/>
        <v>1.2834789231419563E-8</v>
      </c>
      <c r="N347">
        <f>K347*Inputs!B6/12</f>
        <v>0</v>
      </c>
      <c r="O347">
        <f t="shared" si="121"/>
        <v>0</v>
      </c>
      <c r="P347">
        <f t="shared" si="122"/>
        <v>0</v>
      </c>
      <c r="Q347">
        <f>L347*Inputs!B6/12</f>
        <v>0</v>
      </c>
      <c r="R347">
        <f t="shared" si="123"/>
        <v>0</v>
      </c>
      <c r="S347">
        <f t="shared" si="124"/>
        <v>0</v>
      </c>
      <c r="T347">
        <f t="shared" si="125"/>
        <v>0</v>
      </c>
      <c r="U347">
        <f t="shared" si="126"/>
        <v>0</v>
      </c>
      <c r="V347">
        <f t="shared" si="127"/>
        <v>0</v>
      </c>
      <c r="W347">
        <f t="shared" si="128"/>
        <v>0</v>
      </c>
      <c r="X347">
        <f t="shared" si="129"/>
        <v>0</v>
      </c>
      <c r="Y347">
        <f t="shared" si="130"/>
        <v>0</v>
      </c>
      <c r="Z347">
        <f t="shared" si="131"/>
        <v>1.2834789231419563E-8</v>
      </c>
      <c r="AA347">
        <f t="shared" si="132"/>
        <v>0</v>
      </c>
      <c r="AB347">
        <f t="shared" si="133"/>
        <v>0</v>
      </c>
      <c r="AC347">
        <f t="shared" si="134"/>
        <v>0</v>
      </c>
    </row>
    <row r="348" spans="1:29" x14ac:dyDescent="0.2">
      <c r="A348">
        <v>347</v>
      </c>
      <c r="B348">
        <f>LoanPool!L348</f>
        <v>0</v>
      </c>
      <c r="C348">
        <f>LoanPool!M348</f>
        <v>0</v>
      </c>
      <c r="D348">
        <f>LoanPool!H348</f>
        <v>0</v>
      </c>
      <c r="E348">
        <f t="shared" si="135"/>
        <v>0</v>
      </c>
      <c r="F348">
        <f t="shared" si="136"/>
        <v>0</v>
      </c>
      <c r="G348">
        <f t="shared" si="137"/>
        <v>1.2834789231419563E-8</v>
      </c>
      <c r="H348">
        <f t="shared" si="115"/>
        <v>0</v>
      </c>
      <c r="I348">
        <f t="shared" si="116"/>
        <v>0</v>
      </c>
      <c r="J348">
        <f t="shared" si="117"/>
        <v>0</v>
      </c>
      <c r="K348">
        <f t="shared" si="118"/>
        <v>0</v>
      </c>
      <c r="L348">
        <f t="shared" si="119"/>
        <v>0</v>
      </c>
      <c r="M348">
        <f t="shared" si="120"/>
        <v>1.2834789231419563E-8</v>
      </c>
      <c r="N348">
        <f>K348*Inputs!B6/12</f>
        <v>0</v>
      </c>
      <c r="O348">
        <f t="shared" si="121"/>
        <v>0</v>
      </c>
      <c r="P348">
        <f t="shared" si="122"/>
        <v>0</v>
      </c>
      <c r="Q348">
        <f>L348*Inputs!B6/12</f>
        <v>0</v>
      </c>
      <c r="R348">
        <f t="shared" si="123"/>
        <v>0</v>
      </c>
      <c r="S348">
        <f t="shared" si="124"/>
        <v>0</v>
      </c>
      <c r="T348">
        <f t="shared" si="125"/>
        <v>0</v>
      </c>
      <c r="U348">
        <f t="shared" si="126"/>
        <v>0</v>
      </c>
      <c r="V348">
        <f t="shared" si="127"/>
        <v>0</v>
      </c>
      <c r="W348">
        <f t="shared" si="128"/>
        <v>0</v>
      </c>
      <c r="X348">
        <f t="shared" si="129"/>
        <v>0</v>
      </c>
      <c r="Y348">
        <f t="shared" si="130"/>
        <v>0</v>
      </c>
      <c r="Z348">
        <f t="shared" si="131"/>
        <v>1.2834789231419563E-8</v>
      </c>
      <c r="AA348">
        <f t="shared" si="132"/>
        <v>0</v>
      </c>
      <c r="AB348">
        <f t="shared" si="133"/>
        <v>0</v>
      </c>
      <c r="AC348">
        <f t="shared" si="134"/>
        <v>0</v>
      </c>
    </row>
    <row r="349" spans="1:29" x14ac:dyDescent="0.2">
      <c r="A349">
        <v>348</v>
      </c>
      <c r="B349">
        <f>LoanPool!L349</f>
        <v>0</v>
      </c>
      <c r="C349">
        <f>LoanPool!M349</f>
        <v>0</v>
      </c>
      <c r="D349">
        <f>LoanPool!H349</f>
        <v>0</v>
      </c>
      <c r="E349">
        <f t="shared" si="135"/>
        <v>0</v>
      </c>
      <c r="F349">
        <f t="shared" si="136"/>
        <v>0</v>
      </c>
      <c r="G349">
        <f t="shared" si="137"/>
        <v>1.2834789231419563E-8</v>
      </c>
      <c r="H349">
        <f t="shared" si="115"/>
        <v>0</v>
      </c>
      <c r="I349">
        <f t="shared" si="116"/>
        <v>0</v>
      </c>
      <c r="J349">
        <f t="shared" si="117"/>
        <v>0</v>
      </c>
      <c r="K349">
        <f t="shared" si="118"/>
        <v>0</v>
      </c>
      <c r="L349">
        <f t="shared" si="119"/>
        <v>0</v>
      </c>
      <c r="M349">
        <f t="shared" si="120"/>
        <v>1.2834789231419563E-8</v>
      </c>
      <c r="N349">
        <f>K349*Inputs!B6/12</f>
        <v>0</v>
      </c>
      <c r="O349">
        <f t="shared" si="121"/>
        <v>0</v>
      </c>
      <c r="P349">
        <f t="shared" si="122"/>
        <v>0</v>
      </c>
      <c r="Q349">
        <f>L349*Inputs!B6/12</f>
        <v>0</v>
      </c>
      <c r="R349">
        <f t="shared" si="123"/>
        <v>0</v>
      </c>
      <c r="S349">
        <f t="shared" si="124"/>
        <v>0</v>
      </c>
      <c r="T349">
        <f t="shared" si="125"/>
        <v>0</v>
      </c>
      <c r="U349">
        <f t="shared" si="126"/>
        <v>0</v>
      </c>
      <c r="V349">
        <f t="shared" si="127"/>
        <v>0</v>
      </c>
      <c r="W349">
        <f t="shared" si="128"/>
        <v>0</v>
      </c>
      <c r="X349">
        <f t="shared" si="129"/>
        <v>0</v>
      </c>
      <c r="Y349">
        <f t="shared" si="130"/>
        <v>0</v>
      </c>
      <c r="Z349">
        <f t="shared" si="131"/>
        <v>1.2834789231419563E-8</v>
      </c>
      <c r="AA349">
        <f t="shared" si="132"/>
        <v>0</v>
      </c>
      <c r="AB349">
        <f t="shared" si="133"/>
        <v>0</v>
      </c>
      <c r="AC349">
        <f t="shared" si="134"/>
        <v>0</v>
      </c>
    </row>
    <row r="350" spans="1:29" x14ac:dyDescent="0.2">
      <c r="A350">
        <v>349</v>
      </c>
      <c r="B350">
        <f>LoanPool!L350</f>
        <v>0</v>
      </c>
      <c r="C350">
        <f>LoanPool!M350</f>
        <v>0</v>
      </c>
      <c r="D350">
        <f>LoanPool!H350</f>
        <v>0</v>
      </c>
      <c r="E350">
        <f t="shared" si="135"/>
        <v>0</v>
      </c>
      <c r="F350">
        <f t="shared" si="136"/>
        <v>0</v>
      </c>
      <c r="G350">
        <f t="shared" si="137"/>
        <v>1.2834789231419563E-8</v>
      </c>
      <c r="H350">
        <f t="shared" si="115"/>
        <v>0</v>
      </c>
      <c r="I350">
        <f t="shared" si="116"/>
        <v>0</v>
      </c>
      <c r="J350">
        <f t="shared" si="117"/>
        <v>0</v>
      </c>
      <c r="K350">
        <f t="shared" si="118"/>
        <v>0</v>
      </c>
      <c r="L350">
        <f t="shared" si="119"/>
        <v>0</v>
      </c>
      <c r="M350">
        <f t="shared" si="120"/>
        <v>1.2834789231419563E-8</v>
      </c>
      <c r="N350">
        <f>K350*Inputs!B6/12</f>
        <v>0</v>
      </c>
      <c r="O350">
        <f t="shared" si="121"/>
        <v>0</v>
      </c>
      <c r="P350">
        <f t="shared" si="122"/>
        <v>0</v>
      </c>
      <c r="Q350">
        <f>L350*Inputs!B6/12</f>
        <v>0</v>
      </c>
      <c r="R350">
        <f t="shared" si="123"/>
        <v>0</v>
      </c>
      <c r="S350">
        <f t="shared" si="124"/>
        <v>0</v>
      </c>
      <c r="T350">
        <f t="shared" si="125"/>
        <v>0</v>
      </c>
      <c r="U350">
        <f t="shared" si="126"/>
        <v>0</v>
      </c>
      <c r="V350">
        <f t="shared" si="127"/>
        <v>0</v>
      </c>
      <c r="W350">
        <f t="shared" si="128"/>
        <v>0</v>
      </c>
      <c r="X350">
        <f t="shared" si="129"/>
        <v>0</v>
      </c>
      <c r="Y350">
        <f t="shared" si="130"/>
        <v>0</v>
      </c>
      <c r="Z350">
        <f t="shared" si="131"/>
        <v>1.2834789231419563E-8</v>
      </c>
      <c r="AA350">
        <f t="shared" si="132"/>
        <v>0</v>
      </c>
      <c r="AB350">
        <f t="shared" si="133"/>
        <v>0</v>
      </c>
      <c r="AC350">
        <f t="shared" si="134"/>
        <v>0</v>
      </c>
    </row>
    <row r="351" spans="1:29" x14ac:dyDescent="0.2">
      <c r="A351">
        <v>350</v>
      </c>
      <c r="B351">
        <f>LoanPool!L351</f>
        <v>0</v>
      </c>
      <c r="C351">
        <f>LoanPool!M351</f>
        <v>0</v>
      </c>
      <c r="D351">
        <f>LoanPool!H351</f>
        <v>0</v>
      </c>
      <c r="E351">
        <f t="shared" si="135"/>
        <v>0</v>
      </c>
      <c r="F351">
        <f t="shared" si="136"/>
        <v>0</v>
      </c>
      <c r="G351">
        <f t="shared" si="137"/>
        <v>1.2834789231419563E-8</v>
      </c>
      <c r="H351">
        <f t="shared" si="115"/>
        <v>0</v>
      </c>
      <c r="I351">
        <f t="shared" si="116"/>
        <v>0</v>
      </c>
      <c r="J351">
        <f t="shared" si="117"/>
        <v>0</v>
      </c>
      <c r="K351">
        <f t="shared" si="118"/>
        <v>0</v>
      </c>
      <c r="L351">
        <f t="shared" si="119"/>
        <v>0</v>
      </c>
      <c r="M351">
        <f t="shared" si="120"/>
        <v>1.2834789231419563E-8</v>
      </c>
      <c r="N351">
        <f>K351*Inputs!B6/12</f>
        <v>0</v>
      </c>
      <c r="O351">
        <f t="shared" si="121"/>
        <v>0</v>
      </c>
      <c r="P351">
        <f t="shared" si="122"/>
        <v>0</v>
      </c>
      <c r="Q351">
        <f>L351*Inputs!B6/12</f>
        <v>0</v>
      </c>
      <c r="R351">
        <f t="shared" si="123"/>
        <v>0</v>
      </c>
      <c r="S351">
        <f t="shared" si="124"/>
        <v>0</v>
      </c>
      <c r="T351">
        <f t="shared" si="125"/>
        <v>0</v>
      </c>
      <c r="U351">
        <f t="shared" si="126"/>
        <v>0</v>
      </c>
      <c r="V351">
        <f t="shared" si="127"/>
        <v>0</v>
      </c>
      <c r="W351">
        <f t="shared" si="128"/>
        <v>0</v>
      </c>
      <c r="X351">
        <f t="shared" si="129"/>
        <v>0</v>
      </c>
      <c r="Y351">
        <f t="shared" si="130"/>
        <v>0</v>
      </c>
      <c r="Z351">
        <f t="shared" si="131"/>
        <v>1.2834789231419563E-8</v>
      </c>
      <c r="AA351">
        <f t="shared" si="132"/>
        <v>0</v>
      </c>
      <c r="AB351">
        <f t="shared" si="133"/>
        <v>0</v>
      </c>
      <c r="AC351">
        <f t="shared" si="134"/>
        <v>0</v>
      </c>
    </row>
    <row r="352" spans="1:29" x14ac:dyDescent="0.2">
      <c r="A352">
        <v>351</v>
      </c>
      <c r="B352">
        <f>LoanPool!L352</f>
        <v>0</v>
      </c>
      <c r="C352">
        <f>LoanPool!M352</f>
        <v>0</v>
      </c>
      <c r="D352">
        <f>LoanPool!H352</f>
        <v>0</v>
      </c>
      <c r="E352">
        <f t="shared" si="135"/>
        <v>0</v>
      </c>
      <c r="F352">
        <f t="shared" si="136"/>
        <v>0</v>
      </c>
      <c r="G352">
        <f t="shared" si="137"/>
        <v>1.2834789231419563E-8</v>
      </c>
      <c r="H352">
        <f t="shared" si="115"/>
        <v>0</v>
      </c>
      <c r="I352">
        <f t="shared" si="116"/>
        <v>0</v>
      </c>
      <c r="J352">
        <f t="shared" si="117"/>
        <v>0</v>
      </c>
      <c r="K352">
        <f t="shared" si="118"/>
        <v>0</v>
      </c>
      <c r="L352">
        <f t="shared" si="119"/>
        <v>0</v>
      </c>
      <c r="M352">
        <f t="shared" si="120"/>
        <v>1.2834789231419563E-8</v>
      </c>
      <c r="N352">
        <f>K352*Inputs!B6/12</f>
        <v>0</v>
      </c>
      <c r="O352">
        <f t="shared" si="121"/>
        <v>0</v>
      </c>
      <c r="P352">
        <f t="shared" si="122"/>
        <v>0</v>
      </c>
      <c r="Q352">
        <f>L352*Inputs!B6/12</f>
        <v>0</v>
      </c>
      <c r="R352">
        <f t="shared" si="123"/>
        <v>0</v>
      </c>
      <c r="S352">
        <f t="shared" si="124"/>
        <v>0</v>
      </c>
      <c r="T352">
        <f t="shared" si="125"/>
        <v>0</v>
      </c>
      <c r="U352">
        <f t="shared" si="126"/>
        <v>0</v>
      </c>
      <c r="V352">
        <f t="shared" si="127"/>
        <v>0</v>
      </c>
      <c r="W352">
        <f t="shared" si="128"/>
        <v>0</v>
      </c>
      <c r="X352">
        <f t="shared" si="129"/>
        <v>0</v>
      </c>
      <c r="Y352">
        <f t="shared" si="130"/>
        <v>0</v>
      </c>
      <c r="Z352">
        <f t="shared" si="131"/>
        <v>1.2834789231419563E-8</v>
      </c>
      <c r="AA352">
        <f t="shared" si="132"/>
        <v>0</v>
      </c>
      <c r="AB352">
        <f t="shared" si="133"/>
        <v>0</v>
      </c>
      <c r="AC352">
        <f t="shared" si="134"/>
        <v>0</v>
      </c>
    </row>
    <row r="353" spans="1:29" x14ac:dyDescent="0.2">
      <c r="A353">
        <v>352</v>
      </c>
      <c r="B353">
        <f>LoanPool!L353</f>
        <v>0</v>
      </c>
      <c r="C353">
        <f>LoanPool!M353</f>
        <v>0</v>
      </c>
      <c r="D353">
        <f>LoanPool!H353</f>
        <v>0</v>
      </c>
      <c r="E353">
        <f t="shared" si="135"/>
        <v>0</v>
      </c>
      <c r="F353">
        <f t="shared" si="136"/>
        <v>0</v>
      </c>
      <c r="G353">
        <f t="shared" si="137"/>
        <v>1.2834789231419563E-8</v>
      </c>
      <c r="H353">
        <f t="shared" si="115"/>
        <v>0</v>
      </c>
      <c r="I353">
        <f t="shared" si="116"/>
        <v>0</v>
      </c>
      <c r="J353">
        <f t="shared" si="117"/>
        <v>0</v>
      </c>
      <c r="K353">
        <f t="shared" si="118"/>
        <v>0</v>
      </c>
      <c r="L353">
        <f t="shared" si="119"/>
        <v>0</v>
      </c>
      <c r="M353">
        <f t="shared" si="120"/>
        <v>1.2834789231419563E-8</v>
      </c>
      <c r="N353">
        <f>K353*Inputs!B6/12</f>
        <v>0</v>
      </c>
      <c r="O353">
        <f t="shared" si="121"/>
        <v>0</v>
      </c>
      <c r="P353">
        <f t="shared" si="122"/>
        <v>0</v>
      </c>
      <c r="Q353">
        <f>L353*Inputs!B6/12</f>
        <v>0</v>
      </c>
      <c r="R353">
        <f t="shared" si="123"/>
        <v>0</v>
      </c>
      <c r="S353">
        <f t="shared" si="124"/>
        <v>0</v>
      </c>
      <c r="T353">
        <f t="shared" si="125"/>
        <v>0</v>
      </c>
      <c r="U353">
        <f t="shared" si="126"/>
        <v>0</v>
      </c>
      <c r="V353">
        <f t="shared" si="127"/>
        <v>0</v>
      </c>
      <c r="W353">
        <f t="shared" si="128"/>
        <v>0</v>
      </c>
      <c r="X353">
        <f t="shared" si="129"/>
        <v>0</v>
      </c>
      <c r="Y353">
        <f t="shared" si="130"/>
        <v>0</v>
      </c>
      <c r="Z353">
        <f t="shared" si="131"/>
        <v>1.2834789231419563E-8</v>
      </c>
      <c r="AA353">
        <f t="shared" si="132"/>
        <v>0</v>
      </c>
      <c r="AB353">
        <f t="shared" si="133"/>
        <v>0</v>
      </c>
      <c r="AC353">
        <f t="shared" si="134"/>
        <v>0</v>
      </c>
    </row>
    <row r="354" spans="1:29" x14ac:dyDescent="0.2">
      <c r="A354">
        <v>353</v>
      </c>
      <c r="B354">
        <f>LoanPool!L354</f>
        <v>0</v>
      </c>
      <c r="C354">
        <f>LoanPool!M354</f>
        <v>0</v>
      </c>
      <c r="D354">
        <f>LoanPool!H354</f>
        <v>0</v>
      </c>
      <c r="E354">
        <f t="shared" si="135"/>
        <v>0</v>
      </c>
      <c r="F354">
        <f t="shared" si="136"/>
        <v>0</v>
      </c>
      <c r="G354">
        <f t="shared" si="137"/>
        <v>1.2834789231419563E-8</v>
      </c>
      <c r="H354">
        <f t="shared" si="115"/>
        <v>0</v>
      </c>
      <c r="I354">
        <f t="shared" si="116"/>
        <v>0</v>
      </c>
      <c r="J354">
        <f t="shared" si="117"/>
        <v>0</v>
      </c>
      <c r="K354">
        <f t="shared" si="118"/>
        <v>0</v>
      </c>
      <c r="L354">
        <f t="shared" si="119"/>
        <v>0</v>
      </c>
      <c r="M354">
        <f t="shared" si="120"/>
        <v>1.2834789231419563E-8</v>
      </c>
      <c r="N354">
        <f>K354*Inputs!B6/12</f>
        <v>0</v>
      </c>
      <c r="O354">
        <f t="shared" si="121"/>
        <v>0</v>
      </c>
      <c r="P354">
        <f t="shared" si="122"/>
        <v>0</v>
      </c>
      <c r="Q354">
        <f>L354*Inputs!B6/12</f>
        <v>0</v>
      </c>
      <c r="R354">
        <f t="shared" si="123"/>
        <v>0</v>
      </c>
      <c r="S354">
        <f t="shared" si="124"/>
        <v>0</v>
      </c>
      <c r="T354">
        <f t="shared" si="125"/>
        <v>0</v>
      </c>
      <c r="U354">
        <f t="shared" si="126"/>
        <v>0</v>
      </c>
      <c r="V354">
        <f t="shared" si="127"/>
        <v>0</v>
      </c>
      <c r="W354">
        <f t="shared" si="128"/>
        <v>0</v>
      </c>
      <c r="X354">
        <f t="shared" si="129"/>
        <v>0</v>
      </c>
      <c r="Y354">
        <f t="shared" si="130"/>
        <v>0</v>
      </c>
      <c r="Z354">
        <f t="shared" si="131"/>
        <v>1.2834789231419563E-8</v>
      </c>
      <c r="AA354">
        <f t="shared" si="132"/>
        <v>0</v>
      </c>
      <c r="AB354">
        <f t="shared" si="133"/>
        <v>0</v>
      </c>
      <c r="AC354">
        <f t="shared" si="134"/>
        <v>0</v>
      </c>
    </row>
    <row r="355" spans="1:29" x14ac:dyDescent="0.2">
      <c r="A355">
        <v>354</v>
      </c>
      <c r="B355">
        <f>LoanPool!L355</f>
        <v>0</v>
      </c>
      <c r="C355">
        <f>LoanPool!M355</f>
        <v>0</v>
      </c>
      <c r="D355">
        <f>LoanPool!H355</f>
        <v>0</v>
      </c>
      <c r="E355">
        <f t="shared" si="135"/>
        <v>0</v>
      </c>
      <c r="F355">
        <f t="shared" si="136"/>
        <v>0</v>
      </c>
      <c r="G355">
        <f t="shared" si="137"/>
        <v>1.2834789231419563E-8</v>
      </c>
      <c r="H355">
        <f t="shared" si="115"/>
        <v>0</v>
      </c>
      <c r="I355">
        <f t="shared" si="116"/>
        <v>0</v>
      </c>
      <c r="J355">
        <f t="shared" si="117"/>
        <v>0</v>
      </c>
      <c r="K355">
        <f t="shared" si="118"/>
        <v>0</v>
      </c>
      <c r="L355">
        <f t="shared" si="119"/>
        <v>0</v>
      </c>
      <c r="M355">
        <f t="shared" si="120"/>
        <v>1.2834789231419563E-8</v>
      </c>
      <c r="N355">
        <f>K355*Inputs!B6/12</f>
        <v>0</v>
      </c>
      <c r="O355">
        <f t="shared" si="121"/>
        <v>0</v>
      </c>
      <c r="P355">
        <f t="shared" si="122"/>
        <v>0</v>
      </c>
      <c r="Q355">
        <f>L355*Inputs!B6/12</f>
        <v>0</v>
      </c>
      <c r="R355">
        <f t="shared" si="123"/>
        <v>0</v>
      </c>
      <c r="S355">
        <f t="shared" si="124"/>
        <v>0</v>
      </c>
      <c r="T355">
        <f t="shared" si="125"/>
        <v>0</v>
      </c>
      <c r="U355">
        <f t="shared" si="126"/>
        <v>0</v>
      </c>
      <c r="V355">
        <f t="shared" si="127"/>
        <v>0</v>
      </c>
      <c r="W355">
        <f t="shared" si="128"/>
        <v>0</v>
      </c>
      <c r="X355">
        <f t="shared" si="129"/>
        <v>0</v>
      </c>
      <c r="Y355">
        <f t="shared" si="130"/>
        <v>0</v>
      </c>
      <c r="Z355">
        <f t="shared" si="131"/>
        <v>1.2834789231419563E-8</v>
      </c>
      <c r="AA355">
        <f t="shared" si="132"/>
        <v>0</v>
      </c>
      <c r="AB355">
        <f t="shared" si="133"/>
        <v>0</v>
      </c>
      <c r="AC355">
        <f t="shared" si="134"/>
        <v>0</v>
      </c>
    </row>
    <row r="356" spans="1:29" x14ac:dyDescent="0.2">
      <c r="A356">
        <v>355</v>
      </c>
      <c r="B356">
        <f>LoanPool!L356</f>
        <v>0</v>
      </c>
      <c r="C356">
        <f>LoanPool!M356</f>
        <v>0</v>
      </c>
      <c r="D356">
        <f>LoanPool!H356</f>
        <v>0</v>
      </c>
      <c r="E356">
        <f t="shared" si="135"/>
        <v>0</v>
      </c>
      <c r="F356">
        <f t="shared" si="136"/>
        <v>0</v>
      </c>
      <c r="G356">
        <f t="shared" si="137"/>
        <v>1.2834789231419563E-8</v>
      </c>
      <c r="H356">
        <f t="shared" si="115"/>
        <v>0</v>
      </c>
      <c r="I356">
        <f t="shared" si="116"/>
        <v>0</v>
      </c>
      <c r="J356">
        <f t="shared" si="117"/>
        <v>0</v>
      </c>
      <c r="K356">
        <f t="shared" si="118"/>
        <v>0</v>
      </c>
      <c r="L356">
        <f t="shared" si="119"/>
        <v>0</v>
      </c>
      <c r="M356">
        <f t="shared" si="120"/>
        <v>1.2834789231419563E-8</v>
      </c>
      <c r="N356">
        <f>K356*Inputs!B6/12</f>
        <v>0</v>
      </c>
      <c r="O356">
        <f t="shared" si="121"/>
        <v>0</v>
      </c>
      <c r="P356">
        <f t="shared" si="122"/>
        <v>0</v>
      </c>
      <c r="Q356">
        <f>L356*Inputs!B6/12</f>
        <v>0</v>
      </c>
      <c r="R356">
        <f t="shared" si="123"/>
        <v>0</v>
      </c>
      <c r="S356">
        <f t="shared" si="124"/>
        <v>0</v>
      </c>
      <c r="T356">
        <f t="shared" si="125"/>
        <v>0</v>
      </c>
      <c r="U356">
        <f t="shared" si="126"/>
        <v>0</v>
      </c>
      <c r="V356">
        <f t="shared" si="127"/>
        <v>0</v>
      </c>
      <c r="W356">
        <f t="shared" si="128"/>
        <v>0</v>
      </c>
      <c r="X356">
        <f t="shared" si="129"/>
        <v>0</v>
      </c>
      <c r="Y356">
        <f t="shared" si="130"/>
        <v>0</v>
      </c>
      <c r="Z356">
        <f t="shared" si="131"/>
        <v>1.2834789231419563E-8</v>
      </c>
      <c r="AA356">
        <f t="shared" si="132"/>
        <v>0</v>
      </c>
      <c r="AB356">
        <f t="shared" si="133"/>
        <v>0</v>
      </c>
      <c r="AC356">
        <f t="shared" si="134"/>
        <v>0</v>
      </c>
    </row>
    <row r="357" spans="1:29" x14ac:dyDescent="0.2">
      <c r="A357">
        <v>356</v>
      </c>
      <c r="B357">
        <f>LoanPool!L357</f>
        <v>0</v>
      </c>
      <c r="C357">
        <f>LoanPool!M357</f>
        <v>0</v>
      </c>
      <c r="D357">
        <f>LoanPool!H357</f>
        <v>0</v>
      </c>
      <c r="E357">
        <f t="shared" si="135"/>
        <v>0</v>
      </c>
      <c r="F357">
        <f t="shared" si="136"/>
        <v>0</v>
      </c>
      <c r="G357">
        <f t="shared" si="137"/>
        <v>1.2834789231419563E-8</v>
      </c>
      <c r="H357">
        <f t="shared" si="115"/>
        <v>0</v>
      </c>
      <c r="I357">
        <f t="shared" si="116"/>
        <v>0</v>
      </c>
      <c r="J357">
        <f t="shared" si="117"/>
        <v>0</v>
      </c>
      <c r="K357">
        <f t="shared" si="118"/>
        <v>0</v>
      </c>
      <c r="L357">
        <f t="shared" si="119"/>
        <v>0</v>
      </c>
      <c r="M357">
        <f t="shared" si="120"/>
        <v>1.2834789231419563E-8</v>
      </c>
      <c r="N357">
        <f>K357*Inputs!B6/12</f>
        <v>0</v>
      </c>
      <c r="O357">
        <f t="shared" si="121"/>
        <v>0</v>
      </c>
      <c r="P357">
        <f t="shared" si="122"/>
        <v>0</v>
      </c>
      <c r="Q357">
        <f>L357*Inputs!B6/12</f>
        <v>0</v>
      </c>
      <c r="R357">
        <f t="shared" si="123"/>
        <v>0</v>
      </c>
      <c r="S357">
        <f t="shared" si="124"/>
        <v>0</v>
      </c>
      <c r="T357">
        <f t="shared" si="125"/>
        <v>0</v>
      </c>
      <c r="U357">
        <f t="shared" si="126"/>
        <v>0</v>
      </c>
      <c r="V357">
        <f t="shared" si="127"/>
        <v>0</v>
      </c>
      <c r="W357">
        <f t="shared" si="128"/>
        <v>0</v>
      </c>
      <c r="X357">
        <f t="shared" si="129"/>
        <v>0</v>
      </c>
      <c r="Y357">
        <f t="shared" si="130"/>
        <v>0</v>
      </c>
      <c r="Z357">
        <f t="shared" si="131"/>
        <v>1.2834789231419563E-8</v>
      </c>
      <c r="AA357">
        <f t="shared" si="132"/>
        <v>0</v>
      </c>
      <c r="AB357">
        <f t="shared" si="133"/>
        <v>0</v>
      </c>
      <c r="AC357">
        <f t="shared" si="134"/>
        <v>0</v>
      </c>
    </row>
    <row r="358" spans="1:29" x14ac:dyDescent="0.2">
      <c r="A358">
        <v>357</v>
      </c>
      <c r="B358">
        <f>LoanPool!L358</f>
        <v>0</v>
      </c>
      <c r="C358">
        <f>LoanPool!M358</f>
        <v>0</v>
      </c>
      <c r="D358">
        <f>LoanPool!H358</f>
        <v>0</v>
      </c>
      <c r="E358">
        <f t="shared" si="135"/>
        <v>0</v>
      </c>
      <c r="F358">
        <f t="shared" si="136"/>
        <v>0</v>
      </c>
      <c r="G358">
        <f t="shared" si="137"/>
        <v>1.2834789231419563E-8</v>
      </c>
      <c r="H358">
        <f t="shared" si="115"/>
        <v>0</v>
      </c>
      <c r="I358">
        <f t="shared" si="116"/>
        <v>0</v>
      </c>
      <c r="J358">
        <f t="shared" si="117"/>
        <v>0</v>
      </c>
      <c r="K358">
        <f t="shared" si="118"/>
        <v>0</v>
      </c>
      <c r="L358">
        <f t="shared" si="119"/>
        <v>0</v>
      </c>
      <c r="M358">
        <f t="shared" si="120"/>
        <v>1.2834789231419563E-8</v>
      </c>
      <c r="N358">
        <f>K358*Inputs!B6/12</f>
        <v>0</v>
      </c>
      <c r="O358">
        <f t="shared" si="121"/>
        <v>0</v>
      </c>
      <c r="P358">
        <f t="shared" si="122"/>
        <v>0</v>
      </c>
      <c r="Q358">
        <f>L358*Inputs!B6/12</f>
        <v>0</v>
      </c>
      <c r="R358">
        <f t="shared" si="123"/>
        <v>0</v>
      </c>
      <c r="S358">
        <f t="shared" si="124"/>
        <v>0</v>
      </c>
      <c r="T358">
        <f t="shared" si="125"/>
        <v>0</v>
      </c>
      <c r="U358">
        <f t="shared" si="126"/>
        <v>0</v>
      </c>
      <c r="V358">
        <f t="shared" si="127"/>
        <v>0</v>
      </c>
      <c r="W358">
        <f t="shared" si="128"/>
        <v>0</v>
      </c>
      <c r="X358">
        <f t="shared" si="129"/>
        <v>0</v>
      </c>
      <c r="Y358">
        <f t="shared" si="130"/>
        <v>0</v>
      </c>
      <c r="Z358">
        <f t="shared" si="131"/>
        <v>1.2834789231419563E-8</v>
      </c>
      <c r="AA358">
        <f t="shared" si="132"/>
        <v>0</v>
      </c>
      <c r="AB358">
        <f t="shared" si="133"/>
        <v>0</v>
      </c>
      <c r="AC358">
        <f t="shared" si="134"/>
        <v>0</v>
      </c>
    </row>
    <row r="359" spans="1:29" x14ac:dyDescent="0.2">
      <c r="A359">
        <v>358</v>
      </c>
      <c r="B359">
        <f>LoanPool!L359</f>
        <v>0</v>
      </c>
      <c r="C359">
        <f>LoanPool!M359</f>
        <v>0</v>
      </c>
      <c r="D359">
        <f>LoanPool!H359</f>
        <v>0</v>
      </c>
      <c r="E359">
        <f t="shared" si="135"/>
        <v>0</v>
      </c>
      <c r="F359">
        <f t="shared" si="136"/>
        <v>0</v>
      </c>
      <c r="G359">
        <f t="shared" si="137"/>
        <v>1.2834789231419563E-8</v>
      </c>
      <c r="H359">
        <f t="shared" si="115"/>
        <v>0</v>
      </c>
      <c r="I359">
        <f t="shared" si="116"/>
        <v>0</v>
      </c>
      <c r="J359">
        <f t="shared" si="117"/>
        <v>0</v>
      </c>
      <c r="K359">
        <f t="shared" si="118"/>
        <v>0</v>
      </c>
      <c r="L359">
        <f t="shared" si="119"/>
        <v>0</v>
      </c>
      <c r="M359">
        <f t="shared" si="120"/>
        <v>1.2834789231419563E-8</v>
      </c>
      <c r="N359">
        <f>K359*Inputs!B6/12</f>
        <v>0</v>
      </c>
      <c r="O359">
        <f t="shared" si="121"/>
        <v>0</v>
      </c>
      <c r="P359">
        <f t="shared" si="122"/>
        <v>0</v>
      </c>
      <c r="Q359">
        <f>L359*Inputs!B6/12</f>
        <v>0</v>
      </c>
      <c r="R359">
        <f t="shared" si="123"/>
        <v>0</v>
      </c>
      <c r="S359">
        <f t="shared" si="124"/>
        <v>0</v>
      </c>
      <c r="T359">
        <f t="shared" si="125"/>
        <v>0</v>
      </c>
      <c r="U359">
        <f t="shared" si="126"/>
        <v>0</v>
      </c>
      <c r="V359">
        <f t="shared" si="127"/>
        <v>0</v>
      </c>
      <c r="W359">
        <f t="shared" si="128"/>
        <v>0</v>
      </c>
      <c r="X359">
        <f t="shared" si="129"/>
        <v>0</v>
      </c>
      <c r="Y359">
        <f t="shared" si="130"/>
        <v>0</v>
      </c>
      <c r="Z359">
        <f t="shared" si="131"/>
        <v>1.2834789231419563E-8</v>
      </c>
      <c r="AA359">
        <f t="shared" si="132"/>
        <v>0</v>
      </c>
      <c r="AB359">
        <f t="shared" si="133"/>
        <v>0</v>
      </c>
      <c r="AC359">
        <f t="shared" si="134"/>
        <v>0</v>
      </c>
    </row>
    <row r="360" spans="1:29" x14ac:dyDescent="0.2">
      <c r="A360">
        <v>359</v>
      </c>
      <c r="B360">
        <f>LoanPool!L360</f>
        <v>0</v>
      </c>
      <c r="C360">
        <f>LoanPool!M360</f>
        <v>0</v>
      </c>
      <c r="D360">
        <f>LoanPool!H360</f>
        <v>0</v>
      </c>
      <c r="E360">
        <f t="shared" si="135"/>
        <v>0</v>
      </c>
      <c r="F360">
        <f t="shared" si="136"/>
        <v>0</v>
      </c>
      <c r="G360">
        <f t="shared" si="137"/>
        <v>1.2834789231419563E-8</v>
      </c>
      <c r="H360">
        <f t="shared" si="115"/>
        <v>0</v>
      </c>
      <c r="I360">
        <f t="shared" si="116"/>
        <v>0</v>
      </c>
      <c r="J360">
        <f t="shared" si="117"/>
        <v>0</v>
      </c>
      <c r="K360">
        <f t="shared" si="118"/>
        <v>0</v>
      </c>
      <c r="L360">
        <f t="shared" si="119"/>
        <v>0</v>
      </c>
      <c r="M360">
        <f t="shared" si="120"/>
        <v>1.2834789231419563E-8</v>
      </c>
      <c r="N360">
        <f>K360*Inputs!B6/12</f>
        <v>0</v>
      </c>
      <c r="O360">
        <f t="shared" si="121"/>
        <v>0</v>
      </c>
      <c r="P360">
        <f t="shared" si="122"/>
        <v>0</v>
      </c>
      <c r="Q360">
        <f>L360*Inputs!B6/12</f>
        <v>0</v>
      </c>
      <c r="R360">
        <f t="shared" si="123"/>
        <v>0</v>
      </c>
      <c r="S360">
        <f t="shared" si="124"/>
        <v>0</v>
      </c>
      <c r="T360">
        <f t="shared" si="125"/>
        <v>0</v>
      </c>
      <c r="U360">
        <f t="shared" si="126"/>
        <v>0</v>
      </c>
      <c r="V360">
        <f t="shared" si="127"/>
        <v>0</v>
      </c>
      <c r="W360">
        <f t="shared" si="128"/>
        <v>0</v>
      </c>
      <c r="X360">
        <f t="shared" si="129"/>
        <v>0</v>
      </c>
      <c r="Y360">
        <f t="shared" si="130"/>
        <v>0</v>
      </c>
      <c r="Z360">
        <f t="shared" si="131"/>
        <v>1.2834789231419563E-8</v>
      </c>
      <c r="AA360">
        <f t="shared" si="132"/>
        <v>0</v>
      </c>
      <c r="AB360">
        <f t="shared" si="133"/>
        <v>0</v>
      </c>
      <c r="AC360">
        <f t="shared" si="134"/>
        <v>0</v>
      </c>
    </row>
    <row r="361" spans="1:29" x14ac:dyDescent="0.2">
      <c r="A361">
        <v>360</v>
      </c>
      <c r="B361">
        <f>LoanPool!L361</f>
        <v>0</v>
      </c>
      <c r="C361">
        <f>LoanPool!M361</f>
        <v>0</v>
      </c>
      <c r="D361">
        <f>LoanPool!H361</f>
        <v>0</v>
      </c>
      <c r="E361">
        <f t="shared" si="135"/>
        <v>0</v>
      </c>
      <c r="F361">
        <f t="shared" si="136"/>
        <v>0</v>
      </c>
      <c r="G361">
        <f t="shared" si="137"/>
        <v>1.2834789231419563E-8</v>
      </c>
      <c r="H361">
        <f t="shared" si="115"/>
        <v>0</v>
      </c>
      <c r="I361">
        <f t="shared" si="116"/>
        <v>0</v>
      </c>
      <c r="J361">
        <f t="shared" si="117"/>
        <v>0</v>
      </c>
      <c r="K361">
        <f t="shared" si="118"/>
        <v>0</v>
      </c>
      <c r="L361">
        <f t="shared" si="119"/>
        <v>0</v>
      </c>
      <c r="M361">
        <f t="shared" si="120"/>
        <v>1.2834789231419563E-8</v>
      </c>
      <c r="N361">
        <f>K361*Inputs!B6/12</f>
        <v>0</v>
      </c>
      <c r="O361">
        <f t="shared" si="121"/>
        <v>0</v>
      </c>
      <c r="P361">
        <f t="shared" si="122"/>
        <v>0</v>
      </c>
      <c r="Q361">
        <f>L361*Inputs!B6/12</f>
        <v>0</v>
      </c>
      <c r="R361">
        <f t="shared" si="123"/>
        <v>0</v>
      </c>
      <c r="S361">
        <f t="shared" si="124"/>
        <v>0</v>
      </c>
      <c r="T361">
        <f t="shared" si="125"/>
        <v>0</v>
      </c>
      <c r="U361">
        <f t="shared" si="126"/>
        <v>0</v>
      </c>
      <c r="V361">
        <f t="shared" si="127"/>
        <v>0</v>
      </c>
      <c r="W361">
        <f t="shared" si="128"/>
        <v>0</v>
      </c>
      <c r="X361">
        <f t="shared" si="129"/>
        <v>0</v>
      </c>
      <c r="Y361">
        <f t="shared" si="130"/>
        <v>0</v>
      </c>
      <c r="Z361">
        <f t="shared" si="131"/>
        <v>1.2834789231419563E-8</v>
      </c>
      <c r="AA361">
        <f t="shared" si="132"/>
        <v>0</v>
      </c>
      <c r="AB361">
        <f t="shared" si="133"/>
        <v>0</v>
      </c>
      <c r="AC361">
        <f t="shared" si="134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zoomScale="200" workbookViewId="0">
      <pane ySplit="1" topLeftCell="A2" activePane="bottomLeft" state="frozen"/>
      <selection pane="bottomLeft" activeCell="B13" sqref="B13"/>
    </sheetView>
  </sheetViews>
  <sheetFormatPr baseColWidth="10" defaultColWidth="8.83203125" defaultRowHeight="15" x14ac:dyDescent="0.2"/>
  <cols>
    <col min="1" max="4" width="18" customWidth="1"/>
  </cols>
  <sheetData>
    <row r="1" spans="1:4" x14ac:dyDescent="0.2">
      <c r="A1" s="1" t="s">
        <v>74</v>
      </c>
      <c r="B1" s="1" t="s">
        <v>75</v>
      </c>
      <c r="C1" s="1" t="s">
        <v>76</v>
      </c>
      <c r="D1" s="1" t="s">
        <v>77</v>
      </c>
    </row>
    <row r="2" spans="1:4" x14ac:dyDescent="0.2">
      <c r="A2" t="s">
        <v>11</v>
      </c>
      <c r="B2">
        <v>0.08</v>
      </c>
      <c r="C2">
        <v>1.4999999999999999E-2</v>
      </c>
      <c r="D2">
        <v>0.25</v>
      </c>
    </row>
    <row r="3" spans="1:4" x14ac:dyDescent="0.2">
      <c r="A3" t="s">
        <v>78</v>
      </c>
      <c r="B3">
        <v>0.05</v>
      </c>
      <c r="C3">
        <v>0.03</v>
      </c>
      <c r="D3">
        <v>0.35</v>
      </c>
    </row>
    <row r="4" spans="1:4" x14ac:dyDescent="0.2">
      <c r="A4" t="s">
        <v>79</v>
      </c>
      <c r="B4">
        <v>0.03</v>
      </c>
      <c r="C4">
        <v>0.05</v>
      </c>
      <c r="D4">
        <v>0.45</v>
      </c>
    </row>
    <row r="6" spans="1:4" x14ac:dyDescent="0.2">
      <c r="A6" s="1" t="s">
        <v>80</v>
      </c>
    </row>
    <row r="7" spans="1:4" x14ac:dyDescent="0.2">
      <c r="A7" t="s">
        <v>74</v>
      </c>
      <c r="B7" t="str">
        <f>Inputs!B14</f>
        <v>Base</v>
      </c>
    </row>
    <row r="8" spans="1:4" x14ac:dyDescent="0.2">
      <c r="A8" t="s">
        <v>81</v>
      </c>
      <c r="B8">
        <f>SUM(LoanPool!H2:H361)</f>
        <v>8240256.1615276886</v>
      </c>
    </row>
    <row r="9" spans="1:4" x14ac:dyDescent="0.2">
      <c r="A9" t="s">
        <v>82</v>
      </c>
      <c r="B9">
        <f>Waterfall!X361</f>
        <v>0</v>
      </c>
    </row>
    <row r="10" spans="1:4" x14ac:dyDescent="0.2">
      <c r="A10" t="s">
        <v>83</v>
      </c>
      <c r="B10">
        <f>Waterfall!Y361</f>
        <v>0</v>
      </c>
    </row>
    <row r="11" spans="1:4" x14ac:dyDescent="0.2">
      <c r="A11" t="s">
        <v>84</v>
      </c>
      <c r="B11">
        <f>Waterfall!Z361</f>
        <v>1.2834789231419563E-8</v>
      </c>
    </row>
    <row r="12" spans="1:4" x14ac:dyDescent="0.2">
      <c r="A12" t="s">
        <v>85</v>
      </c>
      <c r="B12" t="str">
        <f>IFERROR(MATCH(TRUE,Waterfall!X2:X361&lt;=0.01,0),"Not Paid")</f>
        <v>Not Paid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8" customWidth="1"/>
  </cols>
  <sheetData>
    <row r="1" spans="1:4" x14ac:dyDescent="0.2">
      <c r="A1" s="1" t="s">
        <v>86</v>
      </c>
      <c r="B1" s="1" t="s">
        <v>87</v>
      </c>
      <c r="C1" s="1" t="s">
        <v>88</v>
      </c>
      <c r="D1" s="1" t="s">
        <v>89</v>
      </c>
    </row>
    <row r="2" spans="1:4" x14ac:dyDescent="0.2">
      <c r="A2" t="s">
        <v>90</v>
      </c>
      <c r="B2">
        <f>MAX(MAX(Waterfall!AA2:AA361),-MIN(Waterfall!AA2:AA361))</f>
        <v>0</v>
      </c>
      <c r="C2" t="str">
        <f>IF(B2&lt;=0.01,"PASS","FAIL")</f>
        <v>PASS</v>
      </c>
      <c r="D2" t="s">
        <v>91</v>
      </c>
    </row>
    <row r="3" spans="1:4" x14ac:dyDescent="0.2">
      <c r="A3" t="s">
        <v>92</v>
      </c>
      <c r="B3">
        <f>MAX(MAX(Waterfall!AB2:AB361),-MIN(Waterfall!AB2:AB361))</f>
        <v>0</v>
      </c>
      <c r="C3" t="str">
        <f>IF(B3&lt;=0.01,"PASS","FAIL")</f>
        <v>PASS</v>
      </c>
      <c r="D3" t="s">
        <v>91</v>
      </c>
    </row>
    <row r="4" spans="1:4" x14ac:dyDescent="0.2">
      <c r="A4" t="s">
        <v>93</v>
      </c>
      <c r="B4">
        <f>MAX(MAX(Waterfall!AC2:AC361),-MIN(Waterfall!AC2:AC361))</f>
        <v>0</v>
      </c>
      <c r="C4" t="str">
        <f>IF(B4&lt;=0.01,"PASS","FAIL")</f>
        <v>PASS</v>
      </c>
      <c r="D4" t="s">
        <v>91</v>
      </c>
    </row>
    <row r="5" spans="1:4" x14ac:dyDescent="0.2">
      <c r="A5" t="s">
        <v>94</v>
      </c>
      <c r="B5">
        <f>MIN(LoanPool!J2:J361,Waterfall!X2:X361,Waterfall!Y2:Y361,Waterfall!Z2:Z361)</f>
        <v>0</v>
      </c>
      <c r="C5" t="str">
        <f>IF(B5&gt;=-0.01,"PASS","FAIL")</f>
        <v>PASS</v>
      </c>
      <c r="D5" t="s">
        <v>95</v>
      </c>
    </row>
    <row r="6" spans="1:4" x14ac:dyDescent="0.2">
      <c r="A6" t="s">
        <v>96</v>
      </c>
      <c r="B6">
        <f>IF(AND(Scenarios!B2&gt;=Scenarios!B3,Scenarios!B3&gt;=Scenarios!B4,Scenarios!C2&lt;=Scenarios!C3,Scenarios!C3&lt;=Scenarios!C4,Scenarios!D2&lt;=Scenarios!D3,Scenarios!D3&lt;=Scenarios!D4),1,0)</f>
        <v>1</v>
      </c>
      <c r="C6" t="str">
        <f>IF(B6=1,"PASS","FAIL")</f>
        <v>PASS</v>
      </c>
      <c r="D6" t="s">
        <v>97</v>
      </c>
    </row>
    <row r="8" spans="1:4" x14ac:dyDescent="0.2">
      <c r="A8" s="1" t="s">
        <v>98</v>
      </c>
    </row>
    <row r="9" spans="1:4" x14ac:dyDescent="0.2">
      <c r="A9" t="s">
        <v>99</v>
      </c>
    </row>
    <row r="10" spans="1:4" x14ac:dyDescent="0.2">
      <c r="A10" t="s">
        <v>100</v>
      </c>
    </row>
    <row r="11" spans="1:4" x14ac:dyDescent="0.2">
      <c r="A11" t="s">
        <v>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8" width="18" customWidth="1"/>
  </cols>
  <sheetData>
    <row r="1" spans="1:8" x14ac:dyDescent="0.2">
      <c r="A1" s="1" t="s">
        <v>74</v>
      </c>
      <c r="B1" s="1" t="s">
        <v>75</v>
      </c>
      <c r="C1" s="1" t="s">
        <v>77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</row>
    <row r="2" spans="1:8" x14ac:dyDescent="0.2">
      <c r="A2" t="s">
        <v>11</v>
      </c>
      <c r="B2">
        <v>0.08</v>
      </c>
      <c r="C2">
        <v>0.25</v>
      </c>
      <c r="D2">
        <v>0.04</v>
      </c>
      <c r="E2">
        <v>0.1</v>
      </c>
      <c r="F2">
        <v>0.35</v>
      </c>
      <c r="G2">
        <v>0.2</v>
      </c>
      <c r="H2">
        <v>0.12</v>
      </c>
    </row>
    <row r="3" spans="1:8" x14ac:dyDescent="0.2">
      <c r="A3" t="s">
        <v>78</v>
      </c>
      <c r="B3">
        <v>0.05</v>
      </c>
      <c r="C3">
        <v>0.35</v>
      </c>
      <c r="D3">
        <v>7.0000000000000007E-2</v>
      </c>
      <c r="E3">
        <v>0.18</v>
      </c>
      <c r="F3">
        <v>0.25</v>
      </c>
      <c r="G3">
        <v>0.28000000000000003</v>
      </c>
      <c r="H3">
        <v>0.08</v>
      </c>
    </row>
    <row r="4" spans="1:8" x14ac:dyDescent="0.2">
      <c r="A4" t="s">
        <v>79</v>
      </c>
      <c r="B4">
        <v>0.03</v>
      </c>
      <c r="C4">
        <v>0.45</v>
      </c>
      <c r="D4">
        <v>0.1</v>
      </c>
      <c r="E4">
        <v>0.28000000000000003</v>
      </c>
      <c r="F4">
        <v>0.18</v>
      </c>
      <c r="G4">
        <v>0.35</v>
      </c>
      <c r="H4">
        <v>0.05</v>
      </c>
    </row>
    <row r="6" spans="1:8" x14ac:dyDescent="0.2">
      <c r="A6" s="1" t="s">
        <v>80</v>
      </c>
    </row>
    <row r="7" spans="1:8" x14ac:dyDescent="0.2">
      <c r="A7" t="s">
        <v>74</v>
      </c>
      <c r="B7" t="str">
        <f>Inputs!B14</f>
        <v>Base</v>
      </c>
    </row>
    <row r="8" spans="1:8" x14ac:dyDescent="0.2">
      <c r="A8" t="s">
        <v>107</v>
      </c>
      <c r="B8">
        <f>SUM(PoolStates_V2!Q2:Q361)</f>
        <v>81618.466816244239</v>
      </c>
    </row>
    <row r="9" spans="1:8" x14ac:dyDescent="0.2">
      <c r="A9" t="s">
        <v>108</v>
      </c>
      <c r="B9">
        <f>MAX(PoolStates_V2!Z2:Z361)</f>
        <v>1.3934425920179299E-2</v>
      </c>
    </row>
    <row r="10" spans="1:8" x14ac:dyDescent="0.2">
      <c r="A10" t="s">
        <v>109</v>
      </c>
      <c r="B10" t="str">
        <f>IFERROR(MATCH(TRUE,PoolStates_V2!B2:B361=1,0),"Not Triggered")</f>
        <v>Not Triggered</v>
      </c>
    </row>
    <row r="11" spans="1:8" x14ac:dyDescent="0.2">
      <c r="A11" t="s">
        <v>82</v>
      </c>
      <c r="B11">
        <f>Waterfall_V2!AP361</f>
        <v>0</v>
      </c>
    </row>
    <row r="12" spans="1:8" x14ac:dyDescent="0.2">
      <c r="A12" t="s">
        <v>83</v>
      </c>
      <c r="B12">
        <f>Waterfall_V2!AQ361</f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3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8" width="15" customWidth="1"/>
  </cols>
  <sheetData>
    <row r="1" spans="1:28" x14ac:dyDescent="0.2">
      <c r="A1" s="1" t="s">
        <v>33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36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39</v>
      </c>
      <c r="Q1" s="1" t="s">
        <v>40</v>
      </c>
      <c r="R1" s="1" t="s">
        <v>43</v>
      </c>
      <c r="S1" s="1" t="s">
        <v>44</v>
      </c>
      <c r="T1" s="1" t="s">
        <v>123</v>
      </c>
      <c r="U1" s="1" t="s">
        <v>124</v>
      </c>
      <c r="V1" s="1" t="s">
        <v>125</v>
      </c>
      <c r="W1" s="1" t="s">
        <v>126</v>
      </c>
      <c r="X1" s="1" t="s">
        <v>127</v>
      </c>
      <c r="Y1" s="1" t="s">
        <v>128</v>
      </c>
      <c r="Z1" s="1" t="s">
        <v>129</v>
      </c>
      <c r="AA1" s="1" t="s">
        <v>130</v>
      </c>
      <c r="AB1" s="1" t="s">
        <v>131</v>
      </c>
    </row>
    <row r="2" spans="1:28" x14ac:dyDescent="0.2">
      <c r="A2">
        <v>1</v>
      </c>
      <c r="B2">
        <f>AA2</f>
        <v>0</v>
      </c>
      <c r="C2">
        <f>Inputs!B3</f>
        <v>300000000</v>
      </c>
      <c r="D2">
        <f>Inputs!B3*(1-Inputs!B25-Inputs!B26)</f>
        <v>295500000</v>
      </c>
      <c r="E2">
        <f>Inputs!B3*Inputs!B25</f>
        <v>3000000</v>
      </c>
      <c r="F2">
        <f>Inputs!B3*Inputs!B26</f>
        <v>1500000</v>
      </c>
      <c r="G2">
        <f>MAX(Inputs!B7-A2+1,0)</f>
        <v>300</v>
      </c>
      <c r="H2">
        <f>IF(AND(A2&lt;=Inputs!B7,D2&gt;0),-PMT(Inputs!B6/12,G2,D2),0)</f>
        <v>1859009.4191589549</v>
      </c>
      <c r="I2">
        <f>IF(AND(A2&lt;=Inputs!B7,D2&gt;0),D2*Inputs!B6/12,0)</f>
        <v>1415937.5</v>
      </c>
      <c r="J2">
        <f t="shared" ref="J2:J65" si="0">MAX(H2-I2,0)</f>
        <v>443071.91915895487</v>
      </c>
      <c r="K2">
        <f>MAX((D2-J2)*Inputs!B32,0)</f>
        <v>23604554.246467285</v>
      </c>
      <c r="L2">
        <f>MAX((D2-J2-K2)*Inputs!B33,0)</f>
        <v>921866.70251399011</v>
      </c>
      <c r="M2">
        <f>MIN(E2*Inputs!B29,E2)</f>
        <v>1050000</v>
      </c>
      <c r="N2">
        <f>MIN((E2-M2)*Inputs!B30,E2-M2)</f>
        <v>390000</v>
      </c>
      <c r="O2">
        <f>MIN(F2*Inputs!B31,F2)</f>
        <v>180000</v>
      </c>
      <c r="P2">
        <f>MIN((F2-O2)*Inputs!B34,F2-O2)</f>
        <v>11538.926460199673</v>
      </c>
      <c r="Q2">
        <f>P2*Inputs!B35</f>
        <v>2884.7316150499182</v>
      </c>
      <c r="R2">
        <f>C2*Inputs!B8/12</f>
        <v>125000</v>
      </c>
      <c r="S2">
        <f t="shared" ref="S2:S65" si="1">MAX(I2-R2,0)</f>
        <v>1290937.5</v>
      </c>
      <c r="T2">
        <f t="shared" ref="T2:T65" si="2">MAX(J2+K2+P2-Q2,0)</f>
        <v>24056280.360471386</v>
      </c>
      <c r="U2">
        <f t="shared" ref="U2:U65" si="3">MAX(D2-J2-K2-L2+M2+O2,0)</f>
        <v>271760507.13185978</v>
      </c>
      <c r="V2">
        <f t="shared" ref="V2:V65" si="4">MAX(E2-M2-N2+L2,0)</f>
        <v>2481866.70251399</v>
      </c>
      <c r="W2">
        <f t="shared" ref="W2:W65" si="5">MAX(F2-O2-P2+N2,0)</f>
        <v>1698461.0735398002</v>
      </c>
      <c r="X2">
        <f t="shared" ref="X2:X65" si="6">U2+V2+W2</f>
        <v>275940834.90791357</v>
      </c>
      <c r="Y2">
        <f>Q2</f>
        <v>2884.7316150499182</v>
      </c>
      <c r="Z2">
        <f>IF(Inputs!B3&gt;0,(V2+W2)/Inputs!B3,0)</f>
        <v>1.3934425920179299E-2</v>
      </c>
      <c r="AA2">
        <f>IF(OR(Y2/Inputs!B3&gt;=Inputs!B23,Z2&gt;=Inputs!B24),1,0)</f>
        <v>0</v>
      </c>
      <c r="AB2">
        <f t="shared" ref="AB2:AB65" si="7">MAX(C2-J2-K2-P2,0)-X2</f>
        <v>0</v>
      </c>
    </row>
    <row r="3" spans="1:28" x14ac:dyDescent="0.2">
      <c r="A3">
        <v>2</v>
      </c>
      <c r="B3">
        <f t="shared" ref="B3:B66" si="8">MAX(B2,AA3)</f>
        <v>0</v>
      </c>
      <c r="C3">
        <f t="shared" ref="C3:C66" si="9">X2</f>
        <v>275940834.90791357</v>
      </c>
      <c r="D3">
        <f t="shared" ref="D3:D66" si="10">U2</f>
        <v>271760507.13185978</v>
      </c>
      <c r="E3">
        <f t="shared" ref="E3:E66" si="11">V2</f>
        <v>2481866.70251399</v>
      </c>
      <c r="F3">
        <f t="shared" ref="F3:F66" si="12">W2</f>
        <v>1698461.0735398002</v>
      </c>
      <c r="G3">
        <f>MAX(Inputs!B7-A3+1,0)</f>
        <v>299</v>
      </c>
      <c r="H3">
        <f>IF(AND(A3&lt;=Inputs!B7,D3&gt;0),-PMT(Inputs!B6/12,G3,D3),0)</f>
        <v>1712230.0628545932</v>
      </c>
      <c r="I3">
        <f>IF(AND(A3&lt;=Inputs!B7,D3&gt;0),D3*Inputs!B6/12,0)</f>
        <v>1302185.7633401614</v>
      </c>
      <c r="J3">
        <f t="shared" si="0"/>
        <v>410044.29951443174</v>
      </c>
      <c r="K3">
        <f>MAX((D3-J3)*Inputs!B32,0)</f>
        <v>21708037.026587632</v>
      </c>
      <c r="L3">
        <f>MAX((D3-J3-K3)*Inputs!B33,0)</f>
        <v>847798.95874318294</v>
      </c>
      <c r="M3">
        <f>MIN(E3*Inputs!B29,E3)</f>
        <v>868653.34587989643</v>
      </c>
      <c r="N3">
        <f>MIN((E3-M3)*Inputs!B30,E3-M3)</f>
        <v>322642.6713268187</v>
      </c>
      <c r="O3">
        <f>MIN(F3*Inputs!B31,F3)</f>
        <v>203815.32882477602</v>
      </c>
      <c r="P3">
        <f>MIN((F3-O3)*Inputs!B34,F3-O3)</f>
        <v>13065.611615391696</v>
      </c>
      <c r="Q3">
        <f>P3*Inputs!B35</f>
        <v>3266.4029038479239</v>
      </c>
      <c r="R3">
        <f>C3*Inputs!B8/12</f>
        <v>114975.34787829733</v>
      </c>
      <c r="S3">
        <f t="shared" si="1"/>
        <v>1187210.4154618641</v>
      </c>
      <c r="T3">
        <f t="shared" si="2"/>
        <v>22127880.534813609</v>
      </c>
      <c r="U3">
        <f t="shared" si="3"/>
        <v>249867095.52171922</v>
      </c>
      <c r="V3">
        <f t="shared" si="4"/>
        <v>2138369.6440504575</v>
      </c>
      <c r="W3">
        <f t="shared" si="5"/>
        <v>1804222.8044264512</v>
      </c>
      <c r="X3">
        <f t="shared" si="6"/>
        <v>253809687.97019613</v>
      </c>
      <c r="Y3">
        <f t="shared" ref="Y3:Y66" si="13">Y2+Q3</f>
        <v>6151.1345188978421</v>
      </c>
      <c r="Z3">
        <f>IF(Inputs!B3&gt;0,(V3+W3)/Inputs!B3,0)</f>
        <v>1.3141974828256362E-2</v>
      </c>
      <c r="AA3">
        <f>IF(OR(Y3/Inputs!B3&gt;=Inputs!B23,Z3&gt;=Inputs!B24),1,0)</f>
        <v>0</v>
      </c>
      <c r="AB3">
        <f t="shared" si="7"/>
        <v>0</v>
      </c>
    </row>
    <row r="4" spans="1:28" x14ac:dyDescent="0.2">
      <c r="A4">
        <v>3</v>
      </c>
      <c r="B4">
        <f t="shared" si="8"/>
        <v>0</v>
      </c>
      <c r="C4">
        <f t="shared" si="9"/>
        <v>253809687.97019613</v>
      </c>
      <c r="D4">
        <f t="shared" si="10"/>
        <v>249867095.52171922</v>
      </c>
      <c r="E4">
        <f t="shared" si="11"/>
        <v>2138369.6440504575</v>
      </c>
      <c r="F4">
        <f t="shared" si="12"/>
        <v>1804222.8044264512</v>
      </c>
      <c r="G4">
        <f>MAX(Inputs!B7-A4+1,0)</f>
        <v>298</v>
      </c>
      <c r="H4">
        <f>IF(AND(A4&lt;=Inputs!B7,D4&gt;0),-PMT(Inputs!B6/12,G4,D4),0)</f>
        <v>1576669.3308895659</v>
      </c>
      <c r="I4">
        <f>IF(AND(A4&lt;=Inputs!B7,D4&gt;0),D4*Inputs!B6/12,0)</f>
        <v>1197279.8327082379</v>
      </c>
      <c r="J4">
        <f t="shared" si="0"/>
        <v>379389.49818132794</v>
      </c>
      <c r="K4">
        <f>MAX((D4-J4)*Inputs!B32,0)</f>
        <v>19959016.481883034</v>
      </c>
      <c r="L4">
        <f>MAX((D4-J4-K4)*Inputs!B33,0)</f>
        <v>779491.6403612924</v>
      </c>
      <c r="M4">
        <f>MIN(E4*Inputs!B29,E4)</f>
        <v>748429.37541766011</v>
      </c>
      <c r="N4">
        <f>MIN((E4-M4)*Inputs!B30,E4-M4)</f>
        <v>277988.0537265595</v>
      </c>
      <c r="O4">
        <f>MIN(F4*Inputs!B31,F4)</f>
        <v>216506.73653117413</v>
      </c>
      <c r="P4">
        <f>MIN((F4-O4)*Inputs!B34,F4-O4)</f>
        <v>13879.196172061358</v>
      </c>
      <c r="Q4">
        <f>P4*Inputs!B35</f>
        <v>3469.7990430153395</v>
      </c>
      <c r="R4">
        <f>C4*Inputs!B8/12</f>
        <v>105754.03665424838</v>
      </c>
      <c r="S4">
        <f t="shared" si="1"/>
        <v>1091525.7960539896</v>
      </c>
      <c r="T4">
        <f t="shared" si="2"/>
        <v>20348815.37719341</v>
      </c>
      <c r="U4">
        <f t="shared" si="3"/>
        <v>229714134.01324242</v>
      </c>
      <c r="V4">
        <f t="shared" si="4"/>
        <v>1891443.8552675303</v>
      </c>
      <c r="W4">
        <f t="shared" si="5"/>
        <v>1851824.9254497753</v>
      </c>
      <c r="X4">
        <f t="shared" si="6"/>
        <v>233457402.79395974</v>
      </c>
      <c r="Y4">
        <f t="shared" si="13"/>
        <v>9620.9335619131816</v>
      </c>
      <c r="Z4">
        <f>IF(Inputs!B3&gt;0,(V4+W4)/Inputs!B3,0)</f>
        <v>1.247756260239102E-2</v>
      </c>
      <c r="AA4">
        <f>IF(OR(Y4/Inputs!B3&gt;=Inputs!B23,Z4&gt;=Inputs!B24),1,0)</f>
        <v>0</v>
      </c>
      <c r="AB4">
        <f t="shared" si="7"/>
        <v>0</v>
      </c>
    </row>
    <row r="5" spans="1:28" x14ac:dyDescent="0.2">
      <c r="A5">
        <v>4</v>
      </c>
      <c r="B5">
        <f t="shared" si="8"/>
        <v>0</v>
      </c>
      <c r="C5">
        <f t="shared" si="9"/>
        <v>233457402.79395974</v>
      </c>
      <c r="D5">
        <f t="shared" si="10"/>
        <v>229714134.01324242</v>
      </c>
      <c r="E5">
        <f t="shared" si="11"/>
        <v>1891443.8552675303</v>
      </c>
      <c r="F5">
        <f t="shared" si="12"/>
        <v>1851824.9254497753</v>
      </c>
      <c r="G5">
        <f>MAX(Inputs!B7-A5+1,0)</f>
        <v>297</v>
      </c>
      <c r="H5">
        <f>IF(AND(A5&lt;=Inputs!B7,D5&gt;0),-PMT(Inputs!B6/12,G5,D5),0)</f>
        <v>1451707.7243732596</v>
      </c>
      <c r="I5">
        <f>IF(AND(A5&lt;=Inputs!B7,D5&gt;0),D5*Inputs!B6/12,0)</f>
        <v>1100713.5588134534</v>
      </c>
      <c r="J5">
        <f t="shared" si="0"/>
        <v>350994.16555980616</v>
      </c>
      <c r="K5">
        <f>MAX((D5-J5)*Inputs!B32,0)</f>
        <v>18349051.187814612</v>
      </c>
      <c r="L5">
        <f>MAX((D5-J5-K5)*Inputs!B33,0)</f>
        <v>716615.07081001811</v>
      </c>
      <c r="M5">
        <f>MIN(E5*Inputs!B29,E5)</f>
        <v>662005.34934363561</v>
      </c>
      <c r="N5">
        <f>MIN((E5-M5)*Inputs!B30,E5-M5)</f>
        <v>245887.70118477894</v>
      </c>
      <c r="O5">
        <f>MIN(F5*Inputs!B31,F5)</f>
        <v>222218.99105397303</v>
      </c>
      <c r="P5">
        <f>MIN((F5-O5)*Inputs!B34,F5-O5)</f>
        <v>14245.381087953132</v>
      </c>
      <c r="Q5">
        <f>P5*Inputs!B35</f>
        <v>3561.345271988283</v>
      </c>
      <c r="R5">
        <f>C5*Inputs!B8/12</f>
        <v>97273.917830816572</v>
      </c>
      <c r="S5">
        <f t="shared" si="1"/>
        <v>1003439.6409826368</v>
      </c>
      <c r="T5">
        <f t="shared" si="2"/>
        <v>18710729.38919038</v>
      </c>
      <c r="U5">
        <f t="shared" si="3"/>
        <v>211181697.92945558</v>
      </c>
      <c r="V5">
        <f t="shared" si="4"/>
        <v>1700165.8755491339</v>
      </c>
      <c r="W5">
        <f t="shared" si="5"/>
        <v>1861248.2544926279</v>
      </c>
      <c r="X5">
        <f t="shared" si="6"/>
        <v>214743112.05949736</v>
      </c>
      <c r="Y5">
        <f t="shared" si="13"/>
        <v>13182.278833901464</v>
      </c>
      <c r="Z5">
        <f>IF(Inputs!B3&gt;0,(V5+W5)/Inputs!B3,0)</f>
        <v>1.187138043347254E-2</v>
      </c>
      <c r="AA5">
        <f>IF(OR(Y5/Inputs!B3&gt;=Inputs!B23,Z5&gt;=Inputs!B24),1,0)</f>
        <v>0</v>
      </c>
      <c r="AB5">
        <f t="shared" si="7"/>
        <v>0</v>
      </c>
    </row>
    <row r="6" spans="1:28" x14ac:dyDescent="0.2">
      <c r="A6">
        <v>5</v>
      </c>
      <c r="B6">
        <f t="shared" si="8"/>
        <v>0</v>
      </c>
      <c r="C6">
        <f t="shared" si="9"/>
        <v>214743112.05949736</v>
      </c>
      <c r="D6">
        <f t="shared" si="10"/>
        <v>211181697.92945558</v>
      </c>
      <c r="E6">
        <f t="shared" si="11"/>
        <v>1700165.8755491339</v>
      </c>
      <c r="F6">
        <f t="shared" si="12"/>
        <v>1861248.2544926279</v>
      </c>
      <c r="G6">
        <f>MAX(Inputs!B7-A6+1,0)</f>
        <v>296</v>
      </c>
      <c r="H6">
        <f>IF(AND(A6&lt;=Inputs!B7,D6&gt;0),-PMT(Inputs!B6/12,G6,D6),0)</f>
        <v>1336631.9554835332</v>
      </c>
      <c r="I6">
        <f>IF(AND(A6&lt;=Inputs!B7,D6&gt;0),D6*Inputs!B6/12,0)</f>
        <v>1011912.3025786415</v>
      </c>
      <c r="J6">
        <f t="shared" si="0"/>
        <v>324719.65290489176</v>
      </c>
      <c r="K6">
        <f>MAX((D6-J6)*Inputs!B32,0)</f>
        <v>16868558.262124054</v>
      </c>
      <c r="L6">
        <f>MAX((D6-J6-K6)*Inputs!B33,0)</f>
        <v>658794.99434295658</v>
      </c>
      <c r="M6">
        <f>MIN(E6*Inputs!B29,E6)</f>
        <v>595058.05644219683</v>
      </c>
      <c r="N6">
        <f>MIN((E6-M6)*Inputs!B30,E6-M6)</f>
        <v>221021.56382138739</v>
      </c>
      <c r="O6">
        <f>MIN(F6*Inputs!B31,F6)</f>
        <v>223349.79053911535</v>
      </c>
      <c r="P6">
        <f>MIN((F6-O6)*Inputs!B34,F6-O6)</f>
        <v>14317.871155176957</v>
      </c>
      <c r="Q6">
        <f>P6*Inputs!B35</f>
        <v>3579.4677887942394</v>
      </c>
      <c r="R6">
        <f>C6*Inputs!B8/12</f>
        <v>89476.296691457232</v>
      </c>
      <c r="S6">
        <f t="shared" si="1"/>
        <v>922436.00588718418</v>
      </c>
      <c r="T6">
        <f t="shared" si="2"/>
        <v>17204016.318395328</v>
      </c>
      <c r="U6">
        <f t="shared" si="3"/>
        <v>194148032.86706498</v>
      </c>
      <c r="V6">
        <f t="shared" si="4"/>
        <v>1542881.2496285061</v>
      </c>
      <c r="W6">
        <f t="shared" si="5"/>
        <v>1844602.156619723</v>
      </c>
      <c r="X6">
        <f t="shared" si="6"/>
        <v>197535516.27331322</v>
      </c>
      <c r="Y6">
        <f t="shared" si="13"/>
        <v>16761.746622695704</v>
      </c>
      <c r="Z6">
        <f>IF(Inputs!B3&gt;0,(V6+W6)/Inputs!B3,0)</f>
        <v>1.1291611354160763E-2</v>
      </c>
      <c r="AA6">
        <f>IF(OR(Y6/Inputs!B3&gt;=Inputs!B23,Z6&gt;=Inputs!B24),1,0)</f>
        <v>0</v>
      </c>
      <c r="AB6">
        <f t="shared" si="7"/>
        <v>0</v>
      </c>
    </row>
    <row r="7" spans="1:28" x14ac:dyDescent="0.2">
      <c r="A7">
        <v>6</v>
      </c>
      <c r="B7">
        <f t="shared" si="8"/>
        <v>0</v>
      </c>
      <c r="C7">
        <f t="shared" si="9"/>
        <v>197535516.27331322</v>
      </c>
      <c r="D7">
        <f t="shared" si="10"/>
        <v>194148032.86706498</v>
      </c>
      <c r="E7">
        <f t="shared" si="11"/>
        <v>1542881.2496285061</v>
      </c>
      <c r="F7">
        <f t="shared" si="12"/>
        <v>1844602.156619723</v>
      </c>
      <c r="G7">
        <f>MAX(Inputs!B7-A7+1,0)</f>
        <v>295</v>
      </c>
      <c r="H7">
        <f>IF(AND(A7&lt;=Inputs!B7,D7&gt;0),-PMT(Inputs!B6/12,G7,D7),0)</f>
        <v>1230713.1921620907</v>
      </c>
      <c r="I7">
        <f>IF(AND(A7&lt;=Inputs!B7,D7&gt;0),D7*Inputs!B6/12,0)</f>
        <v>930292.65748801979</v>
      </c>
      <c r="J7">
        <f t="shared" si="0"/>
        <v>300420.53467407089</v>
      </c>
      <c r="K7">
        <f>MAX((D7-J7)*Inputs!B32,0)</f>
        <v>15507808.986591272</v>
      </c>
      <c r="L7">
        <f>MAX((D7-J7-K7)*Inputs!B33,0)</f>
        <v>605651.45964683127</v>
      </c>
      <c r="M7">
        <f>MIN(E7*Inputs!B29,E7)</f>
        <v>540008.43736997712</v>
      </c>
      <c r="N7">
        <f>MIN((E7-M7)*Inputs!B30,E7-M7)</f>
        <v>200574.5624517058</v>
      </c>
      <c r="O7">
        <f>MIN(F7*Inputs!B31,F7)</f>
        <v>221352.25879436676</v>
      </c>
      <c r="P7">
        <f>MIN((F7-O7)*Inputs!B34,F7-O7)</f>
        <v>14189.819089040466</v>
      </c>
      <c r="Q7">
        <f>P7*Inputs!B35</f>
        <v>3547.4547722601164</v>
      </c>
      <c r="R7">
        <f>C7*Inputs!B8/12</f>
        <v>82306.465113880506</v>
      </c>
      <c r="S7">
        <f t="shared" si="1"/>
        <v>847986.19237413933</v>
      </c>
      <c r="T7">
        <f t="shared" si="2"/>
        <v>15818871.885582123</v>
      </c>
      <c r="U7">
        <f t="shared" si="3"/>
        <v>178495512.58231714</v>
      </c>
      <c r="V7">
        <f t="shared" si="4"/>
        <v>1407949.7094536545</v>
      </c>
      <c r="W7">
        <f t="shared" si="5"/>
        <v>1809634.6411880215</v>
      </c>
      <c r="X7">
        <f t="shared" si="6"/>
        <v>181713096.93295881</v>
      </c>
      <c r="Y7">
        <f t="shared" si="13"/>
        <v>20309.20139495582</v>
      </c>
      <c r="Z7">
        <f>IF(Inputs!B3&gt;0,(V7+W7)/Inputs!B3,0)</f>
        <v>1.0725281168805587E-2</v>
      </c>
      <c r="AA7">
        <f>IF(OR(Y7/Inputs!B3&gt;=Inputs!B23,Z7&gt;=Inputs!B24),1,0)</f>
        <v>0</v>
      </c>
      <c r="AB7">
        <f t="shared" si="7"/>
        <v>0</v>
      </c>
    </row>
    <row r="8" spans="1:28" x14ac:dyDescent="0.2">
      <c r="A8">
        <v>7</v>
      </c>
      <c r="B8">
        <f t="shared" si="8"/>
        <v>0</v>
      </c>
      <c r="C8">
        <f t="shared" si="9"/>
        <v>181713096.93295881</v>
      </c>
      <c r="D8">
        <f t="shared" si="10"/>
        <v>178495512.58231714</v>
      </c>
      <c r="E8">
        <f t="shared" si="11"/>
        <v>1407949.7094536545</v>
      </c>
      <c r="F8">
        <f t="shared" si="12"/>
        <v>1809634.6411880215</v>
      </c>
      <c r="G8">
        <f>MAX(Inputs!B7-A8+1,0)</f>
        <v>294</v>
      </c>
      <c r="H8">
        <f>IF(AND(A8&lt;=Inputs!B7,D8&gt;0),-PMT(Inputs!B6/12,G8,D8),0)</f>
        <v>1133244.7144105749</v>
      </c>
      <c r="I8">
        <f>IF(AND(A8&lt;=Inputs!B7,D8&gt;0),D8*Inputs!B6/12,0)</f>
        <v>855290.99779026967</v>
      </c>
      <c r="J8">
        <f t="shared" si="0"/>
        <v>277953.7166203052</v>
      </c>
      <c r="K8">
        <f>MAX((D8-J8)*Inputs!B32,0)</f>
        <v>14257404.709255747</v>
      </c>
      <c r="L8">
        <f>MAX((D8-J8-K8)*Inputs!B33,0)</f>
        <v>556817.40601799788</v>
      </c>
      <c r="M8">
        <f>MIN(E8*Inputs!B29,E8)</f>
        <v>492782.39830877905</v>
      </c>
      <c r="N8">
        <f>MIN((E8-M8)*Inputs!B30,E8-M8)</f>
        <v>183033.46222897508</v>
      </c>
      <c r="O8">
        <f>MIN(F8*Inputs!B31,F8)</f>
        <v>217156.15694256258</v>
      </c>
      <c r="P8">
        <f>MIN((F8-O8)*Inputs!B34,F8-O8)</f>
        <v>13920.827362998933</v>
      </c>
      <c r="Q8">
        <f>P8*Inputs!B35</f>
        <v>3480.2068407497331</v>
      </c>
      <c r="R8">
        <f>C8*Inputs!B8/12</f>
        <v>75713.790388732843</v>
      </c>
      <c r="S8">
        <f t="shared" si="1"/>
        <v>779577.20740153687</v>
      </c>
      <c r="T8">
        <f t="shared" si="2"/>
        <v>14545799.046398303</v>
      </c>
      <c r="U8">
        <f t="shared" si="3"/>
        <v>164113275.30567446</v>
      </c>
      <c r="V8">
        <f t="shared" si="4"/>
        <v>1288951.2549338983</v>
      </c>
      <c r="W8">
        <f t="shared" si="5"/>
        <v>1761591.119111435</v>
      </c>
      <c r="X8">
        <f t="shared" si="6"/>
        <v>167163817.67971981</v>
      </c>
      <c r="Y8">
        <f t="shared" si="13"/>
        <v>23789.408235705552</v>
      </c>
      <c r="Z8">
        <f>IF(Inputs!B3&gt;0,(V8+W8)/Inputs!B3,0)</f>
        <v>1.0168474580151111E-2</v>
      </c>
      <c r="AA8">
        <f>IF(OR(Y8/Inputs!B3&gt;=Inputs!B23,Z8&gt;=Inputs!B24),1,0)</f>
        <v>0</v>
      </c>
      <c r="AB8">
        <f t="shared" si="7"/>
        <v>0</v>
      </c>
    </row>
    <row r="9" spans="1:28" x14ac:dyDescent="0.2">
      <c r="A9">
        <v>8</v>
      </c>
      <c r="B9">
        <f t="shared" si="8"/>
        <v>0</v>
      </c>
      <c r="C9">
        <f t="shared" si="9"/>
        <v>167163817.67971981</v>
      </c>
      <c r="D9">
        <f t="shared" si="10"/>
        <v>164113275.30567446</v>
      </c>
      <c r="E9">
        <f t="shared" si="11"/>
        <v>1288951.2549338983</v>
      </c>
      <c r="F9">
        <f t="shared" si="12"/>
        <v>1761591.119111435</v>
      </c>
      <c r="G9">
        <f>MAX(Inputs!B7-A9+1,0)</f>
        <v>293</v>
      </c>
      <c r="H9">
        <f>IF(AND(A9&lt;=Inputs!B7,D9&gt;0),-PMT(Inputs!B6/12,G9,D9),0)</f>
        <v>1043558.7996405918</v>
      </c>
      <c r="I9">
        <f>IF(AND(A9&lt;=Inputs!B7,D9&gt;0),D9*Inputs!B6/12,0)</f>
        <v>786376.1108396902</v>
      </c>
      <c r="J9">
        <f t="shared" si="0"/>
        <v>257182.68880090164</v>
      </c>
      <c r="K9">
        <f>MAX((D9-J9)*Inputs!B32,0)</f>
        <v>13108487.409349885</v>
      </c>
      <c r="L9">
        <f>MAX((D9-J9-K9)*Inputs!B33,0)</f>
        <v>511946.88689417206</v>
      </c>
      <c r="M9">
        <f>MIN(E9*Inputs!B29,E9)</f>
        <v>451132.93922686437</v>
      </c>
      <c r="N9">
        <f>MIN((E9-M9)*Inputs!B30,E9-M9)</f>
        <v>167563.66314140681</v>
      </c>
      <c r="O9">
        <f>MIN(F9*Inputs!B31,F9)</f>
        <v>211390.93429337221</v>
      </c>
      <c r="P9">
        <f>MIN((F9-O9)*Inputs!B34,F9-O9)</f>
        <v>13551.246917578461</v>
      </c>
      <c r="Q9">
        <f>P9*Inputs!B35</f>
        <v>3387.8117293946152</v>
      </c>
      <c r="R9">
        <f>C9*Inputs!B8/12</f>
        <v>69651.590699883251</v>
      </c>
      <c r="S9">
        <f t="shared" si="1"/>
        <v>716724.5201398069</v>
      </c>
      <c r="T9">
        <f t="shared" si="2"/>
        <v>13375833.533338971</v>
      </c>
      <c r="U9">
        <f t="shared" si="3"/>
        <v>150898182.19414973</v>
      </c>
      <c r="V9">
        <f t="shared" si="4"/>
        <v>1182201.5394597992</v>
      </c>
      <c r="W9">
        <f t="shared" si="5"/>
        <v>1704212.6010418914</v>
      </c>
      <c r="X9">
        <f t="shared" si="6"/>
        <v>153784596.33465141</v>
      </c>
      <c r="Y9">
        <f t="shared" si="13"/>
        <v>27177.219965100168</v>
      </c>
      <c r="Z9">
        <f>IF(Inputs!B3&gt;0,(V9+W9)/Inputs!B3,0)</f>
        <v>9.6213804683389689E-3</v>
      </c>
      <c r="AA9">
        <f>IF(OR(Y9/Inputs!B3&gt;=Inputs!B23,Z9&gt;=Inputs!B24),1,0)</f>
        <v>0</v>
      </c>
      <c r="AB9">
        <f t="shared" si="7"/>
        <v>0</v>
      </c>
    </row>
    <row r="10" spans="1:28" x14ac:dyDescent="0.2">
      <c r="A10">
        <v>9</v>
      </c>
      <c r="B10">
        <f t="shared" si="8"/>
        <v>0</v>
      </c>
      <c r="C10">
        <f t="shared" si="9"/>
        <v>153784596.33465141</v>
      </c>
      <c r="D10">
        <f t="shared" si="10"/>
        <v>150898182.19414973</v>
      </c>
      <c r="E10">
        <f t="shared" si="11"/>
        <v>1182201.5394597992</v>
      </c>
      <c r="F10">
        <f t="shared" si="12"/>
        <v>1704212.6010418914</v>
      </c>
      <c r="G10">
        <f>MAX(Inputs!B7-A10+1,0)</f>
        <v>292</v>
      </c>
      <c r="H10">
        <f>IF(AND(A10&lt;=Inputs!B7,D10&gt;0),-PMT(Inputs!B6/12,G10,D10),0)</f>
        <v>961033.08313760057</v>
      </c>
      <c r="I10">
        <f>IF(AND(A10&lt;=Inputs!B7,D10&gt;0),D10*Inputs!B6/12,0)</f>
        <v>723053.78968030086</v>
      </c>
      <c r="J10">
        <f t="shared" si="0"/>
        <v>237979.2934572997</v>
      </c>
      <c r="K10">
        <f>MAX((D10-J10)*Inputs!B32,0)</f>
        <v>12052816.232055394</v>
      </c>
      <c r="L10">
        <f>MAX((D10-J10-K10)*Inputs!B33,0)</f>
        <v>470718.05888962786</v>
      </c>
      <c r="M10">
        <f>MIN(E10*Inputs!B29,E10)</f>
        <v>413770.53881092969</v>
      </c>
      <c r="N10">
        <f>MIN((E10-M10)*Inputs!B30,E10-M10)</f>
        <v>153686.2001297739</v>
      </c>
      <c r="O10">
        <f>MIN(F10*Inputs!B31,F10)</f>
        <v>204505.51212502696</v>
      </c>
      <c r="P10">
        <f>MIN((F10-O10)*Inputs!B34,F10-O10)</f>
        <v>13109.855917311992</v>
      </c>
      <c r="Q10">
        <f>P10*Inputs!B35</f>
        <v>3277.463979327998</v>
      </c>
      <c r="R10">
        <f>C10*Inputs!B8/12</f>
        <v>64076.91513943809</v>
      </c>
      <c r="S10">
        <f t="shared" si="1"/>
        <v>658976.87454086274</v>
      </c>
      <c r="T10">
        <f t="shared" si="2"/>
        <v>12300627.917450678</v>
      </c>
      <c r="U10">
        <f t="shared" si="3"/>
        <v>138754944.66068336</v>
      </c>
      <c r="V10">
        <f t="shared" si="4"/>
        <v>1085462.8594087234</v>
      </c>
      <c r="W10">
        <f t="shared" si="5"/>
        <v>1640283.4331293264</v>
      </c>
      <c r="X10">
        <f t="shared" si="6"/>
        <v>141480690.95322144</v>
      </c>
      <c r="Y10">
        <f t="shared" si="13"/>
        <v>30454.683944428165</v>
      </c>
      <c r="Z10">
        <f>IF(Inputs!B3&gt;0,(V10+W10)/Inputs!B3,0)</f>
        <v>9.0858209751268314E-3</v>
      </c>
      <c r="AA10">
        <f>IF(OR(Y10/Inputs!B3&gt;=Inputs!B23,Z10&gt;=Inputs!B24),1,0)</f>
        <v>0</v>
      </c>
      <c r="AB10">
        <f t="shared" si="7"/>
        <v>0</v>
      </c>
    </row>
    <row r="11" spans="1:28" x14ac:dyDescent="0.2">
      <c r="A11">
        <v>10</v>
      </c>
      <c r="B11">
        <f t="shared" si="8"/>
        <v>0</v>
      </c>
      <c r="C11">
        <f t="shared" si="9"/>
        <v>141480690.95322144</v>
      </c>
      <c r="D11">
        <f t="shared" si="10"/>
        <v>138754944.66068336</v>
      </c>
      <c r="E11">
        <f t="shared" si="11"/>
        <v>1085462.8594087234</v>
      </c>
      <c r="F11">
        <f t="shared" si="12"/>
        <v>1640283.4331293264</v>
      </c>
      <c r="G11">
        <f>MAX(Inputs!B7-A11+1,0)</f>
        <v>291</v>
      </c>
      <c r="H11">
        <f>IF(AND(A11&lt;=Inputs!B7,D11&gt;0),-PMT(Inputs!B6/12,G11,D11),0)</f>
        <v>885091.68115046271</v>
      </c>
      <c r="I11">
        <f>IF(AND(A11&lt;=Inputs!B7,D11&gt;0),D11*Inputs!B6/12,0)</f>
        <v>664867.44316577446</v>
      </c>
      <c r="J11">
        <f t="shared" si="0"/>
        <v>220224.23798468825</v>
      </c>
      <c r="K11">
        <f>MAX((D11-J11)*Inputs!B32,0)</f>
        <v>11082777.633815894</v>
      </c>
      <c r="L11">
        <f>MAX((D11-J11-K11)*Inputs!B33,0)</f>
        <v>432833.57801644306</v>
      </c>
      <c r="M11">
        <f>MIN(E11*Inputs!B29,E11)</f>
        <v>379912.00079305319</v>
      </c>
      <c r="N11">
        <f>MIN((E11-M11)*Inputs!B30,E11-M11)</f>
        <v>141110.17172313406</v>
      </c>
      <c r="O11">
        <f>MIN(F11*Inputs!B31,F11)</f>
        <v>196834.01197551916</v>
      </c>
      <c r="P11">
        <f>MIN((F11-O11)*Inputs!B34,F11-O11)</f>
        <v>12618.073272508764</v>
      </c>
      <c r="Q11">
        <f>P11*Inputs!B35</f>
        <v>3154.5183181271909</v>
      </c>
      <c r="R11">
        <f>C11*Inputs!B8/12</f>
        <v>58950.287897175607</v>
      </c>
      <c r="S11">
        <f t="shared" si="1"/>
        <v>605917.15526859881</v>
      </c>
      <c r="T11">
        <f t="shared" si="2"/>
        <v>11312465.426754965</v>
      </c>
      <c r="U11">
        <f t="shared" si="3"/>
        <v>127595855.2236349</v>
      </c>
      <c r="V11">
        <f t="shared" si="4"/>
        <v>997274.2649089793</v>
      </c>
      <c r="W11">
        <f t="shared" si="5"/>
        <v>1571941.5196044326</v>
      </c>
      <c r="X11">
        <f t="shared" si="6"/>
        <v>130165071.00814831</v>
      </c>
      <c r="Y11">
        <f t="shared" si="13"/>
        <v>33609.202262555358</v>
      </c>
      <c r="Z11">
        <f>IF(Inputs!B3&gt;0,(V11+W11)/Inputs!B3,0)</f>
        <v>8.564052615044707E-3</v>
      </c>
      <c r="AA11">
        <f>IF(OR(Y11/Inputs!B3&gt;=Inputs!B23,Z11&gt;=Inputs!B24),1,0)</f>
        <v>0</v>
      </c>
      <c r="AB11">
        <f t="shared" si="7"/>
        <v>0</v>
      </c>
    </row>
    <row r="12" spans="1:28" x14ac:dyDescent="0.2">
      <c r="A12">
        <v>11</v>
      </c>
      <c r="B12">
        <f t="shared" si="8"/>
        <v>0</v>
      </c>
      <c r="C12">
        <f t="shared" si="9"/>
        <v>130165071.00814831</v>
      </c>
      <c r="D12">
        <f t="shared" si="10"/>
        <v>127595855.2236349</v>
      </c>
      <c r="E12">
        <f t="shared" si="11"/>
        <v>997274.2649089793</v>
      </c>
      <c r="F12">
        <f t="shared" si="12"/>
        <v>1571941.5196044326</v>
      </c>
      <c r="G12">
        <f>MAX(Inputs!B7-A12+1,0)</f>
        <v>290</v>
      </c>
      <c r="H12">
        <f>IF(AND(A12&lt;=Inputs!B7,D12&gt;0),-PMT(Inputs!B6/12,G12,D12),0)</f>
        <v>815203.79629837547</v>
      </c>
      <c r="I12">
        <f>IF(AND(A12&lt;=Inputs!B7,D12&gt;0),D12*Inputs!B6/12,0)</f>
        <v>611396.80627991725</v>
      </c>
      <c r="J12">
        <f t="shared" si="0"/>
        <v>203806.99001845822</v>
      </c>
      <c r="K12">
        <f>MAX((D12-J12)*Inputs!B32,0)</f>
        <v>10191363.858689316</v>
      </c>
      <c r="L12">
        <f>MAX((D12-J12-K12)*Inputs!B33,0)</f>
        <v>398019.75908679847</v>
      </c>
      <c r="M12">
        <f>MIN(E12*Inputs!B29,E12)</f>
        <v>349045.99271814275</v>
      </c>
      <c r="N12">
        <f>MIN((E12-M12)*Inputs!B30,E12-M12)</f>
        <v>129645.6544381673</v>
      </c>
      <c r="O12">
        <f>MIN(F12*Inputs!B31,F12)</f>
        <v>188632.98235253192</v>
      </c>
      <c r="P12">
        <f>MIN((F12-O12)*Inputs!B34,F12-O12)</f>
        <v>12092.345062966713</v>
      </c>
      <c r="Q12">
        <f>P12*Inputs!B35</f>
        <v>3023.0862657416783</v>
      </c>
      <c r="R12">
        <f>C12*Inputs!B8/12</f>
        <v>54235.446253395137</v>
      </c>
      <c r="S12">
        <f t="shared" si="1"/>
        <v>557161.36002652207</v>
      </c>
      <c r="T12">
        <f t="shared" si="2"/>
        <v>10404240.107505001</v>
      </c>
      <c r="U12">
        <f t="shared" si="3"/>
        <v>117340343.590911</v>
      </c>
      <c r="V12">
        <f t="shared" si="4"/>
        <v>916602.37683946767</v>
      </c>
      <c r="W12">
        <f t="shared" si="5"/>
        <v>1500861.8466271013</v>
      </c>
      <c r="X12">
        <f t="shared" si="6"/>
        <v>119757807.81437758</v>
      </c>
      <c r="Y12">
        <f t="shared" si="13"/>
        <v>36632.288528297038</v>
      </c>
      <c r="Z12">
        <f>IF(Inputs!B3&gt;0,(V12+W12)/Inputs!B3,0)</f>
        <v>8.058214078221897E-3</v>
      </c>
      <c r="AA12">
        <f>IF(OR(Y12/Inputs!B3&gt;=Inputs!B23,Z12&gt;=Inputs!B24),1,0)</f>
        <v>0</v>
      </c>
      <c r="AB12">
        <f t="shared" si="7"/>
        <v>0</v>
      </c>
    </row>
    <row r="13" spans="1:28" x14ac:dyDescent="0.2">
      <c r="A13">
        <v>12</v>
      </c>
      <c r="B13">
        <f t="shared" si="8"/>
        <v>0</v>
      </c>
      <c r="C13">
        <f t="shared" si="9"/>
        <v>119757807.81437758</v>
      </c>
      <c r="D13">
        <f t="shared" si="10"/>
        <v>117340343.590911</v>
      </c>
      <c r="E13">
        <f t="shared" si="11"/>
        <v>916602.37683946767</v>
      </c>
      <c r="F13">
        <f t="shared" si="12"/>
        <v>1500861.8466271013</v>
      </c>
      <c r="G13">
        <f>MAX(Inputs!B7-A13+1,0)</f>
        <v>289</v>
      </c>
      <c r="H13">
        <f>IF(AND(A13&lt;=Inputs!B7,D13&gt;0),-PMT(Inputs!B6/12,G13,D13),0)</f>
        <v>750881.19612338918</v>
      </c>
      <c r="I13">
        <f>IF(AND(A13&lt;=Inputs!B7,D13&gt;0),D13*Inputs!B6/12,0)</f>
        <v>562255.81303978187</v>
      </c>
      <c r="J13">
        <f t="shared" si="0"/>
        <v>188625.3830836073</v>
      </c>
      <c r="K13">
        <f>MAX((D13-J13)*Inputs!B32,0)</f>
        <v>9372137.4566261917</v>
      </c>
      <c r="L13">
        <f>MAX((D13-J13-K13)*Inputs!B33,0)</f>
        <v>366025.18998811021</v>
      </c>
      <c r="M13">
        <f>MIN(E13*Inputs!B29,E13)</f>
        <v>320810.83189381368</v>
      </c>
      <c r="N13">
        <f>MIN((E13-M13)*Inputs!B30,E13-M13)</f>
        <v>119158.3089891308</v>
      </c>
      <c r="O13">
        <f>MIN(F13*Inputs!B31,F13)</f>
        <v>180103.42159525215</v>
      </c>
      <c r="P13">
        <f>MIN((F13-O13)*Inputs!B34,F13-O13)</f>
        <v>11545.5563167664</v>
      </c>
      <c r="Q13">
        <f>P13*Inputs!B35</f>
        <v>2886.3890791916001</v>
      </c>
      <c r="R13">
        <f>C13*Inputs!B8/12</f>
        <v>49899.08658932399</v>
      </c>
      <c r="S13">
        <f t="shared" si="1"/>
        <v>512356.72645045788</v>
      </c>
      <c r="T13">
        <f t="shared" si="2"/>
        <v>9569422.0069473758</v>
      </c>
      <c r="U13">
        <f t="shared" si="3"/>
        <v>107914469.81470215</v>
      </c>
      <c r="V13">
        <f t="shared" si="4"/>
        <v>842658.42594463343</v>
      </c>
      <c r="W13">
        <f t="shared" si="5"/>
        <v>1428371.1777042137</v>
      </c>
      <c r="X13">
        <f t="shared" si="6"/>
        <v>110185499.41835099</v>
      </c>
      <c r="Y13">
        <f t="shared" si="13"/>
        <v>39518.677607488637</v>
      </c>
      <c r="Z13">
        <f>IF(Inputs!B3&gt;0,(V13+W13)/Inputs!B3,0)</f>
        <v>7.5700986788294899E-3</v>
      </c>
      <c r="AA13">
        <f>IF(OR(Y13/Inputs!B3&gt;=Inputs!B23,Z13&gt;=Inputs!B24),1,0)</f>
        <v>0</v>
      </c>
      <c r="AB13">
        <f t="shared" si="7"/>
        <v>0</v>
      </c>
    </row>
    <row r="14" spans="1:28" x14ac:dyDescent="0.2">
      <c r="A14">
        <v>13</v>
      </c>
      <c r="B14">
        <f t="shared" si="8"/>
        <v>0</v>
      </c>
      <c r="C14">
        <f t="shared" si="9"/>
        <v>110185499.41835099</v>
      </c>
      <c r="D14">
        <f t="shared" si="10"/>
        <v>107914469.81470215</v>
      </c>
      <c r="E14">
        <f t="shared" si="11"/>
        <v>842658.42594463343</v>
      </c>
      <c r="F14">
        <f t="shared" si="12"/>
        <v>1428371.1777042137</v>
      </c>
      <c r="G14">
        <f>MAX(Inputs!B7-A14+1,0)</f>
        <v>288</v>
      </c>
      <c r="H14">
        <f>IF(AND(A14&lt;=Inputs!B7,D14&gt;0),-PMT(Inputs!B6/12,G14,D14),0)</f>
        <v>691675.26872918638</v>
      </c>
      <c r="I14">
        <f>IF(AND(A14&lt;=Inputs!B7,D14&gt;0),D14*Inputs!B6/12,0)</f>
        <v>517090.1678621145</v>
      </c>
      <c r="J14">
        <f t="shared" si="0"/>
        <v>174585.10086707189</v>
      </c>
      <c r="K14">
        <f>MAX((D14-J14)*Inputs!B32,0)</f>
        <v>8619190.7771068066</v>
      </c>
      <c r="L14">
        <f>MAX((D14-J14-K14)*Inputs!B33,0)</f>
        <v>336619.14972275432</v>
      </c>
      <c r="M14">
        <f>MIN(E14*Inputs!B29,E14)</f>
        <v>294930.44908062171</v>
      </c>
      <c r="N14">
        <f>MIN((E14-M14)*Inputs!B30,E14-M14)</f>
        <v>109545.59537280235</v>
      </c>
      <c r="O14">
        <f>MIN(F14*Inputs!B31,F14)</f>
        <v>171404.54132450564</v>
      </c>
      <c r="P14">
        <f>MIN((F14-O14)*Inputs!B34,F14-O14)</f>
        <v>10987.913318265146</v>
      </c>
      <c r="Q14">
        <f>P14*Inputs!B35</f>
        <v>2746.9783295662864</v>
      </c>
      <c r="R14">
        <f>C14*Inputs!B8/12</f>
        <v>45910.624757646256</v>
      </c>
      <c r="S14">
        <f t="shared" si="1"/>
        <v>471179.54310446826</v>
      </c>
      <c r="T14">
        <f t="shared" si="2"/>
        <v>8802016.8129625786</v>
      </c>
      <c r="U14">
        <f t="shared" si="3"/>
        <v>99250409.777410641</v>
      </c>
      <c r="V14">
        <f t="shared" si="4"/>
        <v>774801.53121396364</v>
      </c>
      <c r="W14">
        <f t="shared" si="5"/>
        <v>1355524.3184342452</v>
      </c>
      <c r="X14">
        <f t="shared" si="6"/>
        <v>101380735.62705885</v>
      </c>
      <c r="Y14">
        <f t="shared" si="13"/>
        <v>42265.655937054922</v>
      </c>
      <c r="Z14">
        <f>IF(Inputs!B3&gt;0,(V14+W14)/Inputs!B3,0)</f>
        <v>7.1010861654940294E-3</v>
      </c>
      <c r="AA14">
        <f>IF(OR(Y14/Inputs!B3&gt;=Inputs!B23,Z14&gt;=Inputs!B24),1,0)</f>
        <v>0</v>
      </c>
      <c r="AB14">
        <f t="shared" si="7"/>
        <v>0</v>
      </c>
    </row>
    <row r="15" spans="1:28" x14ac:dyDescent="0.2">
      <c r="A15">
        <v>14</v>
      </c>
      <c r="B15">
        <f t="shared" si="8"/>
        <v>0</v>
      </c>
      <c r="C15">
        <f t="shared" si="9"/>
        <v>101380735.62705885</v>
      </c>
      <c r="D15">
        <f t="shared" si="10"/>
        <v>99250409.777410641</v>
      </c>
      <c r="E15">
        <f t="shared" si="11"/>
        <v>774801.53121396364</v>
      </c>
      <c r="F15">
        <f t="shared" si="12"/>
        <v>1355524.3184342452</v>
      </c>
      <c r="G15">
        <f>MAX(Inputs!B7-A15+1,0)</f>
        <v>287</v>
      </c>
      <c r="H15">
        <f>IF(AND(A15&lt;=Inputs!B7,D15&gt;0),-PMT(Inputs!B6/12,G15,D15),0)</f>
        <v>637174.00511991652</v>
      </c>
      <c r="I15">
        <f>IF(AND(A15&lt;=Inputs!B7,D15&gt;0),D15*Inputs!B6/12,0)</f>
        <v>475574.88018342602</v>
      </c>
      <c r="J15">
        <f t="shared" si="0"/>
        <v>161599.12493649049</v>
      </c>
      <c r="K15">
        <f>MAX((D15-J15)*Inputs!B32,0)</f>
        <v>7927104.8521979321</v>
      </c>
      <c r="L15">
        <f>MAX((D15-J15-K15)*Inputs!B33,0)</f>
        <v>309590.00260180945</v>
      </c>
      <c r="M15">
        <f>MIN(E15*Inputs!B29,E15)</f>
        <v>271180.53592488728</v>
      </c>
      <c r="N15">
        <f>MIN((E15-M15)*Inputs!B30,E15-M15)</f>
        <v>100724.19905781528</v>
      </c>
      <c r="O15">
        <f>MIN(F15*Inputs!B31,F15)</f>
        <v>162662.91821210942</v>
      </c>
      <c r="P15">
        <f>MIN((F15-O15)*Inputs!B34,F15-O15)</f>
        <v>10427.530283616692</v>
      </c>
      <c r="Q15">
        <f>P15*Inputs!B35</f>
        <v>2606.882570904173</v>
      </c>
      <c r="R15">
        <f>C15*Inputs!B8/12</f>
        <v>42241.973177941189</v>
      </c>
      <c r="S15">
        <f t="shared" si="1"/>
        <v>433332.90700548486</v>
      </c>
      <c r="T15">
        <f t="shared" si="2"/>
        <v>8096524.6248471355</v>
      </c>
      <c r="U15">
        <f t="shared" si="3"/>
        <v>91285959.251811415</v>
      </c>
      <c r="V15">
        <f t="shared" si="4"/>
        <v>712486.79883307056</v>
      </c>
      <c r="W15">
        <f t="shared" si="5"/>
        <v>1283158.0689963344</v>
      </c>
      <c r="X15">
        <f t="shared" si="6"/>
        <v>93281604.119640827</v>
      </c>
      <c r="Y15">
        <f t="shared" si="13"/>
        <v>44872.538507959092</v>
      </c>
      <c r="Z15">
        <f>IF(Inputs!B3&gt;0,(V15+W15)/Inputs!B3,0)</f>
        <v>6.6521495594313498E-3</v>
      </c>
      <c r="AA15">
        <f>IF(OR(Y15/Inputs!B3&gt;=Inputs!B23,Z15&gt;=Inputs!B24),1,0)</f>
        <v>0</v>
      </c>
      <c r="AB15">
        <f t="shared" si="7"/>
        <v>0</v>
      </c>
    </row>
    <row r="16" spans="1:28" x14ac:dyDescent="0.2">
      <c r="A16">
        <v>15</v>
      </c>
      <c r="B16">
        <f t="shared" si="8"/>
        <v>0</v>
      </c>
      <c r="C16">
        <f t="shared" si="9"/>
        <v>93281604.119640827</v>
      </c>
      <c r="D16">
        <f t="shared" si="10"/>
        <v>91285959.251811415</v>
      </c>
      <c r="E16">
        <f t="shared" si="11"/>
        <v>712486.79883307056</v>
      </c>
      <c r="F16">
        <f t="shared" si="12"/>
        <v>1283158.0689963344</v>
      </c>
      <c r="G16">
        <f>MAX(Inputs!B7-A16+1,0)</f>
        <v>286</v>
      </c>
      <c r="H16">
        <f>IF(AND(A16&lt;=Inputs!B7,D16&gt;0),-PMT(Inputs!B6/12,G16,D16),0)</f>
        <v>586999.07572498301</v>
      </c>
      <c r="I16">
        <f>IF(AND(A16&lt;=Inputs!B7,D16&gt;0),D16*Inputs!B6/12,0)</f>
        <v>437411.88808159641</v>
      </c>
      <c r="J16">
        <f t="shared" si="0"/>
        <v>149587.1876433866</v>
      </c>
      <c r="K16">
        <f>MAX((D16-J16)*Inputs!B32,0)</f>
        <v>7290909.7651334414</v>
      </c>
      <c r="L16">
        <f>MAX((D16-J16-K16)*Inputs!B33,0)</f>
        <v>284743.65045535797</v>
      </c>
      <c r="M16">
        <f>MIN(E16*Inputs!B29,E16)</f>
        <v>249370.37959157469</v>
      </c>
      <c r="N16">
        <f>MIN((E16-M16)*Inputs!B30,E16-M16)</f>
        <v>92623.283848299179</v>
      </c>
      <c r="O16">
        <f>MIN(F16*Inputs!B31,F16)</f>
        <v>153978.96827956013</v>
      </c>
      <c r="P16">
        <f>MIN((F16-O16)*Inputs!B34,F16-O16)</f>
        <v>9870.8443966403465</v>
      </c>
      <c r="Q16">
        <f>P16*Inputs!B35</f>
        <v>2467.7110991600866</v>
      </c>
      <c r="R16">
        <f>C16*Inputs!B8/12</f>
        <v>38867.33504985035</v>
      </c>
      <c r="S16">
        <f t="shared" si="1"/>
        <v>398544.55303174607</v>
      </c>
      <c r="T16">
        <f t="shared" si="2"/>
        <v>7447900.0860743085</v>
      </c>
      <c r="U16">
        <f t="shared" si="3"/>
        <v>83964067.99645035</v>
      </c>
      <c r="V16">
        <f t="shared" si="4"/>
        <v>655236.78584855469</v>
      </c>
      <c r="W16">
        <f t="shared" si="5"/>
        <v>1211931.5401684332</v>
      </c>
      <c r="X16">
        <f t="shared" si="6"/>
        <v>85831236.322467342</v>
      </c>
      <c r="Y16">
        <f t="shared" si="13"/>
        <v>47340.249607119178</v>
      </c>
      <c r="Z16">
        <f>IF(Inputs!B3&gt;0,(V16+W16)/Inputs!B3,0)</f>
        <v>6.2238944200566264E-3</v>
      </c>
      <c r="AA16">
        <f>IF(OR(Y16/Inputs!B3&gt;=Inputs!B23,Z16&gt;=Inputs!B24),1,0)</f>
        <v>0</v>
      </c>
      <c r="AB16">
        <f t="shared" si="7"/>
        <v>0</v>
      </c>
    </row>
    <row r="17" spans="1:28" x14ac:dyDescent="0.2">
      <c r="A17">
        <v>16</v>
      </c>
      <c r="B17">
        <f t="shared" si="8"/>
        <v>0</v>
      </c>
      <c r="C17">
        <f t="shared" si="9"/>
        <v>85831236.322467342</v>
      </c>
      <c r="D17">
        <f t="shared" si="10"/>
        <v>83964067.99645035</v>
      </c>
      <c r="E17">
        <f t="shared" si="11"/>
        <v>655236.78584855469</v>
      </c>
      <c r="F17">
        <f t="shared" si="12"/>
        <v>1211931.5401684332</v>
      </c>
      <c r="G17">
        <f>MAX(Inputs!B7-A17+1,0)</f>
        <v>285</v>
      </c>
      <c r="H17">
        <f>IF(AND(A17&lt;=Inputs!B7,D17&gt;0),-PMT(Inputs!B6/12,G17,D17),0)</f>
        <v>540803.07556376851</v>
      </c>
      <c r="I17">
        <f>IF(AND(A17&lt;=Inputs!B7,D17&gt;0),D17*Inputs!B6/12,0)</f>
        <v>402327.82581632462</v>
      </c>
      <c r="J17">
        <f t="shared" si="0"/>
        <v>138475.24974744389</v>
      </c>
      <c r="K17">
        <f>MAX((D17-J17)*Inputs!B32,0)</f>
        <v>6706047.4197362326</v>
      </c>
      <c r="L17">
        <f>MAX((D17-J17-K17)*Inputs!B33,0)</f>
        <v>261902.07860671286</v>
      </c>
      <c r="M17">
        <f>MIN(E17*Inputs!B29,E17)</f>
        <v>229332.87504699413</v>
      </c>
      <c r="N17">
        <f>MIN((E17-M17)*Inputs!B30,E17-M17)</f>
        <v>85180.782160312112</v>
      </c>
      <c r="O17">
        <f>MIN(F17*Inputs!B31,F17)</f>
        <v>145431.78482021199</v>
      </c>
      <c r="P17">
        <f>MIN((F17-O17)*Inputs!B34,F17-O17)</f>
        <v>9322.9259445333828</v>
      </c>
      <c r="Q17">
        <f>P17*Inputs!B35</f>
        <v>2330.7314861333457</v>
      </c>
      <c r="R17">
        <f>C17*Inputs!B8/12</f>
        <v>35763.015134361391</v>
      </c>
      <c r="S17">
        <f t="shared" si="1"/>
        <v>366564.81068196322</v>
      </c>
      <c r="T17">
        <f t="shared" si="2"/>
        <v>6851514.8639420765</v>
      </c>
      <c r="U17">
        <f t="shared" si="3"/>
        <v>77232407.908227175</v>
      </c>
      <c r="V17">
        <f t="shared" si="4"/>
        <v>602625.20724796131</v>
      </c>
      <c r="W17">
        <f t="shared" si="5"/>
        <v>1142357.6115639999</v>
      </c>
      <c r="X17">
        <f t="shared" si="6"/>
        <v>78977390.727039129</v>
      </c>
      <c r="Y17">
        <f t="shared" si="13"/>
        <v>49670.981093252522</v>
      </c>
      <c r="Z17">
        <f>IF(Inputs!B3&gt;0,(V17+W17)/Inputs!B3,0)</f>
        <v>5.8166093960398705E-3</v>
      </c>
      <c r="AA17">
        <f>IF(OR(Y17/Inputs!B3&gt;=Inputs!B23,Z17&gt;=Inputs!B24),1,0)</f>
        <v>0</v>
      </c>
      <c r="AB17">
        <f t="shared" si="7"/>
        <v>0</v>
      </c>
    </row>
    <row r="18" spans="1:28" x14ac:dyDescent="0.2">
      <c r="A18">
        <v>17</v>
      </c>
      <c r="B18">
        <f t="shared" si="8"/>
        <v>0</v>
      </c>
      <c r="C18">
        <f t="shared" si="9"/>
        <v>78977390.727039129</v>
      </c>
      <c r="D18">
        <f t="shared" si="10"/>
        <v>77232407.908227175</v>
      </c>
      <c r="E18">
        <f t="shared" si="11"/>
        <v>602625.20724796131</v>
      </c>
      <c r="F18">
        <f t="shared" si="12"/>
        <v>1142357.6115639999</v>
      </c>
      <c r="G18">
        <f>MAX(Inputs!B7-A18+1,0)</f>
        <v>284</v>
      </c>
      <c r="H18">
        <f>IF(AND(A18&lt;=Inputs!B7,D18&gt;0),-PMT(Inputs!B6/12,G18,D18),0)</f>
        <v>498266.96550985746</v>
      </c>
      <c r="I18">
        <f>IF(AND(A18&lt;=Inputs!B7,D18&gt;0),D18*Inputs!B6/12,0)</f>
        <v>370071.95456025522</v>
      </c>
      <c r="J18">
        <f t="shared" si="0"/>
        <v>128195.01094960223</v>
      </c>
      <c r="K18">
        <f>MAX((D18-J18)*Inputs!B32,0)</f>
        <v>6168337.0317822061</v>
      </c>
      <c r="L18">
        <f>MAX((D18-J18-K18)*Inputs!B33,0)</f>
        <v>240902.00815103442</v>
      </c>
      <c r="M18">
        <f>MIN(E18*Inputs!B29,E18)</f>
        <v>210918.82253678644</v>
      </c>
      <c r="N18">
        <f>MIN((E18-M18)*Inputs!B30,E18-M18)</f>
        <v>78341.276942234981</v>
      </c>
      <c r="O18">
        <f>MIN(F18*Inputs!B31,F18)</f>
        <v>137082.91338767999</v>
      </c>
      <c r="P18">
        <f>MIN((F18-O18)*Inputs!B34,F18-O18)</f>
        <v>8787.7203140575584</v>
      </c>
      <c r="Q18">
        <f>P18*Inputs!B35</f>
        <v>2196.9300785143896</v>
      </c>
      <c r="R18">
        <f>C18*Inputs!B8/12</f>
        <v>32907.246136266309</v>
      </c>
      <c r="S18">
        <f t="shared" si="1"/>
        <v>337164.70842398889</v>
      </c>
      <c r="T18">
        <f t="shared" si="2"/>
        <v>6303122.8329673512</v>
      </c>
      <c r="U18">
        <f t="shared" si="3"/>
        <v>71042975.593268797</v>
      </c>
      <c r="V18">
        <f t="shared" si="4"/>
        <v>554267.1159199744</v>
      </c>
      <c r="W18">
        <f t="shared" si="5"/>
        <v>1074828.2548044974</v>
      </c>
      <c r="X18">
        <f t="shared" si="6"/>
        <v>72672070.963993266</v>
      </c>
      <c r="Y18">
        <f t="shared" si="13"/>
        <v>51867.911171766915</v>
      </c>
      <c r="Z18">
        <f>IF(Inputs!B3&gt;0,(V18+W18)/Inputs!B3,0)</f>
        <v>5.4303179024149054E-3</v>
      </c>
      <c r="AA18">
        <f>IF(OR(Y18/Inputs!B3&gt;=Inputs!B23,Z18&gt;=Inputs!B24),1,0)</f>
        <v>0</v>
      </c>
      <c r="AB18">
        <f t="shared" si="7"/>
        <v>0</v>
      </c>
    </row>
    <row r="19" spans="1:28" x14ac:dyDescent="0.2">
      <c r="A19">
        <v>18</v>
      </c>
      <c r="B19">
        <f t="shared" si="8"/>
        <v>0</v>
      </c>
      <c r="C19">
        <f t="shared" si="9"/>
        <v>72672070.963993266</v>
      </c>
      <c r="D19">
        <f t="shared" si="10"/>
        <v>71042975.593268797</v>
      </c>
      <c r="E19">
        <f t="shared" si="11"/>
        <v>554267.1159199744</v>
      </c>
      <c r="F19">
        <f t="shared" si="12"/>
        <v>1074828.2548044974</v>
      </c>
      <c r="G19">
        <f>MAX(Inputs!B7-A19+1,0)</f>
        <v>283</v>
      </c>
      <c r="H19">
        <f>IF(AND(A19&lt;=Inputs!B7,D19&gt;0),-PMT(Inputs!B6/12,G19,D19),0)</f>
        <v>459097.7138539569</v>
      </c>
      <c r="I19">
        <f>IF(AND(A19&lt;=Inputs!B7,D19&gt;0),D19*Inputs!B6/12,0)</f>
        <v>340414.25805107964</v>
      </c>
      <c r="J19">
        <f t="shared" si="0"/>
        <v>118683.45580287726</v>
      </c>
      <c r="K19">
        <f>MAX((D19-J19)*Inputs!B32,0)</f>
        <v>5673943.3709972743</v>
      </c>
      <c r="L19">
        <f>MAX((D19-J19-K19)*Inputs!B33,0)</f>
        <v>221593.65565885228</v>
      </c>
      <c r="M19">
        <f>MIN(E19*Inputs!B29,E19)</f>
        <v>193993.49057199102</v>
      </c>
      <c r="N19">
        <f>MIN((E19-M19)*Inputs!B30,E19-M19)</f>
        <v>72054.72506959668</v>
      </c>
      <c r="O19">
        <f>MIN(F19*Inputs!B31,F19)</f>
        <v>128979.39057653968</v>
      </c>
      <c r="P19">
        <f>MIN((F19-O19)*Inputs!B34,F19-O19)</f>
        <v>8268.2427930225658</v>
      </c>
      <c r="Q19">
        <f>P19*Inputs!B35</f>
        <v>2067.0606982556415</v>
      </c>
      <c r="R19">
        <f>C19*Inputs!B8/12</f>
        <v>30280.02956833053</v>
      </c>
      <c r="S19">
        <f t="shared" si="1"/>
        <v>310134.22848274908</v>
      </c>
      <c r="T19">
        <f t="shared" si="2"/>
        <v>5798828.0088949185</v>
      </c>
      <c r="U19">
        <f t="shared" si="3"/>
        <v>65351727.991958335</v>
      </c>
      <c r="V19">
        <f t="shared" si="4"/>
        <v>509812.55593723897</v>
      </c>
      <c r="W19">
        <f t="shared" si="5"/>
        <v>1009635.3465045318</v>
      </c>
      <c r="X19">
        <f t="shared" si="6"/>
        <v>66871175.894400105</v>
      </c>
      <c r="Y19">
        <f t="shared" si="13"/>
        <v>53934.971870022557</v>
      </c>
      <c r="Z19">
        <f>IF(Inputs!B3&gt;0,(V19+W19)/Inputs!B3,0)</f>
        <v>5.0648263414725695E-3</v>
      </c>
      <c r="AA19">
        <f>IF(OR(Y19/Inputs!B3&gt;=Inputs!B23,Z19&gt;=Inputs!B24),1,0)</f>
        <v>0</v>
      </c>
      <c r="AB19">
        <f t="shared" si="7"/>
        <v>0</v>
      </c>
    </row>
    <row r="20" spans="1:28" x14ac:dyDescent="0.2">
      <c r="A20">
        <v>19</v>
      </c>
      <c r="B20">
        <f t="shared" si="8"/>
        <v>0</v>
      </c>
      <c r="C20">
        <f t="shared" si="9"/>
        <v>66871175.894400105</v>
      </c>
      <c r="D20">
        <f t="shared" si="10"/>
        <v>65351727.991958335</v>
      </c>
      <c r="E20">
        <f t="shared" si="11"/>
        <v>509812.55593723897</v>
      </c>
      <c r="F20">
        <f t="shared" si="12"/>
        <v>1009635.3465045318</v>
      </c>
      <c r="G20">
        <f>MAX(Inputs!B7-A20+1,0)</f>
        <v>282</v>
      </c>
      <c r="H20">
        <f>IF(AND(A20&lt;=Inputs!B7,D20&gt;0),-PMT(Inputs!B6/12,G20,D20),0)</f>
        <v>423026.13129168819</v>
      </c>
      <c r="I20">
        <f>IF(AND(A20&lt;=Inputs!B7,D20&gt;0),D20*Inputs!B6/12,0)</f>
        <v>313143.69662813371</v>
      </c>
      <c r="J20">
        <f t="shared" si="0"/>
        <v>109882.43466355448</v>
      </c>
      <c r="K20">
        <f>MAX((D20-J20)*Inputs!B32,0)</f>
        <v>5219347.6445835819</v>
      </c>
      <c r="L20">
        <f>MAX((D20-J20-K20)*Inputs!B33,0)</f>
        <v>203839.59604348536</v>
      </c>
      <c r="M20">
        <f>MIN(E20*Inputs!B29,E20)</f>
        <v>178434.39457803362</v>
      </c>
      <c r="N20">
        <f>MIN((E20-M20)*Inputs!B30,E20-M20)</f>
        <v>66275.632271841081</v>
      </c>
      <c r="O20">
        <f>MIN(F20*Inputs!B31,F20)</f>
        <v>121156.24158054381</v>
      </c>
      <c r="P20">
        <f>MIN((F20-O20)*Inputs!B34,F20-O20)</f>
        <v>7766.7386766226709</v>
      </c>
      <c r="Q20">
        <f>P20*Inputs!B35</f>
        <v>1941.6846691556677</v>
      </c>
      <c r="R20">
        <f>C20*Inputs!B8/12</f>
        <v>27862.989956000045</v>
      </c>
      <c r="S20">
        <f t="shared" si="1"/>
        <v>285280.70667213365</v>
      </c>
      <c r="T20">
        <f t="shared" si="2"/>
        <v>5335055.1332546035</v>
      </c>
      <c r="U20">
        <f t="shared" si="3"/>
        <v>60118248.952826291</v>
      </c>
      <c r="V20">
        <f t="shared" si="4"/>
        <v>468942.12513084966</v>
      </c>
      <c r="W20">
        <f t="shared" si="5"/>
        <v>946987.99851920642</v>
      </c>
      <c r="X20">
        <f t="shared" si="6"/>
        <v>61534179.076476343</v>
      </c>
      <c r="Y20">
        <f t="shared" si="13"/>
        <v>55876.656539178228</v>
      </c>
      <c r="Z20">
        <f>IF(Inputs!B3&gt;0,(V20+W20)/Inputs!B3,0)</f>
        <v>4.7197670788335202E-3</v>
      </c>
      <c r="AA20">
        <f>IF(OR(Y20/Inputs!B3&gt;=Inputs!B23,Z20&gt;=Inputs!B24),1,0)</f>
        <v>0</v>
      </c>
      <c r="AB20">
        <f t="shared" si="7"/>
        <v>0</v>
      </c>
    </row>
    <row r="21" spans="1:28" x14ac:dyDescent="0.2">
      <c r="A21">
        <v>20</v>
      </c>
      <c r="B21">
        <f t="shared" si="8"/>
        <v>0</v>
      </c>
      <c r="C21">
        <f t="shared" si="9"/>
        <v>61534179.076476343</v>
      </c>
      <c r="D21">
        <f t="shared" si="10"/>
        <v>60118248.952826291</v>
      </c>
      <c r="E21">
        <f t="shared" si="11"/>
        <v>468942.12513084966</v>
      </c>
      <c r="F21">
        <f t="shared" si="12"/>
        <v>946987.99851920642</v>
      </c>
      <c r="G21">
        <f>MAX(Inputs!B7-A21+1,0)</f>
        <v>281</v>
      </c>
      <c r="H21">
        <f>IF(AND(A21&lt;=Inputs!B7,D21&gt;0),-PMT(Inputs!B6/12,G21,D21),0)</f>
        <v>389804.88760409004</v>
      </c>
      <c r="I21">
        <f>IF(AND(A21&lt;=Inputs!B7,D21&gt;0),D21*Inputs!B6/12,0)</f>
        <v>288066.60956562596</v>
      </c>
      <c r="J21">
        <f t="shared" si="0"/>
        <v>101738.27803846408</v>
      </c>
      <c r="K21">
        <f>MAX((D21-J21)*Inputs!B32,0)</f>
        <v>4801320.853983026</v>
      </c>
      <c r="L21">
        <f>MAX((D21-J21-K21)*Inputs!B33,0)</f>
        <v>187513.72201978441</v>
      </c>
      <c r="M21">
        <f>MIN(E21*Inputs!B29,E21)</f>
        <v>164129.74379579737</v>
      </c>
      <c r="N21">
        <f>MIN((E21-M21)*Inputs!B30,E21-M21)</f>
        <v>60962.476267010468</v>
      </c>
      <c r="O21">
        <f>MIN(F21*Inputs!B31,F21)</f>
        <v>113638.55982230477</v>
      </c>
      <c r="P21">
        <f>MIN((F21-O21)*Inputs!B34,F21-O21)</f>
        <v>7284.8165824031994</v>
      </c>
      <c r="Q21">
        <f>P21*Inputs!B35</f>
        <v>1821.2041456007998</v>
      </c>
      <c r="R21">
        <f>C21*Inputs!B8/12</f>
        <v>25639.241281865146</v>
      </c>
      <c r="S21">
        <f t="shared" si="1"/>
        <v>262427.36828376079</v>
      </c>
      <c r="T21">
        <f t="shared" si="2"/>
        <v>4908522.7444582926</v>
      </c>
      <c r="U21">
        <f t="shared" si="3"/>
        <v>55305444.402403124</v>
      </c>
      <c r="V21">
        <f t="shared" si="4"/>
        <v>431363.62708782626</v>
      </c>
      <c r="W21">
        <f t="shared" si="5"/>
        <v>887027.09838150896</v>
      </c>
      <c r="X21">
        <f t="shared" si="6"/>
        <v>56623835.12787246</v>
      </c>
      <c r="Y21">
        <f t="shared" si="13"/>
        <v>57697.860684779029</v>
      </c>
      <c r="Z21">
        <f>IF(Inputs!B3&gt;0,(V21+W21)/Inputs!B3,0)</f>
        <v>4.3946357515644505E-3</v>
      </c>
      <c r="AA21">
        <f>IF(OR(Y21/Inputs!B3&gt;=Inputs!B23,Z21&gt;=Inputs!B24),1,0)</f>
        <v>0</v>
      </c>
      <c r="AB21">
        <f t="shared" si="7"/>
        <v>0</v>
      </c>
    </row>
    <row r="22" spans="1:28" x14ac:dyDescent="0.2">
      <c r="A22">
        <v>21</v>
      </c>
      <c r="B22">
        <f t="shared" si="8"/>
        <v>0</v>
      </c>
      <c r="C22">
        <f t="shared" si="9"/>
        <v>56623835.12787246</v>
      </c>
      <c r="D22">
        <f t="shared" si="10"/>
        <v>55305444.402403124</v>
      </c>
      <c r="E22">
        <f t="shared" si="11"/>
        <v>431363.62708782626</v>
      </c>
      <c r="F22">
        <f t="shared" si="12"/>
        <v>887027.09838150896</v>
      </c>
      <c r="G22">
        <f>MAX(Inputs!B7-A22+1,0)</f>
        <v>280</v>
      </c>
      <c r="H22">
        <f>IF(AND(A22&lt;=Inputs!B7,D22&gt;0),-PMT(Inputs!B6/12,G22,D22),0)</f>
        <v>359206.69657040527</v>
      </c>
      <c r="I22">
        <f>IF(AND(A22&lt;=Inputs!B7,D22&gt;0),D22*Inputs!B6/12,0)</f>
        <v>265005.25442818162</v>
      </c>
      <c r="J22">
        <f t="shared" si="0"/>
        <v>94201.442142223648</v>
      </c>
      <c r="K22">
        <f>MAX((D22-J22)*Inputs!B32,0)</f>
        <v>4416899.4368208721</v>
      </c>
      <c r="L22">
        <f>MAX((D22-J22-K22)*Inputs!B33,0)</f>
        <v>172500.29280969591</v>
      </c>
      <c r="M22">
        <f>MIN(E22*Inputs!B29,E22)</f>
        <v>150977.26948073917</v>
      </c>
      <c r="N22">
        <f>MIN((E22-M22)*Inputs!B30,E22-M22)</f>
        <v>56077.271521417424</v>
      </c>
      <c r="O22">
        <f>MIN(F22*Inputs!B31,F22)</f>
        <v>106443.25180578107</v>
      </c>
      <c r="P22">
        <f>MIN((F22-O22)*Inputs!B34,F22-O22)</f>
        <v>6823.5603042856883</v>
      </c>
      <c r="Q22">
        <f>P22*Inputs!B35</f>
        <v>1705.8900760714221</v>
      </c>
      <c r="R22">
        <f>C22*Inputs!B8/12</f>
        <v>23593.264636613527</v>
      </c>
      <c r="S22">
        <f t="shared" si="1"/>
        <v>241411.98979156811</v>
      </c>
      <c r="T22">
        <f t="shared" si="2"/>
        <v>4516218.549191311</v>
      </c>
      <c r="U22">
        <f t="shared" si="3"/>
        <v>50879263.751916856</v>
      </c>
      <c r="V22">
        <f t="shared" si="4"/>
        <v>396809.37889536563</v>
      </c>
      <c r="W22">
        <f t="shared" si="5"/>
        <v>829837.55779285962</v>
      </c>
      <c r="X22">
        <f t="shared" si="6"/>
        <v>52105910.688605078</v>
      </c>
      <c r="Y22">
        <f t="shared" si="13"/>
        <v>59403.750760850453</v>
      </c>
      <c r="Z22">
        <f>IF(Inputs!B3&gt;0,(V22+W22)/Inputs!B3,0)</f>
        <v>4.0888231222940838E-3</v>
      </c>
      <c r="AA22">
        <f>IF(OR(Y22/Inputs!B3&gt;=Inputs!B23,Z22&gt;=Inputs!B24),1,0)</f>
        <v>0</v>
      </c>
      <c r="AB22">
        <f t="shared" si="7"/>
        <v>0</v>
      </c>
    </row>
    <row r="23" spans="1:28" x14ac:dyDescent="0.2">
      <c r="A23">
        <v>22</v>
      </c>
      <c r="B23">
        <f t="shared" si="8"/>
        <v>0</v>
      </c>
      <c r="C23">
        <f t="shared" si="9"/>
        <v>52105910.688605078</v>
      </c>
      <c r="D23">
        <f t="shared" si="10"/>
        <v>50879263.751916856</v>
      </c>
      <c r="E23">
        <f t="shared" si="11"/>
        <v>396809.37889536563</v>
      </c>
      <c r="F23">
        <f t="shared" si="12"/>
        <v>829837.55779285962</v>
      </c>
      <c r="G23">
        <f>MAX(Inputs!B7-A23+1,0)</f>
        <v>279</v>
      </c>
      <c r="H23">
        <f>IF(AND(A23&lt;=Inputs!B7,D23&gt;0),-PMT(Inputs!B6/12,G23,D23),0)</f>
        <v>331022.65546557173</v>
      </c>
      <c r="I23">
        <f>IF(AND(A23&lt;=Inputs!B7,D23&gt;0),D23*Inputs!B6/12,0)</f>
        <v>243796.4721446016</v>
      </c>
      <c r="J23">
        <f t="shared" si="0"/>
        <v>87226.183320970129</v>
      </c>
      <c r="K23">
        <f>MAX((D23-J23)*Inputs!B32,0)</f>
        <v>4063363.0054876711</v>
      </c>
      <c r="L23">
        <f>MAX((D23-J23-K23)*Inputs!B33,0)</f>
        <v>158693.06473122121</v>
      </c>
      <c r="M23">
        <f>MIN(E23*Inputs!B29,E23)</f>
        <v>138883.28261337796</v>
      </c>
      <c r="N23">
        <f>MIN((E23-M23)*Inputs!B30,E23-M23)</f>
        <v>51585.21925639754</v>
      </c>
      <c r="O23">
        <f>MIN(F23*Inputs!B31,F23)</f>
        <v>99580.506935143145</v>
      </c>
      <c r="P23">
        <f>MIN((F23-O23)*Inputs!B34,F23-O23)</f>
        <v>6383.6230355223352</v>
      </c>
      <c r="Q23">
        <f>P23*Inputs!B35</f>
        <v>1595.9057588805838</v>
      </c>
      <c r="R23">
        <f>C23*Inputs!B8/12</f>
        <v>21710.796120252115</v>
      </c>
      <c r="S23">
        <f t="shared" si="1"/>
        <v>222085.67602434949</v>
      </c>
      <c r="T23">
        <f t="shared" si="2"/>
        <v>4155376.906085283</v>
      </c>
      <c r="U23">
        <f t="shared" si="3"/>
        <v>46808445.287925512</v>
      </c>
      <c r="V23">
        <f t="shared" si="4"/>
        <v>365033.94175681134</v>
      </c>
      <c r="W23">
        <f t="shared" si="5"/>
        <v>775458.64707859175</v>
      </c>
      <c r="X23">
        <f t="shared" si="6"/>
        <v>47948937.876760915</v>
      </c>
      <c r="Y23">
        <f t="shared" si="13"/>
        <v>60999.656519731034</v>
      </c>
      <c r="Z23">
        <f>IF(Inputs!B3&gt;0,(V23+W23)/Inputs!B3,0)</f>
        <v>3.8016419627846768E-3</v>
      </c>
      <c r="AA23">
        <f>IF(OR(Y23/Inputs!B3&gt;=Inputs!B23,Z23&gt;=Inputs!B24),1,0)</f>
        <v>0</v>
      </c>
      <c r="AB23">
        <f t="shared" si="7"/>
        <v>0</v>
      </c>
    </row>
    <row r="24" spans="1:28" x14ac:dyDescent="0.2">
      <c r="A24">
        <v>23</v>
      </c>
      <c r="B24">
        <f t="shared" si="8"/>
        <v>0</v>
      </c>
      <c r="C24">
        <f t="shared" si="9"/>
        <v>47948937.876760915</v>
      </c>
      <c r="D24">
        <f t="shared" si="10"/>
        <v>46808445.287925512</v>
      </c>
      <c r="E24">
        <f t="shared" si="11"/>
        <v>365033.94175681134</v>
      </c>
      <c r="F24">
        <f t="shared" si="12"/>
        <v>775458.64707859175</v>
      </c>
      <c r="G24">
        <f>MAX(Inputs!B7-A24+1,0)</f>
        <v>278</v>
      </c>
      <c r="H24">
        <f>IF(AND(A24&lt;=Inputs!B7,D24&gt;0),-PMT(Inputs!B6/12,G24,D24),0)</f>
        <v>305060.7260340387</v>
      </c>
      <c r="I24">
        <f>IF(AND(A24&lt;=Inputs!B7,D24&gt;0),D24*Inputs!B6/12,0)</f>
        <v>224290.46700464308</v>
      </c>
      <c r="J24">
        <f t="shared" si="0"/>
        <v>80770.259029395616</v>
      </c>
      <c r="K24">
        <f>MAX((D24-J24)*Inputs!B32,0)</f>
        <v>3738214.0023116893</v>
      </c>
      <c r="L24">
        <f>MAX((D24-J24-K24)*Inputs!B33,0)</f>
        <v>145994.49663907377</v>
      </c>
      <c r="M24">
        <f>MIN(E24*Inputs!B29,E24)</f>
        <v>127761.87961488396</v>
      </c>
      <c r="N24">
        <f>MIN((E24-M24)*Inputs!B30,E24-M24)</f>
        <v>47454.412428385476</v>
      </c>
      <c r="O24">
        <f>MIN(F24*Inputs!B31,F24)</f>
        <v>93055.037649431004</v>
      </c>
      <c r="P24">
        <f>MIN((F24-O24)*Inputs!B34,F24-O24)</f>
        <v>5965.3068677105339</v>
      </c>
      <c r="Q24">
        <f>P24*Inputs!B35</f>
        <v>1491.3267169276335</v>
      </c>
      <c r="R24">
        <f>C24*Inputs!B8/12</f>
        <v>19978.724115317047</v>
      </c>
      <c r="S24">
        <f t="shared" si="1"/>
        <v>204311.74288932604</v>
      </c>
      <c r="T24">
        <f t="shared" si="2"/>
        <v>3823458.2414918672</v>
      </c>
      <c r="U24">
        <f t="shared" si="3"/>
        <v>43064283.447209664</v>
      </c>
      <c r="V24">
        <f t="shared" si="4"/>
        <v>335812.14635261567</v>
      </c>
      <c r="W24">
        <f t="shared" si="5"/>
        <v>723892.71498983563</v>
      </c>
      <c r="X24">
        <f t="shared" si="6"/>
        <v>44123988.308552116</v>
      </c>
      <c r="Y24">
        <f t="shared" si="13"/>
        <v>62490.983236658671</v>
      </c>
      <c r="Z24">
        <f>IF(Inputs!B3&gt;0,(V24+W24)/Inputs!B3,0)</f>
        <v>3.532349537808171E-3</v>
      </c>
      <c r="AA24">
        <f>IF(OR(Y24/Inputs!B3&gt;=Inputs!B23,Z24&gt;=Inputs!B24),1,0)</f>
        <v>0</v>
      </c>
      <c r="AB24">
        <f t="shared" si="7"/>
        <v>0</v>
      </c>
    </row>
    <row r="25" spans="1:28" x14ac:dyDescent="0.2">
      <c r="A25">
        <v>24</v>
      </c>
      <c r="B25">
        <f t="shared" si="8"/>
        <v>0</v>
      </c>
      <c r="C25">
        <f t="shared" si="9"/>
        <v>44123988.308552116</v>
      </c>
      <c r="D25">
        <f t="shared" si="10"/>
        <v>43064283.447209664</v>
      </c>
      <c r="E25">
        <f t="shared" si="11"/>
        <v>335812.14635261567</v>
      </c>
      <c r="F25">
        <f t="shared" si="12"/>
        <v>723892.71498983563</v>
      </c>
      <c r="G25">
        <f>MAX(Inputs!B7-A25+1,0)</f>
        <v>277</v>
      </c>
      <c r="H25">
        <f>IF(AND(A25&lt;=Inputs!B7,D25&gt;0),-PMT(Inputs!B6/12,G25,D25),0)</f>
        <v>281144.34468261985</v>
      </c>
      <c r="I25">
        <f>IF(AND(A25&lt;=Inputs!B7,D25&gt;0),D25*Inputs!B6/12,0)</f>
        <v>206349.69151787963</v>
      </c>
      <c r="J25">
        <f t="shared" si="0"/>
        <v>74794.653164740215</v>
      </c>
      <c r="K25">
        <f>MAX((D25-J25)*Inputs!B32,0)</f>
        <v>3439159.1035235943</v>
      </c>
      <c r="L25">
        <f>MAX((D25-J25-K25)*Inputs!B33,0)</f>
        <v>134315.02366373906</v>
      </c>
      <c r="M25">
        <f>MIN(E25*Inputs!B29,E25)</f>
        <v>117534.25122341547</v>
      </c>
      <c r="N25">
        <f>MIN((E25-M25)*Inputs!B30,E25-M25)</f>
        <v>43655.579025840038</v>
      </c>
      <c r="O25">
        <f>MIN(F25*Inputs!B31,F25)</f>
        <v>86867.125798780267</v>
      </c>
      <c r="P25">
        <f>MIN((F25-O25)*Inputs!B34,F25-O25)</f>
        <v>5568.6298688946636</v>
      </c>
      <c r="Q25">
        <f>P25*Inputs!B35</f>
        <v>1392.1574672236659</v>
      </c>
      <c r="R25">
        <f>C25*Inputs!B8/12</f>
        <v>18384.995128563383</v>
      </c>
      <c r="S25">
        <f t="shared" si="1"/>
        <v>187964.69638931626</v>
      </c>
      <c r="T25">
        <f t="shared" si="2"/>
        <v>3518130.2290900056</v>
      </c>
      <c r="U25">
        <f t="shared" si="3"/>
        <v>39620416.043879785</v>
      </c>
      <c r="V25">
        <f t="shared" si="4"/>
        <v>308937.33976709924</v>
      </c>
      <c r="W25">
        <f t="shared" si="5"/>
        <v>675112.53834800073</v>
      </c>
      <c r="X25">
        <f t="shared" si="6"/>
        <v>40604465.921994887</v>
      </c>
      <c r="Y25">
        <f t="shared" si="13"/>
        <v>63883.140703882338</v>
      </c>
      <c r="Z25">
        <f>IF(Inputs!B3&gt;0,(V25+W25)/Inputs!B3,0)</f>
        <v>3.2801662603836666E-3</v>
      </c>
      <c r="AA25">
        <f>IF(OR(Y25/Inputs!B3&gt;=Inputs!B23,Z25&gt;=Inputs!B24),1,0)</f>
        <v>0</v>
      </c>
      <c r="AB25">
        <f t="shared" si="7"/>
        <v>0</v>
      </c>
    </row>
    <row r="26" spans="1:28" x14ac:dyDescent="0.2">
      <c r="A26">
        <v>25</v>
      </c>
      <c r="B26">
        <f t="shared" si="8"/>
        <v>0</v>
      </c>
      <c r="C26">
        <f t="shared" si="9"/>
        <v>40604465.921994887</v>
      </c>
      <c r="D26">
        <f t="shared" si="10"/>
        <v>39620416.043879785</v>
      </c>
      <c r="E26">
        <f t="shared" si="11"/>
        <v>308937.33976709924</v>
      </c>
      <c r="F26">
        <f t="shared" si="12"/>
        <v>675112.53834800073</v>
      </c>
      <c r="G26">
        <f>MAX(Inputs!B7-A26+1,0)</f>
        <v>276</v>
      </c>
      <c r="H26">
        <f>IF(AND(A26&lt;=Inputs!B7,D26&gt;0),-PMT(Inputs!B6/12,G26,D26),0)</f>
        <v>259111.15059019648</v>
      </c>
      <c r="I26">
        <f>IF(AND(A26&lt;=Inputs!B7,D26&gt;0),D26*Inputs!B6/12,0)</f>
        <v>189847.82687692399</v>
      </c>
      <c r="J26">
        <f t="shared" si="0"/>
        <v>69263.32371327249</v>
      </c>
      <c r="K26">
        <f>MAX((D26-J26)*Inputs!B32,0)</f>
        <v>3164092.2176133208</v>
      </c>
      <c r="L26">
        <f>MAX((D26-J26-K26)*Inputs!B33,0)</f>
        <v>123572.39321890254</v>
      </c>
      <c r="M26">
        <f>MIN(E26*Inputs!B29,E26)</f>
        <v>108128.06891848473</v>
      </c>
      <c r="N26">
        <f>MIN((E26-M26)*Inputs!B30,E26-M26)</f>
        <v>40161.854169722908</v>
      </c>
      <c r="O26">
        <f>MIN(F26*Inputs!B31,F26)</f>
        <v>81013.504601760083</v>
      </c>
      <c r="P26">
        <f>MIN((F26-O26)*Inputs!B34,F26-O26)</f>
        <v>5193.3826215708741</v>
      </c>
      <c r="Q26">
        <f>P26*Inputs!B35</f>
        <v>1298.3456553927185</v>
      </c>
      <c r="R26">
        <f>C26*Inputs!B8/12</f>
        <v>16918.527467497868</v>
      </c>
      <c r="S26">
        <f t="shared" si="1"/>
        <v>172929.29940942614</v>
      </c>
      <c r="T26">
        <f t="shared" si="2"/>
        <v>3237250.5782927712</v>
      </c>
      <c r="U26">
        <f t="shared" si="3"/>
        <v>36452629.682854533</v>
      </c>
      <c r="V26">
        <f t="shared" si="4"/>
        <v>284219.80989779416</v>
      </c>
      <c r="W26">
        <f t="shared" si="5"/>
        <v>629067.5052943927</v>
      </c>
      <c r="X26">
        <f t="shared" si="6"/>
        <v>37365916.998046719</v>
      </c>
      <c r="Y26">
        <f t="shared" si="13"/>
        <v>65181.486359275055</v>
      </c>
      <c r="Z26">
        <f>IF(Inputs!B3&gt;0,(V26+W26)/Inputs!B3,0)</f>
        <v>3.044291050640623E-3</v>
      </c>
      <c r="AA26">
        <f>IF(OR(Y26/Inputs!B3&gt;=Inputs!B23,Z26&gt;=Inputs!B24),1,0)</f>
        <v>0</v>
      </c>
      <c r="AB26">
        <f t="shared" si="7"/>
        <v>0</v>
      </c>
    </row>
    <row r="27" spans="1:28" x14ac:dyDescent="0.2">
      <c r="A27">
        <v>26</v>
      </c>
      <c r="B27">
        <f t="shared" si="8"/>
        <v>0</v>
      </c>
      <c r="C27">
        <f t="shared" si="9"/>
        <v>37365916.998046719</v>
      </c>
      <c r="D27">
        <f t="shared" si="10"/>
        <v>36452629.682854533</v>
      </c>
      <c r="E27">
        <f t="shared" si="11"/>
        <v>284219.80989779416</v>
      </c>
      <c r="F27">
        <f t="shared" si="12"/>
        <v>629067.5052943927</v>
      </c>
      <c r="G27">
        <f>MAX(Inputs!B7-A27+1,0)</f>
        <v>275</v>
      </c>
      <c r="H27">
        <f>IF(AND(A27&lt;=Inputs!B7,D27&gt;0),-PMT(Inputs!B6/12,G27,D27),0)</f>
        <v>238811.82138964019</v>
      </c>
      <c r="I27">
        <f>IF(AND(A27&lt;=Inputs!B7,D27&gt;0),D27*Inputs!B6/12,0)</f>
        <v>174668.85056367799</v>
      </c>
      <c r="J27">
        <f t="shared" si="0"/>
        <v>64142.970825962198</v>
      </c>
      <c r="K27">
        <f>MAX((D27-J27)*Inputs!B32,0)</f>
        <v>2911078.9369622855</v>
      </c>
      <c r="L27">
        <f>MAX((D27-J27-K27)*Inputs!B33,0)</f>
        <v>113691.05776598143</v>
      </c>
      <c r="M27">
        <f>MIN(E27*Inputs!B29,E27)</f>
        <v>99476.933464227943</v>
      </c>
      <c r="N27">
        <f>MIN((E27-M27)*Inputs!B30,E27-M27)</f>
        <v>36948.575286713247</v>
      </c>
      <c r="O27">
        <f>MIN(F27*Inputs!B31,F27)</f>
        <v>75488.100635327122</v>
      </c>
      <c r="P27">
        <f>MIN((F27-O27)*Inputs!B34,F27-O27)</f>
        <v>4839.1757880621763</v>
      </c>
      <c r="Q27">
        <f>P27*Inputs!B35</f>
        <v>1209.7939470155441</v>
      </c>
      <c r="R27">
        <f>C27*Inputs!B8/12</f>
        <v>15569.132082519465</v>
      </c>
      <c r="S27">
        <f t="shared" si="1"/>
        <v>159099.71848115852</v>
      </c>
      <c r="T27">
        <f t="shared" si="2"/>
        <v>2978851.2896292945</v>
      </c>
      <c r="U27">
        <f t="shared" si="3"/>
        <v>33538681.75139986</v>
      </c>
      <c r="V27">
        <f t="shared" si="4"/>
        <v>261485.35891283437</v>
      </c>
      <c r="W27">
        <f t="shared" si="5"/>
        <v>585688.80415771657</v>
      </c>
      <c r="X27">
        <f t="shared" si="6"/>
        <v>34385855.914470412</v>
      </c>
      <c r="Y27">
        <f t="shared" si="13"/>
        <v>66391.280306290602</v>
      </c>
      <c r="Z27">
        <f>IF(Inputs!B3&gt;0,(V27+W27)/Inputs!B3,0)</f>
        <v>2.8239138769018362E-3</v>
      </c>
      <c r="AA27">
        <f>IF(OR(Y27/Inputs!B3&gt;=Inputs!B23,Z27&gt;=Inputs!B24),1,0)</f>
        <v>0</v>
      </c>
      <c r="AB27">
        <f t="shared" si="7"/>
        <v>0</v>
      </c>
    </row>
    <row r="28" spans="1:28" x14ac:dyDescent="0.2">
      <c r="A28">
        <v>27</v>
      </c>
      <c r="B28">
        <f t="shared" si="8"/>
        <v>0</v>
      </c>
      <c r="C28">
        <f t="shared" si="9"/>
        <v>34385855.914470412</v>
      </c>
      <c r="D28">
        <f t="shared" si="10"/>
        <v>33538681.75139986</v>
      </c>
      <c r="E28">
        <f t="shared" si="11"/>
        <v>261485.35891283437</v>
      </c>
      <c r="F28">
        <f t="shared" si="12"/>
        <v>585688.80415771657</v>
      </c>
      <c r="G28">
        <f>MAX(Inputs!B7-A28+1,0)</f>
        <v>274</v>
      </c>
      <c r="H28">
        <f>IF(AND(A28&lt;=Inputs!B7,D28&gt;0),-PMT(Inputs!B6/12,G28,D28),0)</f>
        <v>220109.00699016132</v>
      </c>
      <c r="I28">
        <f>IF(AND(A28&lt;=Inputs!B7,D28&gt;0),D28*Inputs!B6/12,0)</f>
        <v>160706.18339212434</v>
      </c>
      <c r="J28">
        <f t="shared" si="0"/>
        <v>59402.823598036979</v>
      </c>
      <c r="K28">
        <f>MAX((D28-J28)*Inputs!B32,0)</f>
        <v>2678342.3142241458</v>
      </c>
      <c r="L28">
        <f>MAX((D28-J28-K28)*Inputs!B33,0)</f>
        <v>104601.61931619744</v>
      </c>
      <c r="M28">
        <f>MIN(E28*Inputs!B29,E28)</f>
        <v>91519.875619492028</v>
      </c>
      <c r="N28">
        <f>MIN((E28-M28)*Inputs!B30,E28-M28)</f>
        <v>33993.096658668474</v>
      </c>
      <c r="O28">
        <f>MIN(F28*Inputs!B31,F28)</f>
        <v>70282.656498925993</v>
      </c>
      <c r="P28">
        <f>MIN((F28-O28)*Inputs!B34,F28-O28)</f>
        <v>4505.4800264921196</v>
      </c>
      <c r="Q28">
        <f>P28*Inputs!B35</f>
        <v>1126.3700066230299</v>
      </c>
      <c r="R28">
        <f>C28*Inputs!B8/12</f>
        <v>14327.439964362673</v>
      </c>
      <c r="S28">
        <f t="shared" si="1"/>
        <v>146378.74342776166</v>
      </c>
      <c r="T28">
        <f t="shared" si="2"/>
        <v>2741124.2478420516</v>
      </c>
      <c r="U28">
        <f t="shared" si="3"/>
        <v>30858137.526379898</v>
      </c>
      <c r="V28">
        <f t="shared" si="4"/>
        <v>240574.0059508713</v>
      </c>
      <c r="W28">
        <f t="shared" si="5"/>
        <v>544893.76429096691</v>
      </c>
      <c r="X28">
        <f t="shared" si="6"/>
        <v>31643605.296621736</v>
      </c>
      <c r="Y28">
        <f t="shared" si="13"/>
        <v>67517.650312913625</v>
      </c>
      <c r="Z28">
        <f>IF(Inputs!B3&gt;0,(V28+W28)/Inputs!B3,0)</f>
        <v>2.6182259008061272E-3</v>
      </c>
      <c r="AA28">
        <f>IF(OR(Y28/Inputs!B3&gt;=Inputs!B23,Z28&gt;=Inputs!B24),1,0)</f>
        <v>0</v>
      </c>
      <c r="AB28">
        <f t="shared" si="7"/>
        <v>0</v>
      </c>
    </row>
    <row r="29" spans="1:28" x14ac:dyDescent="0.2">
      <c r="A29">
        <v>28</v>
      </c>
      <c r="B29">
        <f t="shared" si="8"/>
        <v>0</v>
      </c>
      <c r="C29">
        <f t="shared" si="9"/>
        <v>31643605.296621736</v>
      </c>
      <c r="D29">
        <f t="shared" si="10"/>
        <v>30858137.526379898</v>
      </c>
      <c r="E29">
        <f t="shared" si="11"/>
        <v>240574.0059508713</v>
      </c>
      <c r="F29">
        <f t="shared" si="12"/>
        <v>544893.76429096691</v>
      </c>
      <c r="G29">
        <f>MAX(Inputs!B7-A29+1,0)</f>
        <v>273</v>
      </c>
      <c r="H29">
        <f>IF(AND(A29&lt;=Inputs!B7,D29&gt;0),-PMT(Inputs!B6/12,G29,D29),0)</f>
        <v>202876.35295684278</v>
      </c>
      <c r="I29">
        <f>IF(AND(A29&lt;=Inputs!B7,D29&gt;0),D29*Inputs!B6/12,0)</f>
        <v>147861.90898057036</v>
      </c>
      <c r="J29">
        <f t="shared" si="0"/>
        <v>55014.443976272421</v>
      </c>
      <c r="K29">
        <f>MAX((D29-J29)*Inputs!B32,0)</f>
        <v>2464249.8465922903</v>
      </c>
      <c r="L29">
        <f>MAX((D29-J29-K29)*Inputs!B33,0)</f>
        <v>96240.321106196294</v>
      </c>
      <c r="M29">
        <f>MIN(E29*Inputs!B29,E29)</f>
        <v>84200.902082804954</v>
      </c>
      <c r="N29">
        <f>MIN((E29-M29)*Inputs!B30,E29-M29)</f>
        <v>31274.620773613267</v>
      </c>
      <c r="O29">
        <f>MIN(F29*Inputs!B31,F29)</f>
        <v>65387.251714916027</v>
      </c>
      <c r="P29">
        <f>MIN((F29-O29)*Inputs!B34,F29-O29)</f>
        <v>4191.6593831832279</v>
      </c>
      <c r="Q29">
        <f>P29*Inputs!B35</f>
        <v>1047.914845795807</v>
      </c>
      <c r="R29">
        <f>C29*Inputs!B8/12</f>
        <v>13184.835540259059</v>
      </c>
      <c r="S29">
        <f t="shared" si="1"/>
        <v>134677.0734403113</v>
      </c>
      <c r="T29">
        <f t="shared" si="2"/>
        <v>2522408.0351059502</v>
      </c>
      <c r="U29">
        <f t="shared" si="3"/>
        <v>28392221.068502862</v>
      </c>
      <c r="V29">
        <f t="shared" si="4"/>
        <v>221338.80420064938</v>
      </c>
      <c r="W29">
        <f t="shared" si="5"/>
        <v>506589.47396648093</v>
      </c>
      <c r="X29">
        <f t="shared" si="6"/>
        <v>29120149.346669991</v>
      </c>
      <c r="Y29">
        <f t="shared" si="13"/>
        <v>68565.565158709433</v>
      </c>
      <c r="Z29">
        <f>IF(Inputs!B3&gt;0,(V29+W29)/Inputs!B3,0)</f>
        <v>2.4264275938904343E-3</v>
      </c>
      <c r="AA29">
        <f>IF(OR(Y29/Inputs!B3&gt;=Inputs!B23,Z29&gt;=Inputs!B24),1,0)</f>
        <v>0</v>
      </c>
      <c r="AB29">
        <f t="shared" si="7"/>
        <v>0</v>
      </c>
    </row>
    <row r="30" spans="1:28" x14ac:dyDescent="0.2">
      <c r="A30">
        <v>29</v>
      </c>
      <c r="B30">
        <f t="shared" si="8"/>
        <v>0</v>
      </c>
      <c r="C30">
        <f t="shared" si="9"/>
        <v>29120149.346669991</v>
      </c>
      <c r="D30">
        <f t="shared" si="10"/>
        <v>28392221.068502862</v>
      </c>
      <c r="E30">
        <f t="shared" si="11"/>
        <v>221338.80420064938</v>
      </c>
      <c r="F30">
        <f t="shared" si="12"/>
        <v>506589.47396648093</v>
      </c>
      <c r="G30">
        <f>MAX(Inputs!B7-A30+1,0)</f>
        <v>272</v>
      </c>
      <c r="H30">
        <f>IF(AND(A30&lt;=Inputs!B7,D30&gt;0),-PMT(Inputs!B6/12,G30,D30),0)</f>
        <v>186997.60564255167</v>
      </c>
      <c r="I30">
        <f>IF(AND(A30&lt;=Inputs!B7,D30&gt;0),D30*Inputs!B6/12,0)</f>
        <v>136046.0592865762</v>
      </c>
      <c r="J30">
        <f t="shared" si="0"/>
        <v>50951.546355975472</v>
      </c>
      <c r="K30">
        <f>MAX((D30-J30)*Inputs!B32,0)</f>
        <v>2267301.5617717509</v>
      </c>
      <c r="L30">
        <f>MAX((D30-J30-K30)*Inputs!B33,0)</f>
        <v>88548.582300305934</v>
      </c>
      <c r="M30">
        <f>MIN(E30*Inputs!B29,E30)</f>
        <v>77468.581470227276</v>
      </c>
      <c r="N30">
        <f>MIN((E30-M30)*Inputs!B30,E30-M30)</f>
        <v>28774.04454608442</v>
      </c>
      <c r="O30">
        <f>MIN(F30*Inputs!B31,F30)</f>
        <v>60790.736875977709</v>
      </c>
      <c r="P30">
        <f>MIN((F30-O30)*Inputs!B34,F30-O30)</f>
        <v>3896.9991237403065</v>
      </c>
      <c r="Q30">
        <f>P30*Inputs!B35</f>
        <v>974.24978093507661</v>
      </c>
      <c r="R30">
        <f>C30*Inputs!B8/12</f>
        <v>12133.395561112497</v>
      </c>
      <c r="S30">
        <f t="shared" si="1"/>
        <v>123912.6637254637</v>
      </c>
      <c r="T30">
        <f t="shared" si="2"/>
        <v>2321175.8574705315</v>
      </c>
      <c r="U30">
        <f t="shared" si="3"/>
        <v>26123678.696421038</v>
      </c>
      <c r="V30">
        <f t="shared" si="4"/>
        <v>203644.76048464363</v>
      </c>
      <c r="W30">
        <f t="shared" si="5"/>
        <v>470675.78251284733</v>
      </c>
      <c r="X30">
        <f t="shared" si="6"/>
        <v>26797999.239418529</v>
      </c>
      <c r="Y30">
        <f t="shared" si="13"/>
        <v>69539.814939644508</v>
      </c>
      <c r="Z30">
        <f>IF(Inputs!B3&gt;0,(V30+W30)/Inputs!B3,0)</f>
        <v>2.2477351433249698E-3</v>
      </c>
      <c r="AA30">
        <f>IF(OR(Y30/Inputs!B3&gt;=Inputs!B23,Z30&gt;=Inputs!B24),1,0)</f>
        <v>0</v>
      </c>
      <c r="AB30">
        <f t="shared" si="7"/>
        <v>0</v>
      </c>
    </row>
    <row r="31" spans="1:28" x14ac:dyDescent="0.2">
      <c r="A31">
        <v>30</v>
      </c>
      <c r="B31">
        <f t="shared" si="8"/>
        <v>0</v>
      </c>
      <c r="C31">
        <f t="shared" si="9"/>
        <v>26797999.239418529</v>
      </c>
      <c r="D31">
        <f t="shared" si="10"/>
        <v>26123678.696421038</v>
      </c>
      <c r="E31">
        <f t="shared" si="11"/>
        <v>203644.76048464363</v>
      </c>
      <c r="F31">
        <f t="shared" si="12"/>
        <v>470675.78251284733</v>
      </c>
      <c r="G31">
        <f>MAX(Inputs!B7-A31+1,0)</f>
        <v>271</v>
      </c>
      <c r="H31">
        <f>IF(AND(A31&lt;=Inputs!B7,D31&gt;0),-PMT(Inputs!B6/12,G31,D31),0)</f>
        <v>172365.79197656282</v>
      </c>
      <c r="I31">
        <f>IF(AND(A31&lt;=Inputs!B7,D31&gt;0),D31*Inputs!B6/12,0)</f>
        <v>125175.96042035082</v>
      </c>
      <c r="J31">
        <f t="shared" si="0"/>
        <v>47189.831556211997</v>
      </c>
      <c r="K31">
        <f>MAX((D31-J31)*Inputs!B32,0)</f>
        <v>2086119.1091891862</v>
      </c>
      <c r="L31">
        <f>MAX((D31-J31-K31)*Inputs!B33,0)</f>
        <v>81472.571951977312</v>
      </c>
      <c r="M31">
        <f>MIN(E31*Inputs!B29,E31)</f>
        <v>71275.66616962527</v>
      </c>
      <c r="N31">
        <f>MIN((E31-M31)*Inputs!B30,E31-M31)</f>
        <v>26473.818863003675</v>
      </c>
      <c r="O31">
        <f>MIN(F31*Inputs!B31,F31)</f>
        <v>56481.093901541681</v>
      </c>
      <c r="P31">
        <f>MIN((F31-O31)*Inputs!B34,F31-O31)</f>
        <v>3620.7288273417871</v>
      </c>
      <c r="Q31">
        <f>P31*Inputs!B35</f>
        <v>905.18220683544678</v>
      </c>
      <c r="R31">
        <f>C31*Inputs!B8/12</f>
        <v>11165.833016424387</v>
      </c>
      <c r="S31">
        <f t="shared" si="1"/>
        <v>114010.12740392644</v>
      </c>
      <c r="T31">
        <f t="shared" si="2"/>
        <v>2136024.4873659047</v>
      </c>
      <c r="U31">
        <f t="shared" si="3"/>
        <v>24036653.943794828</v>
      </c>
      <c r="V31">
        <f t="shared" si="4"/>
        <v>187367.847403992</v>
      </c>
      <c r="W31">
        <f t="shared" si="5"/>
        <v>437047.77864696755</v>
      </c>
      <c r="X31">
        <f t="shared" si="6"/>
        <v>24661069.569845788</v>
      </c>
      <c r="Y31">
        <f t="shared" si="13"/>
        <v>70444.99714647996</v>
      </c>
      <c r="Z31">
        <f>IF(Inputs!B3&gt;0,(V31+W31)/Inputs!B3,0)</f>
        <v>2.0813854201698653E-3</v>
      </c>
      <c r="AA31">
        <f>IF(OR(Y31/Inputs!B3&gt;=Inputs!B23,Z31&gt;=Inputs!B24),1,0)</f>
        <v>0</v>
      </c>
      <c r="AB31">
        <f t="shared" si="7"/>
        <v>0</v>
      </c>
    </row>
    <row r="32" spans="1:28" x14ac:dyDescent="0.2">
      <c r="A32">
        <v>31</v>
      </c>
      <c r="B32">
        <f t="shared" si="8"/>
        <v>0</v>
      </c>
      <c r="C32">
        <f t="shared" si="9"/>
        <v>24661069.569845788</v>
      </c>
      <c r="D32">
        <f t="shared" si="10"/>
        <v>24036653.943794828</v>
      </c>
      <c r="E32">
        <f t="shared" si="11"/>
        <v>187367.847403992</v>
      </c>
      <c r="F32">
        <f t="shared" si="12"/>
        <v>437047.77864696755</v>
      </c>
      <c r="G32">
        <f>MAX(Inputs!B7-A32+1,0)</f>
        <v>270</v>
      </c>
      <c r="H32">
        <f>IF(AND(A32&lt;=Inputs!B7,D32&gt;0),-PMT(Inputs!B6/12,G32,D32),0)</f>
        <v>158882.46745792264</v>
      </c>
      <c r="I32">
        <f>IF(AND(A32&lt;=Inputs!B7,D32&gt;0),D32*Inputs!B6/12,0)</f>
        <v>115175.63348068355</v>
      </c>
      <c r="J32">
        <f t="shared" si="0"/>
        <v>43706.83397723909</v>
      </c>
      <c r="K32">
        <f>MAX((D32-J32)*Inputs!B32,0)</f>
        <v>1919435.7687854073</v>
      </c>
      <c r="L32">
        <f>MAX((D32-J32-K32)*Inputs!B33,0)</f>
        <v>74962.818801055371</v>
      </c>
      <c r="M32">
        <f>MIN(E32*Inputs!B29,E32)</f>
        <v>65578.746591397197</v>
      </c>
      <c r="N32">
        <f>MIN((E32-M32)*Inputs!B30,E32-M32)</f>
        <v>24357.820162518961</v>
      </c>
      <c r="O32">
        <f>MIN(F32*Inputs!B31,F32)</f>
        <v>52445.733437636103</v>
      </c>
      <c r="P32">
        <f>MIN((F32-O32)*Inputs!B34,F32-O32)</f>
        <v>3362.0414516006554</v>
      </c>
      <c r="Q32">
        <f>P32*Inputs!B35</f>
        <v>840.51036290016384</v>
      </c>
      <c r="R32">
        <f>C32*Inputs!B8/12</f>
        <v>10275.445654102412</v>
      </c>
      <c r="S32">
        <f t="shared" si="1"/>
        <v>104900.18782658114</v>
      </c>
      <c r="T32">
        <f t="shared" si="2"/>
        <v>1965664.133851347</v>
      </c>
      <c r="U32">
        <f t="shared" si="3"/>
        <v>22116573.00226016</v>
      </c>
      <c r="V32">
        <f t="shared" si="4"/>
        <v>172394.09945113122</v>
      </c>
      <c r="W32">
        <f t="shared" si="5"/>
        <v>405597.82392024971</v>
      </c>
      <c r="X32">
        <f t="shared" si="6"/>
        <v>22694564.925631542</v>
      </c>
      <c r="Y32">
        <f t="shared" si="13"/>
        <v>71285.507509380128</v>
      </c>
      <c r="Z32">
        <f>IF(Inputs!B3&gt;0,(V32+W32)/Inputs!B3,0)</f>
        <v>1.9266397445712696E-3</v>
      </c>
      <c r="AA32">
        <f>IF(OR(Y32/Inputs!B3&gt;=Inputs!B23,Z32&gt;=Inputs!B24),1,0)</f>
        <v>0</v>
      </c>
      <c r="AB32">
        <f t="shared" si="7"/>
        <v>0</v>
      </c>
    </row>
    <row r="33" spans="1:28" x14ac:dyDescent="0.2">
      <c r="A33">
        <v>32</v>
      </c>
      <c r="B33">
        <f t="shared" si="8"/>
        <v>0</v>
      </c>
      <c r="C33">
        <f t="shared" si="9"/>
        <v>22694564.925631542</v>
      </c>
      <c r="D33">
        <f t="shared" si="10"/>
        <v>22116573.00226016</v>
      </c>
      <c r="E33">
        <f t="shared" si="11"/>
        <v>172394.09945113122</v>
      </c>
      <c r="F33">
        <f t="shared" si="12"/>
        <v>405597.82392024971</v>
      </c>
      <c r="G33">
        <f>MAX(Inputs!B7-A33+1,0)</f>
        <v>269</v>
      </c>
      <c r="H33">
        <f>IF(AND(A33&lt;=Inputs!B7,D33&gt;0),-PMT(Inputs!B6/12,G33,D33),0)</f>
        <v>146457.02648485877</v>
      </c>
      <c r="I33">
        <f>IF(AND(A33&lt;=Inputs!B7,D33&gt;0),D33*Inputs!B6/12,0)</f>
        <v>105975.24563582994</v>
      </c>
      <c r="J33">
        <f t="shared" si="0"/>
        <v>40481.78084902883</v>
      </c>
      <c r="K33">
        <f>MAX((D33-J33)*Inputs!B32,0)</f>
        <v>1766087.2977128904</v>
      </c>
      <c r="L33">
        <f>MAX((D33-J33-K33)*Inputs!B33,0)</f>
        <v>68973.853795103583</v>
      </c>
      <c r="M33">
        <f>MIN(E33*Inputs!B29,E33)</f>
        <v>60337.934807895923</v>
      </c>
      <c r="N33">
        <f>MIN((E33-M33)*Inputs!B30,E33-M33)</f>
        <v>22411.232928647063</v>
      </c>
      <c r="O33">
        <f>MIN(F33*Inputs!B31,F33)</f>
        <v>48671.738870429966</v>
      </c>
      <c r="P33">
        <f>MIN((F33-O33)*Inputs!B34,F33-O33)</f>
        <v>3120.1089750885176</v>
      </c>
      <c r="Q33">
        <f>P33*Inputs!B35</f>
        <v>780.0272437721294</v>
      </c>
      <c r="R33">
        <f>C33*Inputs!B8/12</f>
        <v>9456.068719013143</v>
      </c>
      <c r="S33">
        <f t="shared" si="1"/>
        <v>96519.176916816796</v>
      </c>
      <c r="T33">
        <f t="shared" si="2"/>
        <v>1808909.1602932357</v>
      </c>
      <c r="U33">
        <f t="shared" si="3"/>
        <v>20350039.743581463</v>
      </c>
      <c r="V33">
        <f t="shared" si="4"/>
        <v>158618.78550969181</v>
      </c>
      <c r="W33">
        <f t="shared" si="5"/>
        <v>376217.20900337829</v>
      </c>
      <c r="X33">
        <f t="shared" si="6"/>
        <v>20884875.738094531</v>
      </c>
      <c r="Y33">
        <f t="shared" si="13"/>
        <v>72065.534753152257</v>
      </c>
      <c r="Z33">
        <f>IF(Inputs!B3&gt;0,(V33+W33)/Inputs!B3,0)</f>
        <v>1.7827866483769003E-3</v>
      </c>
      <c r="AA33">
        <f>IF(OR(Y33/Inputs!B3&gt;=Inputs!B23,Z33&gt;=Inputs!B24),1,0)</f>
        <v>0</v>
      </c>
      <c r="AB33">
        <f t="shared" si="7"/>
        <v>0</v>
      </c>
    </row>
    <row r="34" spans="1:28" x14ac:dyDescent="0.2">
      <c r="A34">
        <v>33</v>
      </c>
      <c r="B34">
        <f t="shared" si="8"/>
        <v>0</v>
      </c>
      <c r="C34">
        <f t="shared" si="9"/>
        <v>20884875.738094531</v>
      </c>
      <c r="D34">
        <f t="shared" si="10"/>
        <v>20350039.743581463</v>
      </c>
      <c r="E34">
        <f t="shared" si="11"/>
        <v>158618.78550969181</v>
      </c>
      <c r="F34">
        <f t="shared" si="12"/>
        <v>376217.20900337829</v>
      </c>
      <c r="G34">
        <f>MAX(Inputs!B7-A34+1,0)</f>
        <v>268</v>
      </c>
      <c r="H34">
        <f>IF(AND(A34&lt;=Inputs!B7,D34&gt;0),-PMT(Inputs!B6/12,G34,D34),0)</f>
        <v>135006.06967971788</v>
      </c>
      <c r="I34">
        <f>IF(AND(A34&lt;=Inputs!B7,D34&gt;0),D34*Inputs!B6/12,0)</f>
        <v>97510.607104661176</v>
      </c>
      <c r="J34">
        <f t="shared" si="0"/>
        <v>37495.462575056707</v>
      </c>
      <c r="K34">
        <f>MAX((D34-J34)*Inputs!B32,0)</f>
        <v>1625003.5424805125</v>
      </c>
      <c r="L34">
        <f>MAX((D34-J34-K34)*Inputs!B33,0)</f>
        <v>63463.882504973066</v>
      </c>
      <c r="M34">
        <f>MIN(E34*Inputs!B29,E34)</f>
        <v>55516.574928392132</v>
      </c>
      <c r="N34">
        <f>MIN((E34-M34)*Inputs!B30,E34-M34)</f>
        <v>20620.442116259936</v>
      </c>
      <c r="O34">
        <f>MIN(F34*Inputs!B31,F34)</f>
        <v>45146.065080405395</v>
      </c>
      <c r="P34">
        <f>MIN((F34-O34)*Inputs!B34,F34-O34)</f>
        <v>2894.0951385010349</v>
      </c>
      <c r="Q34">
        <f>P34*Inputs!B35</f>
        <v>723.52378462525871</v>
      </c>
      <c r="R34">
        <f>C34*Inputs!B8/12</f>
        <v>8702.0315575393888</v>
      </c>
      <c r="S34">
        <f t="shared" si="1"/>
        <v>88808.575547121785</v>
      </c>
      <c r="T34">
        <f t="shared" si="2"/>
        <v>1664669.5764094449</v>
      </c>
      <c r="U34">
        <f t="shared" si="3"/>
        <v>18724739.496029716</v>
      </c>
      <c r="V34">
        <f t="shared" si="4"/>
        <v>145945.65097001282</v>
      </c>
      <c r="W34">
        <f t="shared" si="5"/>
        <v>348797.49090073182</v>
      </c>
      <c r="X34">
        <f t="shared" si="6"/>
        <v>19219482.637900461</v>
      </c>
      <c r="Y34">
        <f t="shared" si="13"/>
        <v>72789.058537777513</v>
      </c>
      <c r="Z34">
        <f>IF(Inputs!B3&gt;0,(V34+W34)/Inputs!B3,0)</f>
        <v>1.6491438062358156E-3</v>
      </c>
      <c r="AA34">
        <f>IF(OR(Y34/Inputs!B3&gt;=Inputs!B23,Z34&gt;=Inputs!B24),1,0)</f>
        <v>0</v>
      </c>
      <c r="AB34">
        <f t="shared" si="7"/>
        <v>0</v>
      </c>
    </row>
    <row r="35" spans="1:28" x14ac:dyDescent="0.2">
      <c r="A35">
        <v>34</v>
      </c>
      <c r="B35">
        <f t="shared" si="8"/>
        <v>0</v>
      </c>
      <c r="C35">
        <f t="shared" si="9"/>
        <v>19219482.637900461</v>
      </c>
      <c r="D35">
        <f t="shared" si="10"/>
        <v>18724739.496029716</v>
      </c>
      <c r="E35">
        <f t="shared" si="11"/>
        <v>145945.65097001282</v>
      </c>
      <c r="F35">
        <f t="shared" si="12"/>
        <v>348797.49090073182</v>
      </c>
      <c r="G35">
        <f>MAX(Inputs!B7-A35+1,0)</f>
        <v>267</v>
      </c>
      <c r="H35">
        <f>IF(AND(A35&lt;=Inputs!B7,D35&gt;0),-PMT(Inputs!B6/12,G35,D35),0)</f>
        <v>124452.82334716481</v>
      </c>
      <c r="I35">
        <f>IF(AND(A35&lt;=Inputs!B7,D35&gt;0),D35*Inputs!B6/12,0)</f>
        <v>89722.710085142389</v>
      </c>
      <c r="J35">
        <f t="shared" si="0"/>
        <v>34730.113262022423</v>
      </c>
      <c r="K35">
        <f>MAX((D35-J35)*Inputs!B32,0)</f>
        <v>1495200.7506214154</v>
      </c>
      <c r="L35">
        <f>MAX((D35-J35-K35)*Inputs!B33,0)</f>
        <v>58394.484859975622</v>
      </c>
      <c r="M35">
        <f>MIN(E35*Inputs!B29,E35)</f>
        <v>51080.977839504485</v>
      </c>
      <c r="N35">
        <f>MIN((E35-M35)*Inputs!B30,E35-M35)</f>
        <v>18972.934626101669</v>
      </c>
      <c r="O35">
        <f>MIN(F35*Inputs!B31,F35)</f>
        <v>41855.698908087819</v>
      </c>
      <c r="P35">
        <f>MIN((F35-O35)*Inputs!B34,F35-O35)</f>
        <v>2683.1657313371393</v>
      </c>
      <c r="Q35">
        <f>P35*Inputs!B35</f>
        <v>670.79143283428482</v>
      </c>
      <c r="R35">
        <f>C35*Inputs!B8/12</f>
        <v>8008.1177657918588</v>
      </c>
      <c r="S35">
        <f t="shared" si="1"/>
        <v>81714.59231935053</v>
      </c>
      <c r="T35">
        <f t="shared" si="2"/>
        <v>1531943.2381819407</v>
      </c>
      <c r="U35">
        <f t="shared" si="3"/>
        <v>17229350.82403389</v>
      </c>
      <c r="V35">
        <f t="shared" si="4"/>
        <v>134286.22336438228</v>
      </c>
      <c r="W35">
        <f t="shared" si="5"/>
        <v>323231.56088740856</v>
      </c>
      <c r="X35">
        <f t="shared" si="6"/>
        <v>17686868.60828568</v>
      </c>
      <c r="Y35">
        <f t="shared" si="13"/>
        <v>73459.849970611802</v>
      </c>
      <c r="Z35">
        <f>IF(Inputs!B3&gt;0,(V35+W35)/Inputs!B3,0)</f>
        <v>1.5250592808393028E-3</v>
      </c>
      <c r="AA35">
        <f>IF(OR(Y35/Inputs!B3&gt;=Inputs!B23,Z35&gt;=Inputs!B24),1,0)</f>
        <v>0</v>
      </c>
      <c r="AB35">
        <f t="shared" si="7"/>
        <v>0</v>
      </c>
    </row>
    <row r="36" spans="1:28" x14ac:dyDescent="0.2">
      <c r="A36">
        <v>35</v>
      </c>
      <c r="B36">
        <f t="shared" si="8"/>
        <v>0</v>
      </c>
      <c r="C36">
        <f t="shared" si="9"/>
        <v>17686868.60828568</v>
      </c>
      <c r="D36">
        <f t="shared" si="10"/>
        <v>17229350.82403389</v>
      </c>
      <c r="E36">
        <f t="shared" si="11"/>
        <v>134286.22336438228</v>
      </c>
      <c r="F36">
        <f t="shared" si="12"/>
        <v>323231.56088740856</v>
      </c>
      <c r="G36">
        <f>MAX(Inputs!B7-A36+1,0)</f>
        <v>266</v>
      </c>
      <c r="H36">
        <f>IF(AND(A36&lt;=Inputs!B7,D36&gt;0),-PMT(Inputs!B6/12,G36,D36),0)</f>
        <v>114726.60663652861</v>
      </c>
      <c r="I36">
        <f>IF(AND(A36&lt;=Inputs!B7,D36&gt;0),D36*Inputs!B6/12,0)</f>
        <v>82557.306031829052</v>
      </c>
      <c r="J36">
        <f t="shared" si="0"/>
        <v>32169.300604699558</v>
      </c>
      <c r="K36">
        <f>MAX((D36-J36)*Inputs!B32,0)</f>
        <v>1375774.5218743351</v>
      </c>
      <c r="L36">
        <f>MAX((D36-J36-K36)*Inputs!B33,0)</f>
        <v>53730.339859007028</v>
      </c>
      <c r="M36">
        <f>MIN(E36*Inputs!B29,E36)</f>
        <v>47000.178177533795</v>
      </c>
      <c r="N36">
        <f>MIN((E36-M36)*Inputs!B30,E36-M36)</f>
        <v>17457.209037369699</v>
      </c>
      <c r="O36">
        <f>MIN(F36*Inputs!B31,F36)</f>
        <v>38787.787306489023</v>
      </c>
      <c r="P36">
        <f>MIN((F36-O36)*Inputs!B34,F36-O36)</f>
        <v>2486.4968071302401</v>
      </c>
      <c r="Q36">
        <f>P36*Inputs!B35</f>
        <v>621.62420178256002</v>
      </c>
      <c r="R36">
        <f>C36*Inputs!B8/12</f>
        <v>7369.528586785701</v>
      </c>
      <c r="S36">
        <f t="shared" si="1"/>
        <v>75187.77744504335</v>
      </c>
      <c r="T36">
        <f t="shared" si="2"/>
        <v>1409808.6950843825</v>
      </c>
      <c r="U36">
        <f t="shared" si="3"/>
        <v>15853464.62717987</v>
      </c>
      <c r="V36">
        <f t="shared" si="4"/>
        <v>123559.17600848583</v>
      </c>
      <c r="W36">
        <f t="shared" si="5"/>
        <v>299414.48581115901</v>
      </c>
      <c r="X36">
        <f t="shared" si="6"/>
        <v>16276438.288999515</v>
      </c>
      <c r="Y36">
        <f t="shared" si="13"/>
        <v>74081.474172394359</v>
      </c>
      <c r="Z36">
        <f>IF(Inputs!B3&gt;0,(V36+W36)/Inputs!B3,0)</f>
        <v>1.4099122060654827E-3</v>
      </c>
      <c r="AA36">
        <f>IF(OR(Y36/Inputs!B3&gt;=Inputs!B23,Z36&gt;=Inputs!B24),1,0)</f>
        <v>0</v>
      </c>
      <c r="AB36">
        <f t="shared" si="7"/>
        <v>0</v>
      </c>
    </row>
    <row r="37" spans="1:28" x14ac:dyDescent="0.2">
      <c r="A37">
        <v>36</v>
      </c>
      <c r="B37">
        <f t="shared" si="8"/>
        <v>0</v>
      </c>
      <c r="C37">
        <f t="shared" si="9"/>
        <v>16276438.288999515</v>
      </c>
      <c r="D37">
        <f t="shared" si="10"/>
        <v>15853464.62717987</v>
      </c>
      <c r="E37">
        <f t="shared" si="11"/>
        <v>123559.17600848583</v>
      </c>
      <c r="F37">
        <f t="shared" si="12"/>
        <v>299414.48581115901</v>
      </c>
      <c r="G37">
        <f>MAX(Inputs!B7-A37+1,0)</f>
        <v>265</v>
      </c>
      <c r="H37">
        <f>IF(AND(A37&lt;=Inputs!B7,D37&gt;0),-PMT(Inputs!B6/12,G37,D37),0)</f>
        <v>105762.34237166478</v>
      </c>
      <c r="I37">
        <f>IF(AND(A37&lt;=Inputs!B7,D37&gt;0),D37*Inputs!B6/12,0)</f>
        <v>75964.518005236881</v>
      </c>
      <c r="J37">
        <f t="shared" si="0"/>
        <v>29797.8243664279</v>
      </c>
      <c r="K37">
        <f>MAX((D37-J37)*Inputs!B32,0)</f>
        <v>1265893.3442250753</v>
      </c>
      <c r="L37">
        <f>MAX((D37-J37-K37)*Inputs!B33,0)</f>
        <v>49438.97312315616</v>
      </c>
      <c r="M37">
        <f>MIN(E37*Inputs!B29,E37)</f>
        <v>43245.711602970034</v>
      </c>
      <c r="N37">
        <f>MIN((E37-M37)*Inputs!B30,E37-M37)</f>
        <v>16062.692881103158</v>
      </c>
      <c r="O37">
        <f>MIN(F37*Inputs!B31,F37)</f>
        <v>35929.738297339078</v>
      </c>
      <c r="P37">
        <f>MIN((F37-O37)*Inputs!B34,F37-O37)</f>
        <v>2303.2811552623084</v>
      </c>
      <c r="Q37">
        <f>P37*Inputs!B35</f>
        <v>575.8202888155771</v>
      </c>
      <c r="R37">
        <f>C37*Inputs!B8/12</f>
        <v>6781.8492870831315</v>
      </c>
      <c r="S37">
        <f t="shared" si="1"/>
        <v>69182.668718153756</v>
      </c>
      <c r="T37">
        <f t="shared" si="2"/>
        <v>1297418.6294579501</v>
      </c>
      <c r="U37">
        <f t="shared" si="3"/>
        <v>14587509.935365522</v>
      </c>
      <c r="V37">
        <f t="shared" si="4"/>
        <v>113689.74464756879</v>
      </c>
      <c r="W37">
        <f t="shared" si="5"/>
        <v>277244.15923966077</v>
      </c>
      <c r="X37">
        <f t="shared" si="6"/>
        <v>14978443.839252751</v>
      </c>
      <c r="Y37">
        <f t="shared" si="13"/>
        <v>74657.294461209938</v>
      </c>
      <c r="Z37">
        <f>IF(Inputs!B3&gt;0,(V37+W37)/Inputs!B3,0)</f>
        <v>1.3031130129574318E-3</v>
      </c>
      <c r="AA37">
        <f>IF(OR(Y37/Inputs!B3&gt;=Inputs!B23,Z37&gt;=Inputs!B24),1,0)</f>
        <v>0</v>
      </c>
      <c r="AB37">
        <f t="shared" si="7"/>
        <v>0</v>
      </c>
    </row>
    <row r="38" spans="1:28" x14ac:dyDescent="0.2">
      <c r="A38">
        <v>37</v>
      </c>
      <c r="B38">
        <f t="shared" si="8"/>
        <v>0</v>
      </c>
      <c r="C38">
        <f t="shared" si="9"/>
        <v>14978443.839252751</v>
      </c>
      <c r="D38">
        <f t="shared" si="10"/>
        <v>14587509.935365522</v>
      </c>
      <c r="E38">
        <f t="shared" si="11"/>
        <v>113689.74464756879</v>
      </c>
      <c r="F38">
        <f t="shared" si="12"/>
        <v>277244.15923966077</v>
      </c>
      <c r="G38">
        <f>MAX(Inputs!B7-A38+1,0)</f>
        <v>264</v>
      </c>
      <c r="H38">
        <f>IF(AND(A38&lt;=Inputs!B7,D38&gt;0),-PMT(Inputs!B6/12,G38,D38),0)</f>
        <v>97500.107867531624</v>
      </c>
      <c r="I38">
        <f>IF(AND(A38&lt;=Inputs!B7,D38&gt;0),D38*Inputs!B6/12,0)</f>
        <v>69898.485106959793</v>
      </c>
      <c r="J38">
        <f t="shared" si="0"/>
        <v>27601.62276057183</v>
      </c>
      <c r="K38">
        <f>MAX((D38-J38)*Inputs!B32,0)</f>
        <v>1164792.6650083961</v>
      </c>
      <c r="L38">
        <f>MAX((D38-J38-K38)*Inputs!B33,0)</f>
        <v>45490.525344890928</v>
      </c>
      <c r="M38">
        <f>MIN(E38*Inputs!B29,E38)</f>
        <v>39791.410626649071</v>
      </c>
      <c r="N38">
        <f>MIN((E38-M38)*Inputs!B30,E38-M38)</f>
        <v>14779.666804183944</v>
      </c>
      <c r="O38">
        <f>MIN(F38*Inputs!B31,F38)</f>
        <v>33269.299108759289</v>
      </c>
      <c r="P38">
        <f>MIN((F38-O38)*Inputs!B34,F38-O38)</f>
        <v>2132.7333099908888</v>
      </c>
      <c r="Q38">
        <f>P38*Inputs!B35</f>
        <v>533.18332749772219</v>
      </c>
      <c r="R38">
        <f>C38*Inputs!B8/12</f>
        <v>6241.0182663553132</v>
      </c>
      <c r="S38">
        <f t="shared" si="1"/>
        <v>63657.46684060448</v>
      </c>
      <c r="T38">
        <f t="shared" si="2"/>
        <v>1193993.8377514612</v>
      </c>
      <c r="U38">
        <f t="shared" si="3"/>
        <v>13422685.831987072</v>
      </c>
      <c r="V38">
        <f t="shared" si="4"/>
        <v>104609.1925616267</v>
      </c>
      <c r="W38">
        <f t="shared" si="5"/>
        <v>256621.79362509452</v>
      </c>
      <c r="X38">
        <f t="shared" si="6"/>
        <v>13783916.818173792</v>
      </c>
      <c r="Y38">
        <f t="shared" si="13"/>
        <v>75190.477788707663</v>
      </c>
      <c r="Z38">
        <f>IF(Inputs!B3&gt;0,(V38+W38)/Inputs!B3,0)</f>
        <v>1.2041032872890708E-3</v>
      </c>
      <c r="AA38">
        <f>IF(OR(Y38/Inputs!B3&gt;=Inputs!B23,Z38&gt;=Inputs!B24),1,0)</f>
        <v>0</v>
      </c>
      <c r="AB38">
        <f t="shared" si="7"/>
        <v>0</v>
      </c>
    </row>
    <row r="39" spans="1:28" x14ac:dyDescent="0.2">
      <c r="A39">
        <v>38</v>
      </c>
      <c r="B39">
        <f t="shared" si="8"/>
        <v>0</v>
      </c>
      <c r="C39">
        <f t="shared" si="9"/>
        <v>13783916.818173792</v>
      </c>
      <c r="D39">
        <f t="shared" si="10"/>
        <v>13422685.831987072</v>
      </c>
      <c r="E39">
        <f t="shared" si="11"/>
        <v>104609.1925616267</v>
      </c>
      <c r="F39">
        <f t="shared" si="12"/>
        <v>256621.79362509452</v>
      </c>
      <c r="G39">
        <f>MAX(Inputs!B7-A39+1,0)</f>
        <v>263</v>
      </c>
      <c r="H39">
        <f>IF(AND(A39&lt;=Inputs!B7,D39&gt;0),-PMT(Inputs!B6/12,G39,D39),0)</f>
        <v>89884.72237546547</v>
      </c>
      <c r="I39">
        <f>IF(AND(A39&lt;=Inputs!B7,D39&gt;0),D39*Inputs!B6/12,0)</f>
        <v>64317.036278271386</v>
      </c>
      <c r="J39">
        <f t="shared" si="0"/>
        <v>25567.686097194084</v>
      </c>
      <c r="K39">
        <f>MAX((D39-J39)*Inputs!B32,0)</f>
        <v>1071769.4516711903</v>
      </c>
      <c r="L39">
        <f>MAX((D39-J39-K39)*Inputs!B33,0)</f>
        <v>41857.539860775731</v>
      </c>
      <c r="M39">
        <f>MIN(E39*Inputs!B29,E39)</f>
        <v>36613.217396569344</v>
      </c>
      <c r="N39">
        <f>MIN((E39-M39)*Inputs!B30,E39-M39)</f>
        <v>13599.195033011471</v>
      </c>
      <c r="O39">
        <f>MIN(F39*Inputs!B31,F39)</f>
        <v>30794.615235011341</v>
      </c>
      <c r="P39">
        <f>MIN((F39-O39)*Inputs!B34,F39-O39)</f>
        <v>1974.0933364830018</v>
      </c>
      <c r="Q39">
        <f>P39*Inputs!B35</f>
        <v>493.52333412075046</v>
      </c>
      <c r="R39">
        <f>C39*Inputs!B8/12</f>
        <v>5743.2986742390794</v>
      </c>
      <c r="S39">
        <f t="shared" si="1"/>
        <v>58573.737604032307</v>
      </c>
      <c r="T39">
        <f t="shared" si="2"/>
        <v>1098817.7077707464</v>
      </c>
      <c r="U39">
        <f t="shared" si="3"/>
        <v>12350898.986989493</v>
      </c>
      <c r="V39">
        <f t="shared" si="4"/>
        <v>96254.319992821605</v>
      </c>
      <c r="W39">
        <f t="shared" si="5"/>
        <v>237452.28008661166</v>
      </c>
      <c r="X39">
        <f t="shared" si="6"/>
        <v>12684605.587068927</v>
      </c>
      <c r="Y39">
        <f t="shared" si="13"/>
        <v>75684.001122828413</v>
      </c>
      <c r="Z39">
        <f>IF(Inputs!B3&gt;0,(V39+W39)/Inputs!B3,0)</f>
        <v>1.1123553335981109E-3</v>
      </c>
      <c r="AA39">
        <f>IF(OR(Y39/Inputs!B3&gt;=Inputs!B23,Z39&gt;=Inputs!B24),1,0)</f>
        <v>0</v>
      </c>
      <c r="AB39">
        <f t="shared" si="7"/>
        <v>0</v>
      </c>
    </row>
    <row r="40" spans="1:28" x14ac:dyDescent="0.2">
      <c r="A40">
        <v>39</v>
      </c>
      <c r="B40">
        <f t="shared" si="8"/>
        <v>0</v>
      </c>
      <c r="C40">
        <f t="shared" si="9"/>
        <v>12684605.587068927</v>
      </c>
      <c r="D40">
        <f t="shared" si="10"/>
        <v>12350898.986989493</v>
      </c>
      <c r="E40">
        <f t="shared" si="11"/>
        <v>96254.319992821605</v>
      </c>
      <c r="F40">
        <f t="shared" si="12"/>
        <v>237452.28008661166</v>
      </c>
      <c r="G40">
        <f>MAX(Inputs!B7-A40+1,0)</f>
        <v>262</v>
      </c>
      <c r="H40">
        <f>IF(AND(A40&lt;=Inputs!B7,D40&gt;0),-PMT(Inputs!B6/12,G40,D40),0)</f>
        <v>82865.368092133678</v>
      </c>
      <c r="I40">
        <f>IF(AND(A40&lt;=Inputs!B7,D40&gt;0),D40*Inputs!B6/12,0)</f>
        <v>59181.390979324649</v>
      </c>
      <c r="J40">
        <f t="shared" si="0"/>
        <v>23683.977112809029</v>
      </c>
      <c r="K40">
        <f>MAX((D40-J40)*Inputs!B32,0)</f>
        <v>986177.20079013472</v>
      </c>
      <c r="L40">
        <f>MAX((D40-J40-K40)*Inputs!B33,0)</f>
        <v>38514.767730593361</v>
      </c>
      <c r="M40">
        <f>MIN(E40*Inputs!B29,E40)</f>
        <v>33689.011997487563</v>
      </c>
      <c r="N40">
        <f>MIN((E40-M40)*Inputs!B30,E40-M40)</f>
        <v>12513.061599066808</v>
      </c>
      <c r="O40">
        <f>MIN(F40*Inputs!B31,F40)</f>
        <v>28494.273610393397</v>
      </c>
      <c r="P40">
        <f>MIN((F40-O40)*Inputs!B34,F40-O40)</f>
        <v>1826.6295984840979</v>
      </c>
      <c r="Q40">
        <f>P40*Inputs!B35</f>
        <v>456.65739962102447</v>
      </c>
      <c r="R40">
        <f>C40*Inputs!B8/12</f>
        <v>5285.2523279453862</v>
      </c>
      <c r="S40">
        <f t="shared" si="1"/>
        <v>53896.13865137926</v>
      </c>
      <c r="T40">
        <f t="shared" si="2"/>
        <v>1011231.150101807</v>
      </c>
      <c r="U40">
        <f t="shared" si="3"/>
        <v>11364706.326963834</v>
      </c>
      <c r="V40">
        <f t="shared" si="4"/>
        <v>88567.014126860595</v>
      </c>
      <c r="W40">
        <f t="shared" si="5"/>
        <v>219644.43847680098</v>
      </c>
      <c r="X40">
        <f t="shared" si="6"/>
        <v>11672917.779567497</v>
      </c>
      <c r="Y40">
        <f t="shared" si="13"/>
        <v>76140.658522449434</v>
      </c>
      <c r="Z40">
        <f>IF(Inputs!B3&gt;0,(V40+W40)/Inputs!B3,0)</f>
        <v>1.0273715086788718E-3</v>
      </c>
      <c r="AA40">
        <f>IF(OR(Y40/Inputs!B3&gt;=Inputs!B23,Z40&gt;=Inputs!B24),1,0)</f>
        <v>0</v>
      </c>
      <c r="AB40">
        <f t="shared" si="7"/>
        <v>0</v>
      </c>
    </row>
    <row r="41" spans="1:28" x14ac:dyDescent="0.2">
      <c r="A41">
        <v>40</v>
      </c>
      <c r="B41">
        <f t="shared" si="8"/>
        <v>0</v>
      </c>
      <c r="C41">
        <f t="shared" si="9"/>
        <v>11672917.779567497</v>
      </c>
      <c r="D41">
        <f t="shared" si="10"/>
        <v>11364706.326963834</v>
      </c>
      <c r="E41">
        <f t="shared" si="11"/>
        <v>88567.014126860595</v>
      </c>
      <c r="F41">
        <f t="shared" si="12"/>
        <v>219644.43847680098</v>
      </c>
      <c r="G41">
        <f>MAX(Inputs!B7-A41+1,0)</f>
        <v>261</v>
      </c>
      <c r="H41">
        <f>IF(AND(A41&lt;=Inputs!B7,D41&gt;0),-PMT(Inputs!B6/12,G41,D41),0)</f>
        <v>76395.241933261263</v>
      </c>
      <c r="I41">
        <f>IF(AND(A41&lt;=Inputs!B7,D41&gt;0),D41*Inputs!B6/12,0)</f>
        <v>54455.884483368376</v>
      </c>
      <c r="J41">
        <f t="shared" si="0"/>
        <v>21939.357449892887</v>
      </c>
      <c r="K41">
        <f>MAX((D41-J41)*Inputs!B32,0)</f>
        <v>907421.35756111529</v>
      </c>
      <c r="L41">
        <f>MAX((D41-J41-K41)*Inputs!B33,0)</f>
        <v>35438.988847282708</v>
      </c>
      <c r="M41">
        <f>MIN(E41*Inputs!B29,E41)</f>
        <v>30998.454944401205</v>
      </c>
      <c r="N41">
        <f>MIN((E41-M41)*Inputs!B30,E41-M41)</f>
        <v>11513.711836491879</v>
      </c>
      <c r="O41">
        <f>MIN(F41*Inputs!B31,F41)</f>
        <v>26357.332617216118</v>
      </c>
      <c r="P41">
        <f>MIN((F41-O41)*Inputs!B34,F41-O41)</f>
        <v>1689.6406819837719</v>
      </c>
      <c r="Q41">
        <f>P41*Inputs!B35</f>
        <v>422.41017049594296</v>
      </c>
      <c r="R41">
        <f>C41*Inputs!B8/12</f>
        <v>4863.7157414864569</v>
      </c>
      <c r="S41">
        <f t="shared" si="1"/>
        <v>49592.16874188192</v>
      </c>
      <c r="T41">
        <f t="shared" si="2"/>
        <v>930627.94552249601</v>
      </c>
      <c r="U41">
        <f t="shared" si="3"/>
        <v>10457262.410667162</v>
      </c>
      <c r="V41">
        <f t="shared" si="4"/>
        <v>81493.836193250216</v>
      </c>
      <c r="W41">
        <f t="shared" si="5"/>
        <v>203111.177014093</v>
      </c>
      <c r="X41">
        <f t="shared" si="6"/>
        <v>10741867.423874507</v>
      </c>
      <c r="Y41">
        <f t="shared" si="13"/>
        <v>76563.06869294538</v>
      </c>
      <c r="Z41">
        <f>IF(Inputs!B3&gt;0,(V41+W41)/Inputs!B3,0)</f>
        <v>9.4868337735781077E-4</v>
      </c>
      <c r="AA41">
        <f>IF(OR(Y41/Inputs!B3&gt;=Inputs!B23,Z41&gt;=Inputs!B24),1,0)</f>
        <v>0</v>
      </c>
      <c r="AB41">
        <f t="shared" si="7"/>
        <v>0</v>
      </c>
    </row>
    <row r="42" spans="1:28" x14ac:dyDescent="0.2">
      <c r="A42">
        <v>41</v>
      </c>
      <c r="B42">
        <f t="shared" si="8"/>
        <v>0</v>
      </c>
      <c r="C42">
        <f t="shared" si="9"/>
        <v>10741867.423874507</v>
      </c>
      <c r="D42">
        <f t="shared" si="10"/>
        <v>10457262.410667162</v>
      </c>
      <c r="E42">
        <f t="shared" si="11"/>
        <v>81493.836193250216</v>
      </c>
      <c r="F42">
        <f t="shared" si="12"/>
        <v>203111.177014093</v>
      </c>
      <c r="G42">
        <f>MAX(Inputs!B7-A42+1,0)</f>
        <v>260</v>
      </c>
      <c r="H42">
        <f>IF(AND(A42&lt;=Inputs!B7,D42&gt;0),-PMT(Inputs!B6/12,G42,D42),0)</f>
        <v>70431.235515080887</v>
      </c>
      <c r="I42">
        <f>IF(AND(A42&lt;=Inputs!B7,D42&gt;0),D42*Inputs!B6/12,0)</f>
        <v>50107.715717780149</v>
      </c>
      <c r="J42">
        <f t="shared" si="0"/>
        <v>20323.519797300738</v>
      </c>
      <c r="K42">
        <f>MAX((D42-J42)*Inputs!B32,0)</f>
        <v>834955.11126958893</v>
      </c>
      <c r="L42">
        <f>MAX((D42-J42-K42)*Inputs!B33,0)</f>
        <v>32608.847730666017</v>
      </c>
      <c r="M42">
        <f>MIN(E42*Inputs!B29,E42)</f>
        <v>28522.842667637575</v>
      </c>
      <c r="N42">
        <f>MIN((E42-M42)*Inputs!B30,E42-M42)</f>
        <v>10594.19870512253</v>
      </c>
      <c r="O42">
        <f>MIN(F42*Inputs!B31,F42)</f>
        <v>24373.34124169116</v>
      </c>
      <c r="P42">
        <f>MIN((F42-O42)*Inputs!B34,F42-O42)</f>
        <v>1562.4566232068114</v>
      </c>
      <c r="Q42">
        <f>P42*Inputs!B35</f>
        <v>390.61415580170285</v>
      </c>
      <c r="R42">
        <f>C42*Inputs!B8/12</f>
        <v>4475.7780932810447</v>
      </c>
      <c r="S42">
        <f t="shared" si="1"/>
        <v>45631.937624499107</v>
      </c>
      <c r="T42">
        <f t="shared" si="2"/>
        <v>856450.47353429475</v>
      </c>
      <c r="U42">
        <f t="shared" si="3"/>
        <v>9622271.1157789342</v>
      </c>
      <c r="V42">
        <f t="shared" si="4"/>
        <v>74985.642551156125</v>
      </c>
      <c r="W42">
        <f t="shared" si="5"/>
        <v>187769.57785431755</v>
      </c>
      <c r="X42">
        <f t="shared" si="6"/>
        <v>9885026.3361844067</v>
      </c>
      <c r="Y42">
        <f t="shared" si="13"/>
        <v>76953.682848747078</v>
      </c>
      <c r="Z42">
        <f>IF(Inputs!B3&gt;0,(V42+W42)/Inputs!B3,0)</f>
        <v>8.7585073468491226E-4</v>
      </c>
      <c r="AA42">
        <f>IF(OR(Y42/Inputs!B3&gt;=Inputs!B23,Z42&gt;=Inputs!B24),1,0)</f>
        <v>0</v>
      </c>
      <c r="AB42">
        <f t="shared" si="7"/>
        <v>0</v>
      </c>
    </row>
    <row r="43" spans="1:28" x14ac:dyDescent="0.2">
      <c r="A43">
        <v>42</v>
      </c>
      <c r="B43">
        <f t="shared" si="8"/>
        <v>0</v>
      </c>
      <c r="C43">
        <f t="shared" si="9"/>
        <v>9885026.3361844067</v>
      </c>
      <c r="D43">
        <f t="shared" si="10"/>
        <v>9622271.1157789342</v>
      </c>
      <c r="E43">
        <f t="shared" si="11"/>
        <v>74985.642551156125</v>
      </c>
      <c r="F43">
        <f t="shared" si="12"/>
        <v>187769.57785431755</v>
      </c>
      <c r="G43">
        <f>MAX(Inputs!B7-A43+1,0)</f>
        <v>259</v>
      </c>
      <c r="H43">
        <f>IF(AND(A43&lt;=Inputs!B7,D43&gt;0),-PMT(Inputs!B6/12,G43,D43),0)</f>
        <v>64933.641006391175</v>
      </c>
      <c r="I43">
        <f>IF(AND(A43&lt;=Inputs!B7,D43&gt;0),D43*Inputs!B6/12,0)</f>
        <v>46106.715763107401</v>
      </c>
      <c r="J43">
        <f t="shared" si="0"/>
        <v>18826.925243283775</v>
      </c>
      <c r="K43">
        <f>MAX((D43-J43)*Inputs!B32,0)</f>
        <v>768275.53524285194</v>
      </c>
      <c r="L43">
        <f>MAX((D43-J43-K43)*Inputs!B33,0)</f>
        <v>30004.702774783254</v>
      </c>
      <c r="M43">
        <f>MIN(E43*Inputs!B29,E43)</f>
        <v>26244.974892904644</v>
      </c>
      <c r="N43">
        <f>MIN((E43-M43)*Inputs!B30,E43-M43)</f>
        <v>9748.1335316502955</v>
      </c>
      <c r="O43">
        <f>MIN(F43*Inputs!B31,F43)</f>
        <v>22532.349342518104</v>
      </c>
      <c r="P43">
        <f>MIN((F43-O43)*Inputs!B34,F43-O43)</f>
        <v>1444.4395668824714</v>
      </c>
      <c r="Q43">
        <f>P43*Inputs!B35</f>
        <v>361.10989172061784</v>
      </c>
      <c r="R43">
        <f>C43*Inputs!B8/12</f>
        <v>4118.7609734101698</v>
      </c>
      <c r="S43">
        <f t="shared" si="1"/>
        <v>41987.954789697229</v>
      </c>
      <c r="T43">
        <f t="shared" si="2"/>
        <v>788185.79016129754</v>
      </c>
      <c r="U43">
        <f t="shared" si="3"/>
        <v>8853941.2767534368</v>
      </c>
      <c r="V43">
        <f t="shared" si="4"/>
        <v>68997.236901384429</v>
      </c>
      <c r="W43">
        <f t="shared" si="5"/>
        <v>173540.92247656727</v>
      </c>
      <c r="X43">
        <f t="shared" si="6"/>
        <v>9096479.4361313879</v>
      </c>
      <c r="Y43">
        <f t="shared" si="13"/>
        <v>77314.792740467688</v>
      </c>
      <c r="Z43">
        <f>IF(Inputs!B3&gt;0,(V43+W43)/Inputs!B3,0)</f>
        <v>8.0846053125983896E-4</v>
      </c>
      <c r="AA43">
        <f>IF(OR(Y43/Inputs!B3&gt;=Inputs!B23,Z43&gt;=Inputs!B24),1,0)</f>
        <v>0</v>
      </c>
      <c r="AB43">
        <f t="shared" si="7"/>
        <v>0</v>
      </c>
    </row>
    <row r="44" spans="1:28" x14ac:dyDescent="0.2">
      <c r="A44">
        <v>43</v>
      </c>
      <c r="B44">
        <f t="shared" si="8"/>
        <v>0</v>
      </c>
      <c r="C44">
        <f t="shared" si="9"/>
        <v>9096479.4361313879</v>
      </c>
      <c r="D44">
        <f t="shared" si="10"/>
        <v>8853941.2767534368</v>
      </c>
      <c r="E44">
        <f t="shared" si="11"/>
        <v>68997.236901384429</v>
      </c>
      <c r="F44">
        <f t="shared" si="12"/>
        <v>173540.92247656727</v>
      </c>
      <c r="G44">
        <f>MAX(Inputs!B7-A44+1,0)</f>
        <v>258</v>
      </c>
      <c r="H44">
        <f>IF(AND(A44&lt;=Inputs!B7,D44&gt;0),-PMT(Inputs!B6/12,G44,D44),0)</f>
        <v>59865.880714230429</v>
      </c>
      <c r="I44">
        <f>IF(AND(A44&lt;=Inputs!B7,D44&gt;0),D44*Inputs!B6/12,0)</f>
        <v>42425.135284443553</v>
      </c>
      <c r="J44">
        <f t="shared" si="0"/>
        <v>17440.745429786875</v>
      </c>
      <c r="K44">
        <f>MAX((D44-J44)*Inputs!B32,0)</f>
        <v>706920.04250589188</v>
      </c>
      <c r="L44">
        <f>MAX((D44-J44-K44)*Inputs!B33,0)</f>
        <v>27608.487824907319</v>
      </c>
      <c r="M44">
        <f>MIN(E44*Inputs!B29,E44)</f>
        <v>24149.032915484549</v>
      </c>
      <c r="N44">
        <f>MIN((E44-M44)*Inputs!B30,E44-M44)</f>
        <v>8969.6407971799763</v>
      </c>
      <c r="O44">
        <f>MIN(F44*Inputs!B31,F44)</f>
        <v>20824.910697188072</v>
      </c>
      <c r="P44">
        <f>MIN((F44-O44)*Inputs!B34,F44-O44)</f>
        <v>1334.9839615282146</v>
      </c>
      <c r="Q44">
        <f>P44*Inputs!B35</f>
        <v>333.74599038205366</v>
      </c>
      <c r="R44">
        <f>C44*Inputs!B8/12</f>
        <v>3790.1997650547451</v>
      </c>
      <c r="S44">
        <f t="shared" si="1"/>
        <v>38634.935519388811</v>
      </c>
      <c r="T44">
        <f t="shared" si="2"/>
        <v>725362.02590682486</v>
      </c>
      <c r="U44">
        <f t="shared" si="3"/>
        <v>8146945.9446055219</v>
      </c>
      <c r="V44">
        <f t="shared" si="4"/>
        <v>63487.051013627221</v>
      </c>
      <c r="W44">
        <f t="shared" si="5"/>
        <v>160350.66861503094</v>
      </c>
      <c r="X44">
        <f t="shared" si="6"/>
        <v>8370783.66423418</v>
      </c>
      <c r="Y44">
        <f t="shared" si="13"/>
        <v>77648.538730849745</v>
      </c>
      <c r="Z44">
        <f>IF(Inputs!B3&gt;0,(V44+W44)/Inputs!B3,0)</f>
        <v>7.4612573209552715E-4</v>
      </c>
      <c r="AA44">
        <f>IF(OR(Y44/Inputs!B3&gt;=Inputs!B23,Z44&gt;=Inputs!B24),1,0)</f>
        <v>0</v>
      </c>
      <c r="AB44">
        <f t="shared" si="7"/>
        <v>0</v>
      </c>
    </row>
    <row r="45" spans="1:28" x14ac:dyDescent="0.2">
      <c r="A45">
        <v>44</v>
      </c>
      <c r="B45">
        <f t="shared" si="8"/>
        <v>0</v>
      </c>
      <c r="C45">
        <f t="shared" si="9"/>
        <v>8370783.66423418</v>
      </c>
      <c r="D45">
        <f t="shared" si="10"/>
        <v>8146945.9446055219</v>
      </c>
      <c r="E45">
        <f t="shared" si="11"/>
        <v>63487.051013627221</v>
      </c>
      <c r="F45">
        <f t="shared" si="12"/>
        <v>160350.66861503094</v>
      </c>
      <c r="G45">
        <f>MAX(Inputs!B7-A45+1,0)</f>
        <v>257</v>
      </c>
      <c r="H45">
        <f>IF(AND(A45&lt;=Inputs!B7,D45&gt;0),-PMT(Inputs!B6/12,G45,D45),0)</f>
        <v>55194.258448370121</v>
      </c>
      <c r="I45">
        <f>IF(AND(A45&lt;=Inputs!B7,D45&gt;0),D45*Inputs!B6/12,0)</f>
        <v>39037.449317901461</v>
      </c>
      <c r="J45">
        <f t="shared" si="0"/>
        <v>16156.80913046866</v>
      </c>
      <c r="K45">
        <f>MAX((D45-J45)*Inputs!B32,0)</f>
        <v>650463.13083800429</v>
      </c>
      <c r="L45">
        <f>MAX((D45-J45-K45)*Inputs!B33,0)</f>
        <v>25403.585056993856</v>
      </c>
      <c r="M45">
        <f>MIN(E45*Inputs!B29,E45)</f>
        <v>22220.467854769526</v>
      </c>
      <c r="N45">
        <f>MIN((E45-M45)*Inputs!B30,E45-M45)</f>
        <v>8253.3166317715404</v>
      </c>
      <c r="O45">
        <f>MIN(F45*Inputs!B31,F45)</f>
        <v>19242.080233803714</v>
      </c>
      <c r="P45">
        <f>MIN((F45-O45)*Inputs!B34,F45-O45)</f>
        <v>1233.5163819951263</v>
      </c>
      <c r="Q45">
        <f>P45*Inputs!B35</f>
        <v>308.37909549878157</v>
      </c>
      <c r="R45">
        <f>C45*Inputs!B8/12</f>
        <v>3487.8265267642419</v>
      </c>
      <c r="S45">
        <f t="shared" si="1"/>
        <v>35549.622791137219</v>
      </c>
      <c r="T45">
        <f t="shared" si="2"/>
        <v>667545.07725496928</v>
      </c>
      <c r="U45">
        <f t="shared" si="3"/>
        <v>7496384.9676686293</v>
      </c>
      <c r="V45">
        <f t="shared" si="4"/>
        <v>58416.851584080017</v>
      </c>
      <c r="W45">
        <f t="shared" si="5"/>
        <v>148128.38863100365</v>
      </c>
      <c r="X45">
        <f t="shared" si="6"/>
        <v>7702930.2078837128</v>
      </c>
      <c r="Y45">
        <f t="shared" si="13"/>
        <v>77956.917826348523</v>
      </c>
      <c r="Z45">
        <f>IF(Inputs!B3&gt;0,(V45+W45)/Inputs!B3,0)</f>
        <v>6.8848413405027886E-4</v>
      </c>
      <c r="AA45">
        <f>IF(OR(Y45/Inputs!B3&gt;=Inputs!B23,Z45&gt;=Inputs!B24),1,0)</f>
        <v>0</v>
      </c>
      <c r="AB45">
        <f t="shared" si="7"/>
        <v>0</v>
      </c>
    </row>
    <row r="46" spans="1:28" x14ac:dyDescent="0.2">
      <c r="A46">
        <v>45</v>
      </c>
      <c r="B46">
        <f t="shared" si="8"/>
        <v>0</v>
      </c>
      <c r="C46">
        <f t="shared" si="9"/>
        <v>7702930.2078837128</v>
      </c>
      <c r="D46">
        <f t="shared" si="10"/>
        <v>7496384.9676686293</v>
      </c>
      <c r="E46">
        <f t="shared" si="11"/>
        <v>58416.851584080017</v>
      </c>
      <c r="F46">
        <f t="shared" si="12"/>
        <v>148128.38863100365</v>
      </c>
      <c r="G46">
        <f>MAX(Inputs!B7-A46+1,0)</f>
        <v>256</v>
      </c>
      <c r="H46">
        <f>IF(AND(A46&lt;=Inputs!B7,D46&gt;0),-PMT(Inputs!B6/12,G46,D46),0)</f>
        <v>50887.730875805675</v>
      </c>
      <c r="I46">
        <f>IF(AND(A46&lt;=Inputs!B7,D46&gt;0),D46*Inputs!B6/12,0)</f>
        <v>35920.177970078854</v>
      </c>
      <c r="J46">
        <f t="shared" si="0"/>
        <v>14967.552905726821</v>
      </c>
      <c r="K46">
        <f>MAX((D46-J46)*Inputs!B32,0)</f>
        <v>598513.39318103215</v>
      </c>
      <c r="L46">
        <f>MAX((D46-J46-K46)*Inputs!B33,0)</f>
        <v>23374.70822033564</v>
      </c>
      <c r="M46">
        <f>MIN(E46*Inputs!B29,E46)</f>
        <v>20445.898054428006</v>
      </c>
      <c r="N46">
        <f>MIN((E46-M46)*Inputs!B30,E46-M46)</f>
        <v>7594.1907059304031</v>
      </c>
      <c r="O46">
        <f>MIN(F46*Inputs!B31,F46)</f>
        <v>17775.406635720436</v>
      </c>
      <c r="P46">
        <f>MIN((F46-O46)*Inputs!B34,F46-O46)</f>
        <v>1139.4950553873523</v>
      </c>
      <c r="Q46">
        <f>P46*Inputs!B35</f>
        <v>284.87376384683807</v>
      </c>
      <c r="R46">
        <f>C46*Inputs!B8/12</f>
        <v>3209.5542532848808</v>
      </c>
      <c r="S46">
        <f t="shared" si="1"/>
        <v>32710.623716793973</v>
      </c>
      <c r="T46">
        <f t="shared" si="2"/>
        <v>614335.56737829954</v>
      </c>
      <c r="U46">
        <f t="shared" si="3"/>
        <v>6897750.6180516826</v>
      </c>
      <c r="V46">
        <f t="shared" si="4"/>
        <v>53751.471044057253</v>
      </c>
      <c r="W46">
        <f t="shared" si="5"/>
        <v>136807.67764582628</v>
      </c>
      <c r="X46">
        <f t="shared" si="6"/>
        <v>7088309.7667415664</v>
      </c>
      <c r="Y46">
        <f t="shared" si="13"/>
        <v>78241.791590195367</v>
      </c>
      <c r="Z46">
        <f>IF(Inputs!B3&gt;0,(V46+W46)/Inputs!B3,0)</f>
        <v>6.3519716229961179E-4</v>
      </c>
      <c r="AA46">
        <f>IF(OR(Y46/Inputs!B3&gt;=Inputs!B23,Z46&gt;=Inputs!B24),1,0)</f>
        <v>0</v>
      </c>
      <c r="AB46">
        <f t="shared" si="7"/>
        <v>0</v>
      </c>
    </row>
    <row r="47" spans="1:28" x14ac:dyDescent="0.2">
      <c r="A47">
        <v>46</v>
      </c>
      <c r="B47">
        <f t="shared" si="8"/>
        <v>0</v>
      </c>
      <c r="C47">
        <f t="shared" si="9"/>
        <v>7088309.7667415664</v>
      </c>
      <c r="D47">
        <f t="shared" si="10"/>
        <v>6897750.6180516826</v>
      </c>
      <c r="E47">
        <f t="shared" si="11"/>
        <v>53751.471044057253</v>
      </c>
      <c r="F47">
        <f t="shared" si="12"/>
        <v>136807.67764582628</v>
      </c>
      <c r="G47">
        <f>MAX(Inputs!B7-A47+1,0)</f>
        <v>255</v>
      </c>
      <c r="H47">
        <f>IF(AND(A47&lt;=Inputs!B7,D47&gt;0),-PMT(Inputs!B6/12,G47,D47),0)</f>
        <v>46917.69722769309</v>
      </c>
      <c r="I47">
        <f>IF(AND(A47&lt;=Inputs!B7,D47&gt;0),D47*Inputs!B6/12,0)</f>
        <v>33051.721711497645</v>
      </c>
      <c r="J47">
        <f t="shared" si="0"/>
        <v>13865.975516195445</v>
      </c>
      <c r="K47">
        <f>MAX((D47-J47)*Inputs!B32,0)</f>
        <v>550710.77140283899</v>
      </c>
      <c r="L47">
        <f>MAX((D47-J47-K47)*Inputs!B33,0)</f>
        <v>21507.795384361132</v>
      </c>
      <c r="M47">
        <f>MIN(E47*Inputs!B29,E47)</f>
        <v>18813.014865420038</v>
      </c>
      <c r="N47">
        <f>MIN((E47-M47)*Inputs!B30,E47-M47)</f>
        <v>6987.6912357274432</v>
      </c>
      <c r="O47">
        <f>MIN(F47*Inputs!B31,F47)</f>
        <v>16416.921317499153</v>
      </c>
      <c r="P47">
        <f>MIN((F47-O47)*Inputs!B34,F47-O47)</f>
        <v>1052.4091543639279</v>
      </c>
      <c r="Q47">
        <f>P47*Inputs!B35</f>
        <v>263.10228859098197</v>
      </c>
      <c r="R47">
        <f>C47*Inputs!B8/12</f>
        <v>2953.4624028089861</v>
      </c>
      <c r="S47">
        <f t="shared" si="1"/>
        <v>30098.259308688659</v>
      </c>
      <c r="T47">
        <f t="shared" si="2"/>
        <v>565366.05378480733</v>
      </c>
      <c r="U47">
        <f t="shared" si="3"/>
        <v>6346896.0119312061</v>
      </c>
      <c r="V47">
        <f t="shared" si="4"/>
        <v>49458.560327270905</v>
      </c>
      <c r="W47">
        <f t="shared" si="5"/>
        <v>126326.03840969063</v>
      </c>
      <c r="X47">
        <f t="shared" si="6"/>
        <v>6522680.6106681675</v>
      </c>
      <c r="Y47">
        <f t="shared" si="13"/>
        <v>78504.893878786344</v>
      </c>
      <c r="Z47">
        <f>IF(Inputs!B3&gt;0,(V47+W47)/Inputs!B3,0)</f>
        <v>5.859486624565385E-4</v>
      </c>
      <c r="AA47">
        <f>IF(OR(Y47/Inputs!B3&gt;=Inputs!B23,Z47&gt;=Inputs!B24),1,0)</f>
        <v>0</v>
      </c>
      <c r="AB47">
        <f t="shared" si="7"/>
        <v>0</v>
      </c>
    </row>
    <row r="48" spans="1:28" x14ac:dyDescent="0.2">
      <c r="A48">
        <v>47</v>
      </c>
      <c r="B48">
        <f t="shared" si="8"/>
        <v>0</v>
      </c>
      <c r="C48">
        <f t="shared" si="9"/>
        <v>6522680.6106681675</v>
      </c>
      <c r="D48">
        <f t="shared" si="10"/>
        <v>6346896.0119312061</v>
      </c>
      <c r="E48">
        <f t="shared" si="11"/>
        <v>49458.560327270905</v>
      </c>
      <c r="F48">
        <f t="shared" si="12"/>
        <v>126326.03840969063</v>
      </c>
      <c r="G48">
        <f>MAX(Inputs!B7-A48+1,0)</f>
        <v>254</v>
      </c>
      <c r="H48">
        <f>IF(AND(A48&lt;=Inputs!B7,D48&gt;0),-PMT(Inputs!B6/12,G48,D48),0)</f>
        <v>43257.805859129192</v>
      </c>
      <c r="I48">
        <f>IF(AND(A48&lt;=Inputs!B7,D48&gt;0),D48*Inputs!B6/12,0)</f>
        <v>30412.210057170363</v>
      </c>
      <c r="J48">
        <f t="shared" si="0"/>
        <v>12845.595801958829</v>
      </c>
      <c r="K48">
        <f>MAX((D48-J48)*Inputs!B32,0)</f>
        <v>506724.03329033981</v>
      </c>
      <c r="L48">
        <f>MAX((D48-J48-K48)*Inputs!B33,0)</f>
        <v>19789.91040357676</v>
      </c>
      <c r="M48">
        <f>MIN(E48*Inputs!B29,E48)</f>
        <v>17310.496114544814</v>
      </c>
      <c r="N48">
        <f>MIN((E48-M48)*Inputs!B30,E48-M48)</f>
        <v>6429.6128425452189</v>
      </c>
      <c r="O48">
        <f>MIN(F48*Inputs!B31,F48)</f>
        <v>15159.124609162876</v>
      </c>
      <c r="P48">
        <f>MIN((F48-O48)*Inputs!B34,F48-O48)</f>
        <v>971.77791147851963</v>
      </c>
      <c r="Q48">
        <f>P48*Inputs!B35</f>
        <v>242.94447786962991</v>
      </c>
      <c r="R48">
        <f>C48*Inputs!B8/12</f>
        <v>2717.7835877784032</v>
      </c>
      <c r="S48">
        <f t="shared" si="1"/>
        <v>27694.426469391961</v>
      </c>
      <c r="T48">
        <f t="shared" si="2"/>
        <v>520298.46252590755</v>
      </c>
      <c r="U48">
        <f t="shared" si="3"/>
        <v>5840006.0931590386</v>
      </c>
      <c r="V48">
        <f t="shared" si="4"/>
        <v>45508.361773757628</v>
      </c>
      <c r="W48">
        <f t="shared" si="5"/>
        <v>116624.74873159446</v>
      </c>
      <c r="X48">
        <f t="shared" si="6"/>
        <v>6002139.2036643904</v>
      </c>
      <c r="Y48">
        <f t="shared" si="13"/>
        <v>78747.838356655979</v>
      </c>
      <c r="Z48">
        <f>IF(Inputs!B3&gt;0,(V48+W48)/Inputs!B3,0)</f>
        <v>5.4044370168450698E-4</v>
      </c>
      <c r="AA48">
        <f>IF(OR(Y48/Inputs!B3&gt;=Inputs!B23,Z48&gt;=Inputs!B24),1,0)</f>
        <v>0</v>
      </c>
      <c r="AB48">
        <f t="shared" si="7"/>
        <v>0</v>
      </c>
    </row>
    <row r="49" spans="1:28" x14ac:dyDescent="0.2">
      <c r="A49">
        <v>48</v>
      </c>
      <c r="B49">
        <f t="shared" si="8"/>
        <v>0</v>
      </c>
      <c r="C49">
        <f t="shared" si="9"/>
        <v>6002139.2036643904</v>
      </c>
      <c r="D49">
        <f t="shared" si="10"/>
        <v>5840006.0931590386</v>
      </c>
      <c r="E49">
        <f t="shared" si="11"/>
        <v>45508.361773757628</v>
      </c>
      <c r="F49">
        <f t="shared" si="12"/>
        <v>116624.74873159446</v>
      </c>
      <c r="G49">
        <f>MAX(Inputs!B7-A49+1,0)</f>
        <v>253</v>
      </c>
      <c r="H49">
        <f>IF(AND(A49&lt;=Inputs!B7,D49&gt;0),-PMT(Inputs!B6/12,G49,D49),0)</f>
        <v>39883.776288030473</v>
      </c>
      <c r="I49">
        <f>IF(AND(A49&lt;=Inputs!B7,D49&gt;0),D49*Inputs!B6/12,0)</f>
        <v>27983.362529720394</v>
      </c>
      <c r="J49">
        <f t="shared" si="0"/>
        <v>11900.413758310078</v>
      </c>
      <c r="K49">
        <f>MAX((D49-J49)*Inputs!B32,0)</f>
        <v>466248.45435205824</v>
      </c>
      <c r="L49">
        <f>MAX((D49-J49-K49)*Inputs!B33,0)</f>
        <v>18209.152381265762</v>
      </c>
      <c r="M49">
        <f>MIN(E49*Inputs!B29,E49)</f>
        <v>15927.926620815169</v>
      </c>
      <c r="N49">
        <f>MIN((E49-M49)*Inputs!B30,E49-M49)</f>
        <v>5916.0870305884928</v>
      </c>
      <c r="O49">
        <f>MIN(F49*Inputs!B31,F49)</f>
        <v>13994.969847791335</v>
      </c>
      <c r="P49">
        <f>MIN((F49-O49)*Inputs!B34,F49-O49)</f>
        <v>897.14959936875562</v>
      </c>
      <c r="Q49">
        <f>P49*Inputs!B35</f>
        <v>224.2873998421889</v>
      </c>
      <c r="R49">
        <f>C49*Inputs!B8/12</f>
        <v>2500.8913348601627</v>
      </c>
      <c r="S49">
        <f t="shared" si="1"/>
        <v>25482.471194860231</v>
      </c>
      <c r="T49">
        <f t="shared" si="2"/>
        <v>478821.73030989489</v>
      </c>
      <c r="U49">
        <f t="shared" si="3"/>
        <v>5373570.9691360099</v>
      </c>
      <c r="V49">
        <f t="shared" si="4"/>
        <v>41873.500503619725</v>
      </c>
      <c r="W49">
        <f t="shared" si="5"/>
        <v>107648.71631502286</v>
      </c>
      <c r="X49">
        <f t="shared" si="6"/>
        <v>5523093.1859546527</v>
      </c>
      <c r="Y49">
        <f t="shared" si="13"/>
        <v>78972.125756498164</v>
      </c>
      <c r="Z49">
        <f>IF(Inputs!B3&gt;0,(V49+W49)/Inputs!B3,0)</f>
        <v>4.9840738939547526E-4</v>
      </c>
      <c r="AA49">
        <f>IF(OR(Y49/Inputs!B3&gt;=Inputs!B23,Z49&gt;=Inputs!B24),1,0)</f>
        <v>0</v>
      </c>
      <c r="AB49">
        <f t="shared" si="7"/>
        <v>0</v>
      </c>
    </row>
    <row r="50" spans="1:28" x14ac:dyDescent="0.2">
      <c r="A50">
        <v>49</v>
      </c>
      <c r="B50">
        <f t="shared" si="8"/>
        <v>0</v>
      </c>
      <c r="C50">
        <f t="shared" si="9"/>
        <v>5523093.1859546527</v>
      </c>
      <c r="D50">
        <f t="shared" si="10"/>
        <v>5373570.9691360099</v>
      </c>
      <c r="E50">
        <f t="shared" si="11"/>
        <v>41873.500503619725</v>
      </c>
      <c r="F50">
        <f t="shared" si="12"/>
        <v>107648.71631502286</v>
      </c>
      <c r="G50">
        <f>MAX(Inputs!B7-A50+1,0)</f>
        <v>252</v>
      </c>
      <c r="H50">
        <f>IF(AND(A50&lt;=Inputs!B7,D50&gt;0),-PMT(Inputs!B6/12,G50,D50),0)</f>
        <v>36773.235454253627</v>
      </c>
      <c r="I50">
        <f>IF(AND(A50&lt;=Inputs!B7,D50&gt;0),D50*Inputs!B6/12,0)</f>
        <v>25748.360893776713</v>
      </c>
      <c r="J50">
        <f t="shared" si="0"/>
        <v>11024.874560476914</v>
      </c>
      <c r="K50">
        <f>MAX((D50-J50)*Inputs!B32,0)</f>
        <v>429003.68756604264</v>
      </c>
      <c r="L50">
        <f>MAX((D50-J50-K50)*Inputs!B33,0)</f>
        <v>16754.572473320011</v>
      </c>
      <c r="M50">
        <f>MIN(E50*Inputs!B29,E50)</f>
        <v>14655.725176266902</v>
      </c>
      <c r="N50">
        <f>MIN((E50-M50)*Inputs!B30,E50-M50)</f>
        <v>5443.5550654705648</v>
      </c>
      <c r="O50">
        <f>MIN(F50*Inputs!B31,F50)</f>
        <v>12917.845957802743</v>
      </c>
      <c r="P50">
        <f>MIN((F50-O50)*Inputs!B34,F50-O50)</f>
        <v>828.10041406263031</v>
      </c>
      <c r="Q50">
        <f>P50*Inputs!B35</f>
        <v>207.02510351565758</v>
      </c>
      <c r="R50">
        <f>C50*Inputs!B8/12</f>
        <v>2301.2888274811053</v>
      </c>
      <c r="S50">
        <f t="shared" si="1"/>
        <v>23447.072066295608</v>
      </c>
      <c r="T50">
        <f t="shared" si="2"/>
        <v>440649.63743706653</v>
      </c>
      <c r="U50">
        <f t="shared" si="3"/>
        <v>4944361.4056702396</v>
      </c>
      <c r="V50">
        <f t="shared" si="4"/>
        <v>38528.792735202267</v>
      </c>
      <c r="W50">
        <f t="shared" si="5"/>
        <v>99346.325008628046</v>
      </c>
      <c r="X50">
        <f t="shared" si="6"/>
        <v>5082236.5234140698</v>
      </c>
      <c r="Y50">
        <f t="shared" si="13"/>
        <v>79179.150860013819</v>
      </c>
      <c r="Z50">
        <f>IF(Inputs!B3&gt;0,(V50+W50)/Inputs!B3,0)</f>
        <v>4.595837258127677E-4</v>
      </c>
      <c r="AA50">
        <f>IF(OR(Y50/Inputs!B3&gt;=Inputs!B23,Z50&gt;=Inputs!B24),1,0)</f>
        <v>0</v>
      </c>
      <c r="AB50">
        <f t="shared" si="7"/>
        <v>0</v>
      </c>
    </row>
    <row r="51" spans="1:28" x14ac:dyDescent="0.2">
      <c r="A51">
        <v>50</v>
      </c>
      <c r="B51">
        <f t="shared" si="8"/>
        <v>0</v>
      </c>
      <c r="C51">
        <f t="shared" si="9"/>
        <v>5082236.5234140698</v>
      </c>
      <c r="D51">
        <f t="shared" si="10"/>
        <v>4944361.4056702396</v>
      </c>
      <c r="E51">
        <f t="shared" si="11"/>
        <v>38528.792735202267</v>
      </c>
      <c r="F51">
        <f t="shared" si="12"/>
        <v>99346.325008628046</v>
      </c>
      <c r="G51">
        <f>MAX(Inputs!B7-A51+1,0)</f>
        <v>251</v>
      </c>
      <c r="H51">
        <f>IF(AND(A51&lt;=Inputs!B7,D51&gt;0),-PMT(Inputs!B6/12,G51,D51),0)</f>
        <v>33905.567045019103</v>
      </c>
      <c r="I51">
        <f>IF(AND(A51&lt;=Inputs!B7,D51&gt;0),D51*Inputs!B6/12,0)</f>
        <v>23691.731735503232</v>
      </c>
      <c r="J51">
        <f t="shared" si="0"/>
        <v>10213.835309515871</v>
      </c>
      <c r="K51">
        <f>MAX((D51-J51)*Inputs!B32,0)</f>
        <v>394731.80562885792</v>
      </c>
      <c r="L51">
        <f>MAX((D51-J51-K51)*Inputs!B33,0)</f>
        <v>15416.097429034453</v>
      </c>
      <c r="M51">
        <f>MIN(E51*Inputs!B29,E51)</f>
        <v>13485.077457320793</v>
      </c>
      <c r="N51">
        <f>MIN((E51-M51)*Inputs!B30,E51-M51)</f>
        <v>5008.7430555762949</v>
      </c>
      <c r="O51">
        <f>MIN(F51*Inputs!B31,F51)</f>
        <v>11921.559001035364</v>
      </c>
      <c r="P51">
        <f>MIN((F51-O51)*Inputs!B34,F51-O51)</f>
        <v>764.23329224376971</v>
      </c>
      <c r="Q51">
        <f>P51*Inputs!B35</f>
        <v>191.05832306094243</v>
      </c>
      <c r="R51">
        <f>C51*Inputs!B8/12</f>
        <v>2117.598551422529</v>
      </c>
      <c r="S51">
        <f t="shared" si="1"/>
        <v>21574.133184080703</v>
      </c>
      <c r="T51">
        <f t="shared" si="2"/>
        <v>405518.81590755668</v>
      </c>
      <c r="U51">
        <f t="shared" si="3"/>
        <v>4549406.3037611879</v>
      </c>
      <c r="V51">
        <f t="shared" si="4"/>
        <v>35451.069651339632</v>
      </c>
      <c r="W51">
        <f t="shared" si="5"/>
        <v>91669.275770925218</v>
      </c>
      <c r="X51">
        <f t="shared" si="6"/>
        <v>4676526.6491834521</v>
      </c>
      <c r="Y51">
        <f t="shared" si="13"/>
        <v>79370.209183074767</v>
      </c>
      <c r="Z51">
        <f>IF(Inputs!B3&gt;0,(V51+W51)/Inputs!B3,0)</f>
        <v>4.2373448474088284E-4</v>
      </c>
      <c r="AA51">
        <f>IF(OR(Y51/Inputs!B3&gt;=Inputs!B23,Z51&gt;=Inputs!B24),1,0)</f>
        <v>0</v>
      </c>
      <c r="AB51">
        <f t="shared" si="7"/>
        <v>0</v>
      </c>
    </row>
    <row r="52" spans="1:28" x14ac:dyDescent="0.2">
      <c r="A52">
        <v>51</v>
      </c>
      <c r="B52">
        <f t="shared" si="8"/>
        <v>0</v>
      </c>
      <c r="C52">
        <f t="shared" si="9"/>
        <v>4676526.6491834521</v>
      </c>
      <c r="D52">
        <f t="shared" si="10"/>
        <v>4549406.3037611879</v>
      </c>
      <c r="E52">
        <f t="shared" si="11"/>
        <v>35451.069651339632</v>
      </c>
      <c r="F52">
        <f t="shared" si="12"/>
        <v>91669.275770925218</v>
      </c>
      <c r="G52">
        <f>MAX(Inputs!B7-A52+1,0)</f>
        <v>250</v>
      </c>
      <c r="H52">
        <f>IF(AND(A52&lt;=Inputs!B7,D52&gt;0),-PMT(Inputs!B6/12,G52,D52),0)</f>
        <v>31261.77282855986</v>
      </c>
      <c r="I52">
        <f>IF(AND(A52&lt;=Inputs!B7,D52&gt;0),D52*Inputs!B6/12,0)</f>
        <v>21799.238538855694</v>
      </c>
      <c r="J52">
        <f t="shared" si="0"/>
        <v>9462.5342897041664</v>
      </c>
      <c r="K52">
        <f>MAX((D52-J52)*Inputs!B32,0)</f>
        <v>363195.50155771873</v>
      </c>
      <c r="L52">
        <f>MAX((D52-J52-K52)*Inputs!B33,0)</f>
        <v>14184.459316321916</v>
      </c>
      <c r="M52">
        <f>MIN(E52*Inputs!B29,E52)</f>
        <v>12407.87437796887</v>
      </c>
      <c r="N52">
        <f>MIN((E52-M52)*Inputs!B30,E52-M52)</f>
        <v>4608.6390546741522</v>
      </c>
      <c r="O52">
        <f>MIN(F52*Inputs!B31,F52)</f>
        <v>11000.313092511025</v>
      </c>
      <c r="P52">
        <f>MIN((F52-O52)*Inputs!B34,F52-O52)</f>
        <v>705.1766878536464</v>
      </c>
      <c r="Q52">
        <f>P52*Inputs!B35</f>
        <v>176.2941719634116</v>
      </c>
      <c r="R52">
        <f>C52*Inputs!B8/12</f>
        <v>1948.5527704931053</v>
      </c>
      <c r="S52">
        <f t="shared" si="1"/>
        <v>19850.685768362589</v>
      </c>
      <c r="T52">
        <f t="shared" si="2"/>
        <v>373186.91836331313</v>
      </c>
      <c r="U52">
        <f t="shared" si="3"/>
        <v>4185971.996067923</v>
      </c>
      <c r="V52">
        <f t="shared" si="4"/>
        <v>32619.015535018523</v>
      </c>
      <c r="W52">
        <f t="shared" si="5"/>
        <v>84572.42504523469</v>
      </c>
      <c r="X52">
        <f t="shared" si="6"/>
        <v>4303163.436648177</v>
      </c>
      <c r="Y52">
        <f t="shared" si="13"/>
        <v>79546.503355038178</v>
      </c>
      <c r="Z52">
        <f>IF(Inputs!B3&gt;0,(V52+W52)/Inputs!B3,0)</f>
        <v>3.9063813526751069E-4</v>
      </c>
      <c r="AA52">
        <f>IF(OR(Y52/Inputs!B3&gt;=Inputs!B23,Z52&gt;=Inputs!B24),1,0)</f>
        <v>0</v>
      </c>
      <c r="AB52">
        <f t="shared" si="7"/>
        <v>0</v>
      </c>
    </row>
    <row r="53" spans="1:28" x14ac:dyDescent="0.2">
      <c r="A53">
        <v>52</v>
      </c>
      <c r="B53">
        <f t="shared" si="8"/>
        <v>0</v>
      </c>
      <c r="C53">
        <f t="shared" si="9"/>
        <v>4303163.436648177</v>
      </c>
      <c r="D53">
        <f t="shared" si="10"/>
        <v>4185971.996067923</v>
      </c>
      <c r="E53">
        <f t="shared" si="11"/>
        <v>32619.015535018523</v>
      </c>
      <c r="F53">
        <f t="shared" si="12"/>
        <v>84572.42504523469</v>
      </c>
      <c r="G53">
        <f>MAX(Inputs!B7-A53+1,0)</f>
        <v>249</v>
      </c>
      <c r="H53">
        <f>IF(AND(A53&lt;=Inputs!B7,D53&gt;0),-PMT(Inputs!B6/12,G53,D53),0)</f>
        <v>28824.345025538238</v>
      </c>
      <c r="I53">
        <f>IF(AND(A53&lt;=Inputs!B7,D53&gt;0),D53*Inputs!B6/12,0)</f>
        <v>20057.7824811588</v>
      </c>
      <c r="J53">
        <f t="shared" si="0"/>
        <v>8766.5625443794379</v>
      </c>
      <c r="K53">
        <f>MAX((D53-J53)*Inputs!B32,0)</f>
        <v>334176.43468188349</v>
      </c>
      <c r="L53">
        <f>MAX((D53-J53-K53)*Inputs!B33,0)</f>
        <v>13051.130925049165</v>
      </c>
      <c r="M53">
        <f>MIN(E53*Inputs!B29,E53)</f>
        <v>11416.655437256482</v>
      </c>
      <c r="N53">
        <f>MIN((E53-M53)*Inputs!B30,E53-M53)</f>
        <v>4240.4720195524087</v>
      </c>
      <c r="O53">
        <f>MIN(F53*Inputs!B31,F53)</f>
        <v>10148.691005428162</v>
      </c>
      <c r="P53">
        <f>MIN((F53-O53)*Inputs!B34,F53-O53)</f>
        <v>650.58332877180806</v>
      </c>
      <c r="Q53">
        <f>P53*Inputs!B35</f>
        <v>162.64583219295201</v>
      </c>
      <c r="R53">
        <f>C53*Inputs!B8/12</f>
        <v>1792.9847652700737</v>
      </c>
      <c r="S53">
        <f t="shared" si="1"/>
        <v>18264.797715888726</v>
      </c>
      <c r="T53">
        <f t="shared" si="2"/>
        <v>343430.93472284178</v>
      </c>
      <c r="U53">
        <f t="shared" si="3"/>
        <v>3851543.214359296</v>
      </c>
      <c r="V53">
        <f t="shared" si="4"/>
        <v>30013.019003258796</v>
      </c>
      <c r="W53">
        <f t="shared" si="5"/>
        <v>78013.622730587129</v>
      </c>
      <c r="X53">
        <f t="shared" si="6"/>
        <v>3959569.8560931422</v>
      </c>
      <c r="Y53">
        <f t="shared" si="13"/>
        <v>79709.149187231131</v>
      </c>
      <c r="Z53">
        <f>IF(Inputs!B3&gt;0,(V53+W53)/Inputs!B3,0)</f>
        <v>3.6008880577948643E-4</v>
      </c>
      <c r="AA53">
        <f>IF(OR(Y53/Inputs!B3&gt;=Inputs!B23,Z53&gt;=Inputs!B24),1,0)</f>
        <v>0</v>
      </c>
      <c r="AB53">
        <f t="shared" si="7"/>
        <v>0</v>
      </c>
    </row>
    <row r="54" spans="1:28" x14ac:dyDescent="0.2">
      <c r="A54">
        <v>53</v>
      </c>
      <c r="B54">
        <f t="shared" si="8"/>
        <v>0</v>
      </c>
      <c r="C54">
        <f t="shared" si="9"/>
        <v>3959569.8560931422</v>
      </c>
      <c r="D54">
        <f t="shared" si="10"/>
        <v>3851543.214359296</v>
      </c>
      <c r="E54">
        <f t="shared" si="11"/>
        <v>30013.019003258796</v>
      </c>
      <c r="F54">
        <f t="shared" si="12"/>
        <v>78013.622730587129</v>
      </c>
      <c r="G54">
        <f>MAX(Inputs!B7-A54+1,0)</f>
        <v>248</v>
      </c>
      <c r="H54">
        <f>IF(AND(A54&lt;=Inputs!B7,D54&gt;0),-PMT(Inputs!B6/12,G54,D54),0)</f>
        <v>26577.148827898847</v>
      </c>
      <c r="I54">
        <f>IF(AND(A54&lt;=Inputs!B7,D54&gt;0),D54*Inputs!B6/12,0)</f>
        <v>18455.311235471629</v>
      </c>
      <c r="J54">
        <f t="shared" si="0"/>
        <v>8121.8375924272186</v>
      </c>
      <c r="K54">
        <f>MAX((D54-J54)*Inputs!B32,0)</f>
        <v>307473.71014134953</v>
      </c>
      <c r="L54">
        <f>MAX((D54-J54-K54)*Inputs!B33,0)</f>
        <v>12008.266384448674</v>
      </c>
      <c r="M54">
        <f>MIN(E54*Inputs!B29,E54)</f>
        <v>10504.556651140578</v>
      </c>
      <c r="N54">
        <f>MIN((E54-M54)*Inputs!B30,E54-M54)</f>
        <v>3901.692470423644</v>
      </c>
      <c r="O54">
        <f>MIN(F54*Inputs!B31,F54)</f>
        <v>9361.6347276704546</v>
      </c>
      <c r="P54">
        <f>MIN((F54-O54)*Inputs!B34,F54-O54)</f>
        <v>600.1289703880044</v>
      </c>
      <c r="Q54">
        <f>P54*Inputs!B35</f>
        <v>150.0322425970011</v>
      </c>
      <c r="R54">
        <f>C54*Inputs!B8/12</f>
        <v>1649.8207733721426</v>
      </c>
      <c r="S54">
        <f t="shared" si="1"/>
        <v>16805.490462099486</v>
      </c>
      <c r="T54">
        <f t="shared" si="2"/>
        <v>316045.64446156775</v>
      </c>
      <c r="U54">
        <f t="shared" si="3"/>
        <v>3543805.5916198813</v>
      </c>
      <c r="V54">
        <f t="shared" si="4"/>
        <v>27615.036266143248</v>
      </c>
      <c r="W54">
        <f t="shared" si="5"/>
        <v>71953.551502952323</v>
      </c>
      <c r="X54">
        <f t="shared" si="6"/>
        <v>3643374.1793889771</v>
      </c>
      <c r="Y54">
        <f t="shared" si="13"/>
        <v>79859.181429828139</v>
      </c>
      <c r="Z54">
        <f>IF(Inputs!B3&gt;0,(V54+W54)/Inputs!B3,0)</f>
        <v>3.3189529256365187E-4</v>
      </c>
      <c r="AA54">
        <f>IF(OR(Y54/Inputs!B3&gt;=Inputs!B23,Z54&gt;=Inputs!B24),1,0)</f>
        <v>0</v>
      </c>
      <c r="AB54">
        <f t="shared" si="7"/>
        <v>0</v>
      </c>
    </row>
    <row r="55" spans="1:28" x14ac:dyDescent="0.2">
      <c r="A55">
        <v>54</v>
      </c>
      <c r="B55">
        <f t="shared" si="8"/>
        <v>0</v>
      </c>
      <c r="C55">
        <f t="shared" si="9"/>
        <v>3643374.1793889771</v>
      </c>
      <c r="D55">
        <f t="shared" si="10"/>
        <v>3543805.5916198813</v>
      </c>
      <c r="E55">
        <f t="shared" si="11"/>
        <v>27615.036266143248</v>
      </c>
      <c r="F55">
        <f t="shared" si="12"/>
        <v>71953.551502952323</v>
      </c>
      <c r="G55">
        <f>MAX(Inputs!B7-A55+1,0)</f>
        <v>247</v>
      </c>
      <c r="H55">
        <f>IF(AND(A55&lt;=Inputs!B7,D55&gt;0),-PMT(Inputs!B6/12,G55,D55),0)</f>
        <v>24505.314248121966</v>
      </c>
      <c r="I55">
        <f>IF(AND(A55&lt;=Inputs!B7,D55&gt;0),D55*Inputs!B6/12,0)</f>
        <v>16980.735126511932</v>
      </c>
      <c r="J55">
        <f t="shared" si="0"/>
        <v>7524.5791216100333</v>
      </c>
      <c r="K55">
        <f>MAX((D55-J55)*Inputs!B32,0)</f>
        <v>282902.48099986173</v>
      </c>
      <c r="L55">
        <f>MAX((D55-J55-K55)*Inputs!B33,0)</f>
        <v>11048.646569184884</v>
      </c>
      <c r="M55">
        <f>MIN(E55*Inputs!B29,E55)</f>
        <v>9665.2626931501363</v>
      </c>
      <c r="N55">
        <f>MIN((E55-M55)*Inputs!B30,E55-M55)</f>
        <v>3589.9547145986226</v>
      </c>
      <c r="O55">
        <f>MIN(F55*Inputs!B31,F55)</f>
        <v>8634.4261803542777</v>
      </c>
      <c r="P55">
        <f>MIN((F55-O55)*Inputs!B34,F55-O55)</f>
        <v>553.51115956183764</v>
      </c>
      <c r="Q55">
        <f>P55*Inputs!B35</f>
        <v>138.37778989045941</v>
      </c>
      <c r="R55">
        <f>C55*Inputs!B8/12</f>
        <v>1518.0725747454071</v>
      </c>
      <c r="S55">
        <f t="shared" si="1"/>
        <v>15462.662551766525</v>
      </c>
      <c r="T55">
        <f t="shared" si="2"/>
        <v>290842.19349114317</v>
      </c>
      <c r="U55">
        <f t="shared" si="3"/>
        <v>3260629.5738027287</v>
      </c>
      <c r="V55">
        <f t="shared" si="4"/>
        <v>25408.465427579373</v>
      </c>
      <c r="W55">
        <f t="shared" si="5"/>
        <v>66355.56887763484</v>
      </c>
      <c r="X55">
        <f t="shared" si="6"/>
        <v>3352393.6081079431</v>
      </c>
      <c r="Y55">
        <f t="shared" si="13"/>
        <v>79997.559219718605</v>
      </c>
      <c r="Z55">
        <f>IF(Inputs!B3&gt;0,(V55+W55)/Inputs!B3,0)</f>
        <v>3.0588011435071403E-4</v>
      </c>
      <c r="AA55">
        <f>IF(OR(Y55/Inputs!B3&gt;=Inputs!B23,Z55&gt;=Inputs!B24),1,0)</f>
        <v>0</v>
      </c>
      <c r="AB55">
        <f t="shared" si="7"/>
        <v>0</v>
      </c>
    </row>
    <row r="56" spans="1:28" x14ac:dyDescent="0.2">
      <c r="A56">
        <v>55</v>
      </c>
      <c r="B56">
        <f t="shared" si="8"/>
        <v>0</v>
      </c>
      <c r="C56">
        <f t="shared" si="9"/>
        <v>3352393.6081079431</v>
      </c>
      <c r="D56">
        <f t="shared" si="10"/>
        <v>3260629.5738027287</v>
      </c>
      <c r="E56">
        <f t="shared" si="11"/>
        <v>25408.465427579373</v>
      </c>
      <c r="F56">
        <f t="shared" si="12"/>
        <v>66355.56887763484</v>
      </c>
      <c r="G56">
        <f>MAX(Inputs!B7-A56+1,0)</f>
        <v>246</v>
      </c>
      <c r="H56">
        <f>IF(AND(A56&lt;=Inputs!B7,D56&gt;0),-PMT(Inputs!B6/12,G56,D56),0)</f>
        <v>22595.136548921229</v>
      </c>
      <c r="I56">
        <f>IF(AND(A56&lt;=Inputs!B7,D56&gt;0),D56*Inputs!B6/12,0)</f>
        <v>15623.850041138076</v>
      </c>
      <c r="J56">
        <f t="shared" si="0"/>
        <v>6971.2865077831539</v>
      </c>
      <c r="K56">
        <f>MAX((D56-J56)*Inputs!B32,0)</f>
        <v>260292.66298359566</v>
      </c>
      <c r="L56">
        <f>MAX((D56-J56-K56)*Inputs!B33,0)</f>
        <v>10165.628903972416</v>
      </c>
      <c r="M56">
        <f>MIN(E56*Inputs!B29,E56)</f>
        <v>8892.962899652779</v>
      </c>
      <c r="N56">
        <f>MIN((E56-M56)*Inputs!B30,E56-M56)</f>
        <v>3303.1005055853188</v>
      </c>
      <c r="O56">
        <f>MIN(F56*Inputs!B31,F56)</f>
        <v>7962.6682653161806</v>
      </c>
      <c r="P56">
        <f>MIN((F56-O56)*Inputs!B34,F56-O56)</f>
        <v>510.44801966916162</v>
      </c>
      <c r="Q56">
        <f>P56*Inputs!B35</f>
        <v>127.61200491729041</v>
      </c>
      <c r="R56">
        <f>C56*Inputs!B8/12</f>
        <v>1396.8306700449764</v>
      </c>
      <c r="S56">
        <f t="shared" si="1"/>
        <v>14227.0193710931</v>
      </c>
      <c r="T56">
        <f t="shared" si="2"/>
        <v>267646.78550613066</v>
      </c>
      <c r="U56">
        <f t="shared" si="3"/>
        <v>3000055.6265723463</v>
      </c>
      <c r="V56">
        <f t="shared" si="4"/>
        <v>23378.030926313691</v>
      </c>
      <c r="W56">
        <f t="shared" si="5"/>
        <v>61185.553098234814</v>
      </c>
      <c r="X56">
        <f t="shared" si="6"/>
        <v>3084619.2105968948</v>
      </c>
      <c r="Y56">
        <f t="shared" si="13"/>
        <v>80125.171224635895</v>
      </c>
      <c r="Z56">
        <f>IF(Inputs!B3&gt;0,(V56+W56)/Inputs!B3,0)</f>
        <v>2.8187861341516166E-4</v>
      </c>
      <c r="AA56">
        <f>IF(OR(Y56/Inputs!B3&gt;=Inputs!B23,Z56&gt;=Inputs!B24),1,0)</f>
        <v>0</v>
      </c>
      <c r="AB56">
        <f t="shared" si="7"/>
        <v>0</v>
      </c>
    </row>
    <row r="57" spans="1:28" x14ac:dyDescent="0.2">
      <c r="A57">
        <v>56</v>
      </c>
      <c r="B57">
        <f t="shared" si="8"/>
        <v>0</v>
      </c>
      <c r="C57">
        <f t="shared" si="9"/>
        <v>3084619.2105968948</v>
      </c>
      <c r="D57">
        <f t="shared" si="10"/>
        <v>3000055.6265723463</v>
      </c>
      <c r="E57">
        <f t="shared" si="11"/>
        <v>23378.030926313691</v>
      </c>
      <c r="F57">
        <f t="shared" si="12"/>
        <v>61185.553098234814</v>
      </c>
      <c r="G57">
        <f>MAX(Inputs!B7-A57+1,0)</f>
        <v>245</v>
      </c>
      <c r="H57">
        <f>IF(AND(A57&lt;=Inputs!B7,D57&gt;0),-PMT(Inputs!B6/12,G57,D57),0)</f>
        <v>20833.984564838451</v>
      </c>
      <c r="I57">
        <f>IF(AND(A57&lt;=Inputs!B7,D57&gt;0),D57*Inputs!B6/12,0)</f>
        <v>14375.266543992495</v>
      </c>
      <c r="J57">
        <f t="shared" si="0"/>
        <v>6458.7180208459558</v>
      </c>
      <c r="K57">
        <f>MAX((D57-J57)*Inputs!B32,0)</f>
        <v>239487.75268412003</v>
      </c>
      <c r="L57">
        <f>MAX((D57-J57-K57)*Inputs!B33,0)</f>
        <v>9353.1012089515552</v>
      </c>
      <c r="M57">
        <f>MIN(E57*Inputs!B29,E57)</f>
        <v>8182.3108242097915</v>
      </c>
      <c r="N57">
        <f>MIN((E57-M57)*Inputs!B30,E57-M57)</f>
        <v>3039.1440204207802</v>
      </c>
      <c r="O57">
        <f>MIN(F57*Inputs!B31,F57)</f>
        <v>7342.2663717881778</v>
      </c>
      <c r="P57">
        <f>MIN((F57-O57)*Inputs!B34,F57-O57)</f>
        <v>470.67706508478244</v>
      </c>
      <c r="Q57">
        <f>P57*Inputs!B35</f>
        <v>117.66926627119561</v>
      </c>
      <c r="R57">
        <f>C57*Inputs!B8/12</f>
        <v>1285.2580044153729</v>
      </c>
      <c r="S57">
        <f t="shared" si="1"/>
        <v>13090.008539577122</v>
      </c>
      <c r="T57">
        <f t="shared" si="2"/>
        <v>246299.47850377957</v>
      </c>
      <c r="U57">
        <f t="shared" si="3"/>
        <v>2760280.6318544266</v>
      </c>
      <c r="V57">
        <f t="shared" si="4"/>
        <v>21509.677290634674</v>
      </c>
      <c r="W57">
        <f t="shared" si="5"/>
        <v>56411.753681782633</v>
      </c>
      <c r="X57">
        <f t="shared" si="6"/>
        <v>2838202.0628268439</v>
      </c>
      <c r="Y57">
        <f t="shared" si="13"/>
        <v>80242.840490907096</v>
      </c>
      <c r="Z57">
        <f>IF(Inputs!B3&gt;0,(V57+W57)/Inputs!B3,0)</f>
        <v>2.5973810324139105E-4</v>
      </c>
      <c r="AA57">
        <f>IF(OR(Y57/Inputs!B3&gt;=Inputs!B23,Z57&gt;=Inputs!B24),1,0)</f>
        <v>0</v>
      </c>
      <c r="AB57">
        <f t="shared" si="7"/>
        <v>0</v>
      </c>
    </row>
    <row r="58" spans="1:28" x14ac:dyDescent="0.2">
      <c r="A58">
        <v>57</v>
      </c>
      <c r="B58">
        <f t="shared" si="8"/>
        <v>0</v>
      </c>
      <c r="C58">
        <f t="shared" si="9"/>
        <v>2838202.0628268439</v>
      </c>
      <c r="D58">
        <f t="shared" si="10"/>
        <v>2760280.6318544266</v>
      </c>
      <c r="E58">
        <f t="shared" si="11"/>
        <v>21509.677290634674</v>
      </c>
      <c r="F58">
        <f t="shared" si="12"/>
        <v>56411.753681782633</v>
      </c>
      <c r="G58">
        <f>MAX(Inputs!B7-A58+1,0)</f>
        <v>244</v>
      </c>
      <c r="H58">
        <f>IF(AND(A58&lt;=Inputs!B7,D58&gt;0),-PMT(Inputs!B6/12,G58,D58),0)</f>
        <v>19210.216283428632</v>
      </c>
      <c r="I58">
        <f>IF(AND(A58&lt;=Inputs!B7,D58&gt;0),D58*Inputs!B6/12,0)</f>
        <v>13226.344694302461</v>
      </c>
      <c r="J58">
        <f t="shared" si="0"/>
        <v>5983.8715891261709</v>
      </c>
      <c r="K58">
        <f>MAX((D58-J58)*Inputs!B32,0)</f>
        <v>220343.74082122406</v>
      </c>
      <c r="L58">
        <f>MAX((D58-J58-K58)*Inputs!B33,0)</f>
        <v>8605.4392575898637</v>
      </c>
      <c r="M58">
        <f>MIN(E58*Inputs!B29,E58)</f>
        <v>7528.3870517221358</v>
      </c>
      <c r="N58">
        <f>MIN((E58-M58)*Inputs!B30,E58-M58)</f>
        <v>2796.2580477825077</v>
      </c>
      <c r="O58">
        <f>MIN(F58*Inputs!B31,F58)</f>
        <v>6769.4104418139159</v>
      </c>
      <c r="P58">
        <f>MIN((F58-O58)*Inputs!B34,F58-O58)</f>
        <v>433.95405148332526</v>
      </c>
      <c r="Q58">
        <f>P58*Inputs!B35</f>
        <v>108.48851287083131</v>
      </c>
      <c r="R58">
        <f>C58*Inputs!B8/12</f>
        <v>1182.5841928445184</v>
      </c>
      <c r="S58">
        <f t="shared" si="1"/>
        <v>12043.760501457942</v>
      </c>
      <c r="T58">
        <f t="shared" si="2"/>
        <v>226653.07794896275</v>
      </c>
      <c r="U58">
        <f t="shared" si="3"/>
        <v>2539645.3776800227</v>
      </c>
      <c r="V58">
        <f t="shared" si="4"/>
        <v>19790.471448719894</v>
      </c>
      <c r="W58">
        <f t="shared" si="5"/>
        <v>52004.647236267898</v>
      </c>
      <c r="X58">
        <f t="shared" si="6"/>
        <v>2611440.4963650107</v>
      </c>
      <c r="Y58">
        <f t="shared" si="13"/>
        <v>80351.329003777922</v>
      </c>
      <c r="Z58">
        <f>IF(Inputs!B3&gt;0,(V58+W58)/Inputs!B3,0)</f>
        <v>2.3931706228329266E-4</v>
      </c>
      <c r="AA58">
        <f>IF(OR(Y58/Inputs!B3&gt;=Inputs!B23,Z58&gt;=Inputs!B24),1,0)</f>
        <v>0</v>
      </c>
      <c r="AB58">
        <f t="shared" si="7"/>
        <v>0</v>
      </c>
    </row>
    <row r="59" spans="1:28" x14ac:dyDescent="0.2">
      <c r="A59">
        <v>58</v>
      </c>
      <c r="B59">
        <f t="shared" si="8"/>
        <v>0</v>
      </c>
      <c r="C59">
        <f t="shared" si="9"/>
        <v>2611440.4963650107</v>
      </c>
      <c r="D59">
        <f t="shared" si="10"/>
        <v>2539645.3776800227</v>
      </c>
      <c r="E59">
        <f t="shared" si="11"/>
        <v>19790.471448719894</v>
      </c>
      <c r="F59">
        <f t="shared" si="12"/>
        <v>52004.647236267898</v>
      </c>
      <c r="G59">
        <f>MAX(Inputs!B7-A59+1,0)</f>
        <v>243</v>
      </c>
      <c r="H59">
        <f>IF(AND(A59&lt;=Inputs!B7,D59&gt;0),-PMT(Inputs!B6/12,G59,D59),0)</f>
        <v>17713.101105250455</v>
      </c>
      <c r="I59">
        <f>IF(AND(A59&lt;=Inputs!B7,D59&gt;0),D59*Inputs!B6/12,0)</f>
        <v>12169.134101383444</v>
      </c>
      <c r="J59">
        <f t="shared" si="0"/>
        <v>5543.9670038670101</v>
      </c>
      <c r="K59">
        <f>MAX((D59-J59)*Inputs!B32,0)</f>
        <v>202728.11285409247</v>
      </c>
      <c r="L59">
        <f>MAX((D59-J59-K59)*Inputs!B33,0)</f>
        <v>7917.4677459395971</v>
      </c>
      <c r="M59">
        <f>MIN(E59*Inputs!B29,E59)</f>
        <v>6926.6650070519627</v>
      </c>
      <c r="N59">
        <f>MIN((E59-M59)*Inputs!B30,E59-M59)</f>
        <v>2572.7612883335864</v>
      </c>
      <c r="O59">
        <f>MIN(F59*Inputs!B31,F59)</f>
        <v>6240.5576683521476</v>
      </c>
      <c r="P59">
        <f>MIN((F59-O59)*Inputs!B34,F59-O59)</f>
        <v>400.05186669861422</v>
      </c>
      <c r="Q59">
        <f>P59*Inputs!B35</f>
        <v>100.01296667465355</v>
      </c>
      <c r="R59">
        <f>C59*Inputs!B8/12</f>
        <v>1088.1002068187545</v>
      </c>
      <c r="S59">
        <f t="shared" si="1"/>
        <v>11081.033894564691</v>
      </c>
      <c r="T59">
        <f t="shared" si="2"/>
        <v>208572.11875798341</v>
      </c>
      <c r="U59">
        <f t="shared" si="3"/>
        <v>2336623.0527515276</v>
      </c>
      <c r="V59">
        <f t="shared" si="4"/>
        <v>18208.512899273941</v>
      </c>
      <c r="W59">
        <f t="shared" si="5"/>
        <v>47936.79898955072</v>
      </c>
      <c r="X59">
        <f t="shared" si="6"/>
        <v>2402768.3646403523</v>
      </c>
      <c r="Y59">
        <f t="shared" si="13"/>
        <v>80451.341970452573</v>
      </c>
      <c r="Z59">
        <f>IF(Inputs!B3&gt;0,(V59+W59)/Inputs!B3,0)</f>
        <v>2.2048437296274886E-4</v>
      </c>
      <c r="AA59">
        <f>IF(OR(Y59/Inputs!B3&gt;=Inputs!B23,Z59&gt;=Inputs!B24),1,0)</f>
        <v>0</v>
      </c>
      <c r="AB59">
        <f t="shared" si="7"/>
        <v>0</v>
      </c>
    </row>
    <row r="60" spans="1:28" x14ac:dyDescent="0.2">
      <c r="A60">
        <v>59</v>
      </c>
      <c r="B60">
        <f t="shared" si="8"/>
        <v>0</v>
      </c>
      <c r="C60">
        <f t="shared" si="9"/>
        <v>2402768.3646403523</v>
      </c>
      <c r="D60">
        <f t="shared" si="10"/>
        <v>2336623.0527515276</v>
      </c>
      <c r="E60">
        <f t="shared" si="11"/>
        <v>18208.512899273941</v>
      </c>
      <c r="F60">
        <f t="shared" si="12"/>
        <v>47936.79898955072</v>
      </c>
      <c r="G60">
        <f>MAX(Inputs!B7-A60+1,0)</f>
        <v>242</v>
      </c>
      <c r="H60">
        <f>IF(AND(A60&lt;=Inputs!B7,D60&gt;0),-PMT(Inputs!B6/12,G60,D60),0)</f>
        <v>16332.748249093664</v>
      </c>
      <c r="I60">
        <f>IF(AND(A60&lt;=Inputs!B7,D60&gt;0),D60*Inputs!B6/12,0)</f>
        <v>11196.318794434403</v>
      </c>
      <c r="J60">
        <f t="shared" si="0"/>
        <v>5136.429454659261</v>
      </c>
      <c r="K60">
        <f>MAX((D60-J60)*Inputs!B32,0)</f>
        <v>186518.92986374948</v>
      </c>
      <c r="L60">
        <f>MAX((D60-J60-K60)*Inputs!B33,0)</f>
        <v>7284.4243968583623</v>
      </c>
      <c r="M60">
        <f>MIN(E60*Inputs!B29,E60)</f>
        <v>6372.979514745879</v>
      </c>
      <c r="N60">
        <f>MIN((E60-M60)*Inputs!B30,E60-M60)</f>
        <v>2367.1066769056124</v>
      </c>
      <c r="O60">
        <f>MIN(F60*Inputs!B31,F60)</f>
        <v>5752.4158787460865</v>
      </c>
      <c r="P60">
        <f>MIN((F60-O60)*Inputs!B34,F60-O60)</f>
        <v>368.75946551853315</v>
      </c>
      <c r="Q60">
        <f>P60*Inputs!B35</f>
        <v>92.189866379633287</v>
      </c>
      <c r="R60">
        <f>C60*Inputs!B8/12</f>
        <v>1001.1534852668134</v>
      </c>
      <c r="S60">
        <f t="shared" si="1"/>
        <v>10195.165309167589</v>
      </c>
      <c r="T60">
        <f t="shared" si="2"/>
        <v>191931.92891754763</v>
      </c>
      <c r="U60">
        <f t="shared" si="3"/>
        <v>2149808.6644297526</v>
      </c>
      <c r="V60">
        <f t="shared" si="4"/>
        <v>16752.851104480811</v>
      </c>
      <c r="W60">
        <f t="shared" si="5"/>
        <v>44182.730322191717</v>
      </c>
      <c r="X60">
        <f t="shared" si="6"/>
        <v>2210744.2458564248</v>
      </c>
      <c r="Y60">
        <f t="shared" si="13"/>
        <v>80543.531836832204</v>
      </c>
      <c r="Z60">
        <f>IF(Inputs!B3&gt;0,(V60+W60)/Inputs!B3,0)</f>
        <v>2.0311860475557509E-4</v>
      </c>
      <c r="AA60">
        <f>IF(OR(Y60/Inputs!B3&gt;=Inputs!B23,Z60&gt;=Inputs!B24),1,0)</f>
        <v>0</v>
      </c>
      <c r="AB60">
        <f t="shared" si="7"/>
        <v>0</v>
      </c>
    </row>
    <row r="61" spans="1:28" x14ac:dyDescent="0.2">
      <c r="A61">
        <v>60</v>
      </c>
      <c r="B61">
        <f t="shared" si="8"/>
        <v>0</v>
      </c>
      <c r="C61">
        <f t="shared" si="9"/>
        <v>2210744.2458564248</v>
      </c>
      <c r="D61">
        <f t="shared" si="10"/>
        <v>2149808.6644297526</v>
      </c>
      <c r="E61">
        <f t="shared" si="11"/>
        <v>16752.851104480811</v>
      </c>
      <c r="F61">
        <f t="shared" si="12"/>
        <v>44182.730322191717</v>
      </c>
      <c r="G61">
        <f>MAX(Inputs!B7-A61+1,0)</f>
        <v>241</v>
      </c>
      <c r="H61">
        <f>IF(AND(A61&lt;=Inputs!B7,D61&gt;0),-PMT(Inputs!B6/12,G61,D61),0)</f>
        <v>15060.040812158066</v>
      </c>
      <c r="I61">
        <f>IF(AND(A61&lt;=Inputs!B7,D61&gt;0),D61*Inputs!B6/12,0)</f>
        <v>10301.166517059231</v>
      </c>
      <c r="J61">
        <f t="shared" si="0"/>
        <v>4758.8742950988344</v>
      </c>
      <c r="K61">
        <f>MAX((D61-J61)*Inputs!B32,0)</f>
        <v>171603.98321077231</v>
      </c>
      <c r="L61">
        <f>MAX((D61-J61-K61)*Inputs!B33,0)</f>
        <v>6701.9269454942923</v>
      </c>
      <c r="M61">
        <f>MIN(E61*Inputs!B29,E61)</f>
        <v>5863.4978865682833</v>
      </c>
      <c r="N61">
        <f>MIN((E61-M61)*Inputs!B30,E61-M61)</f>
        <v>2177.8706435825056</v>
      </c>
      <c r="O61">
        <f>MIN(F61*Inputs!B31,F61)</f>
        <v>5301.9276386630063</v>
      </c>
      <c r="P61">
        <f>MIN((F61-O61)*Inputs!B34,F61-O61)</f>
        <v>339.88085066573626</v>
      </c>
      <c r="Q61">
        <f>P61*Inputs!B35</f>
        <v>84.970212666434065</v>
      </c>
      <c r="R61">
        <f>C61*Inputs!B8/12</f>
        <v>921.1434357735103</v>
      </c>
      <c r="S61">
        <f t="shared" si="1"/>
        <v>9380.0230812857208</v>
      </c>
      <c r="T61">
        <f t="shared" si="2"/>
        <v>176617.76814387043</v>
      </c>
      <c r="U61">
        <f t="shared" si="3"/>
        <v>1977909.3055036187</v>
      </c>
      <c r="V61">
        <f t="shared" si="4"/>
        <v>15413.409519824316</v>
      </c>
      <c r="W61">
        <f t="shared" si="5"/>
        <v>40718.79247644548</v>
      </c>
      <c r="X61">
        <f t="shared" si="6"/>
        <v>2034041.5074998885</v>
      </c>
      <c r="Y61">
        <f t="shared" si="13"/>
        <v>80628.502049498638</v>
      </c>
      <c r="Z61">
        <f>IF(Inputs!B3&gt;0,(V61+W61)/Inputs!B3,0)</f>
        <v>1.8710733998756598E-4</v>
      </c>
      <c r="AA61">
        <f>IF(OR(Y61/Inputs!B3&gt;=Inputs!B23,Z61&gt;=Inputs!B24),1,0)</f>
        <v>0</v>
      </c>
      <c r="AB61">
        <f t="shared" si="7"/>
        <v>0</v>
      </c>
    </row>
    <row r="62" spans="1:28" x14ac:dyDescent="0.2">
      <c r="A62">
        <v>61</v>
      </c>
      <c r="B62">
        <f t="shared" si="8"/>
        <v>0</v>
      </c>
      <c r="C62">
        <f t="shared" si="9"/>
        <v>2034041.5074998885</v>
      </c>
      <c r="D62">
        <f t="shared" si="10"/>
        <v>1977909.3055036187</v>
      </c>
      <c r="E62">
        <f t="shared" si="11"/>
        <v>15413.409519824316</v>
      </c>
      <c r="F62">
        <f t="shared" si="12"/>
        <v>40718.79247644548</v>
      </c>
      <c r="G62">
        <f>MAX(Inputs!B7-A62+1,0)</f>
        <v>240</v>
      </c>
      <c r="H62">
        <f>IF(AND(A62&lt;=Inputs!B7,D62&gt;0),-PMT(Inputs!B6/12,G62,D62),0)</f>
        <v>13886.575034587813</v>
      </c>
      <c r="I62">
        <f>IF(AND(A62&lt;=Inputs!B7,D62&gt;0),D62*Inputs!B6/12,0)</f>
        <v>9477.4820888715058</v>
      </c>
      <c r="J62">
        <f t="shared" si="0"/>
        <v>4409.0929457163074</v>
      </c>
      <c r="K62">
        <f>MAX((D62-J62)*Inputs!B32,0)</f>
        <v>157880.01700463219</v>
      </c>
      <c r="L62">
        <f>MAX((D62-J62-K62)*Inputs!B33,0)</f>
        <v>6165.9427731280075</v>
      </c>
      <c r="M62">
        <f>MIN(E62*Inputs!B29,E62)</f>
        <v>5394.6933319385098</v>
      </c>
      <c r="N62">
        <f>MIN((E62-M62)*Inputs!B30,E62-M62)</f>
        <v>2003.7432375771614</v>
      </c>
      <c r="O62">
        <f>MIN(F62*Inputs!B31,F62)</f>
        <v>4886.2550971734572</v>
      </c>
      <c r="P62">
        <f>MIN((F62-O62)*Inputs!B34,F62-O62)</f>
        <v>313.23410128922404</v>
      </c>
      <c r="Q62">
        <f>P62*Inputs!B35</f>
        <v>78.308525322306011</v>
      </c>
      <c r="R62">
        <f>C62*Inputs!B8/12</f>
        <v>847.51729479162032</v>
      </c>
      <c r="S62">
        <f t="shared" si="1"/>
        <v>8629.9647940798859</v>
      </c>
      <c r="T62">
        <f t="shared" si="2"/>
        <v>162524.03552631542</v>
      </c>
      <c r="U62">
        <f t="shared" si="3"/>
        <v>1819735.2012092541</v>
      </c>
      <c r="V62">
        <f t="shared" si="4"/>
        <v>14180.915723436652</v>
      </c>
      <c r="W62">
        <f t="shared" si="5"/>
        <v>37523.04651555996</v>
      </c>
      <c r="X62">
        <f t="shared" si="6"/>
        <v>1871439.1634482509</v>
      </c>
      <c r="Y62">
        <f t="shared" si="13"/>
        <v>80706.810574820949</v>
      </c>
      <c r="Z62">
        <f>IF(Inputs!B3&gt;0,(V62+W62)/Inputs!B3,0)</f>
        <v>1.7234654079665537E-4</v>
      </c>
      <c r="AA62">
        <f>IF(OR(Y62/Inputs!B3&gt;=Inputs!B23,Z62&gt;=Inputs!B24),1,0)</f>
        <v>0</v>
      </c>
      <c r="AB62">
        <f t="shared" si="7"/>
        <v>0</v>
      </c>
    </row>
    <row r="63" spans="1:28" x14ac:dyDescent="0.2">
      <c r="A63">
        <v>62</v>
      </c>
      <c r="B63">
        <f t="shared" si="8"/>
        <v>0</v>
      </c>
      <c r="C63">
        <f t="shared" si="9"/>
        <v>1871439.1634482509</v>
      </c>
      <c r="D63">
        <f t="shared" si="10"/>
        <v>1819735.2012092541</v>
      </c>
      <c r="E63">
        <f t="shared" si="11"/>
        <v>14180.915723436652</v>
      </c>
      <c r="F63">
        <f t="shared" si="12"/>
        <v>37523.04651555996</v>
      </c>
      <c r="G63">
        <f>MAX(Inputs!B7-A63+1,0)</f>
        <v>239</v>
      </c>
      <c r="H63">
        <f>IF(AND(A63&lt;=Inputs!B7,D63&gt;0),-PMT(Inputs!B6/12,G63,D63),0)</f>
        <v>12804.604354169353</v>
      </c>
      <c r="I63">
        <f>IF(AND(A63&lt;=Inputs!B7,D63&gt;0),D63*Inputs!B6/12,0)</f>
        <v>8719.564505794342</v>
      </c>
      <c r="J63">
        <f t="shared" si="0"/>
        <v>4085.0398483750105</v>
      </c>
      <c r="K63">
        <f>MAX((D63-J63)*Inputs!B32,0)</f>
        <v>145252.01290887033</v>
      </c>
      <c r="L63">
        <f>MAX((D63-J63-K63)*Inputs!B33,0)</f>
        <v>5672.7609755164121</v>
      </c>
      <c r="M63">
        <f>MIN(E63*Inputs!B29,E63)</f>
        <v>4963.3205032028281</v>
      </c>
      <c r="N63">
        <f>MIN((E63-M63)*Inputs!B30,E63-M63)</f>
        <v>1843.5190440467647</v>
      </c>
      <c r="O63">
        <f>MIN(F63*Inputs!B31,F63)</f>
        <v>4502.7655818671947</v>
      </c>
      <c r="P63">
        <f>MIN((F63-O63)*Inputs!B34,F63-O63)</f>
        <v>288.65044953713198</v>
      </c>
      <c r="Q63">
        <f>P63*Inputs!B35</f>
        <v>72.162612384282994</v>
      </c>
      <c r="R63">
        <f>C63*Inputs!B8/12</f>
        <v>779.76631810343781</v>
      </c>
      <c r="S63">
        <f t="shared" si="1"/>
        <v>7939.7981876909043</v>
      </c>
      <c r="T63">
        <f t="shared" si="2"/>
        <v>149553.54059439819</v>
      </c>
      <c r="U63">
        <f t="shared" si="3"/>
        <v>1674191.4735615624</v>
      </c>
      <c r="V63">
        <f t="shared" si="4"/>
        <v>13046.83715170347</v>
      </c>
      <c r="W63">
        <f t="shared" si="5"/>
        <v>34575.149528202397</v>
      </c>
      <c r="X63">
        <f t="shared" si="6"/>
        <v>1721813.4602414682</v>
      </c>
      <c r="Y63">
        <f t="shared" si="13"/>
        <v>80778.973187205236</v>
      </c>
      <c r="Z63">
        <f>IF(Inputs!B3&gt;0,(V63+W63)/Inputs!B3,0)</f>
        <v>1.5873995559968621E-4</v>
      </c>
      <c r="AA63">
        <f>IF(OR(Y63/Inputs!B3&gt;=Inputs!B23,Z63&gt;=Inputs!B24),1,0)</f>
        <v>0</v>
      </c>
      <c r="AB63">
        <f t="shared" si="7"/>
        <v>0</v>
      </c>
    </row>
    <row r="64" spans="1:28" x14ac:dyDescent="0.2">
      <c r="A64">
        <v>63</v>
      </c>
      <c r="B64">
        <f t="shared" si="8"/>
        <v>0</v>
      </c>
      <c r="C64">
        <f t="shared" si="9"/>
        <v>1721813.4602414682</v>
      </c>
      <c r="D64">
        <f t="shared" si="10"/>
        <v>1674191.4735615624</v>
      </c>
      <c r="E64">
        <f t="shared" si="11"/>
        <v>13046.83715170347</v>
      </c>
      <c r="F64">
        <f t="shared" si="12"/>
        <v>34575.149528202397</v>
      </c>
      <c r="G64">
        <f>MAX(Inputs!B7-A64+1,0)</f>
        <v>238</v>
      </c>
      <c r="H64">
        <f>IF(AND(A64&lt;=Inputs!B7,D64&gt;0),-PMT(Inputs!B6/12,G64,D64),0)</f>
        <v>11806.987870401039</v>
      </c>
      <c r="I64">
        <f>IF(AND(A64&lt;=Inputs!B7,D64&gt;0),D64*Inputs!B6/12,0)</f>
        <v>8022.1674774824869</v>
      </c>
      <c r="J64">
        <f t="shared" si="0"/>
        <v>3784.820392918552</v>
      </c>
      <c r="K64">
        <f>MAX((D64-J64)*Inputs!B32,0)</f>
        <v>133632.53225349152</v>
      </c>
      <c r="L64">
        <f>MAX((D64-J64-K64)*Inputs!B33,0)</f>
        <v>5218.9666693476229</v>
      </c>
      <c r="M64">
        <f>MIN(E64*Inputs!B29,E64)</f>
        <v>4566.3930030962147</v>
      </c>
      <c r="N64">
        <f>MIN((E64-M64)*Inputs!B30,E64-M64)</f>
        <v>1696.0888297214512</v>
      </c>
      <c r="O64">
        <f>MIN(F64*Inputs!B31,F64)</f>
        <v>4149.0179433842877</v>
      </c>
      <c r="P64">
        <f>MIN((F64-O64)*Inputs!B34,F64-O64)</f>
        <v>265.97340517088992</v>
      </c>
      <c r="Q64">
        <f>P64*Inputs!B35</f>
        <v>66.49335129272248</v>
      </c>
      <c r="R64">
        <f>C64*Inputs!B8/12</f>
        <v>717.42227510061173</v>
      </c>
      <c r="S64">
        <f t="shared" si="1"/>
        <v>7304.7452023818751</v>
      </c>
      <c r="T64">
        <f t="shared" si="2"/>
        <v>137616.83270028824</v>
      </c>
      <c r="U64">
        <f t="shared" si="3"/>
        <v>1540270.5651922852</v>
      </c>
      <c r="V64">
        <f t="shared" si="4"/>
        <v>12003.321988233427</v>
      </c>
      <c r="W64">
        <f t="shared" si="5"/>
        <v>31856.247009368672</v>
      </c>
      <c r="X64">
        <f t="shared" si="6"/>
        <v>1584130.1341898872</v>
      </c>
      <c r="Y64">
        <f t="shared" si="13"/>
        <v>80845.46653849796</v>
      </c>
      <c r="Z64">
        <f>IF(Inputs!B3&gt;0,(V64+W64)/Inputs!B3,0)</f>
        <v>1.4619856332534031E-4</v>
      </c>
      <c r="AA64">
        <f>IF(OR(Y64/Inputs!B3&gt;=Inputs!B23,Z64&gt;=Inputs!B24),1,0)</f>
        <v>0</v>
      </c>
      <c r="AB64">
        <f t="shared" si="7"/>
        <v>0</v>
      </c>
    </row>
    <row r="65" spans="1:28" x14ac:dyDescent="0.2">
      <c r="A65">
        <v>64</v>
      </c>
      <c r="B65">
        <f t="shared" si="8"/>
        <v>0</v>
      </c>
      <c r="C65">
        <f t="shared" si="9"/>
        <v>1584130.1341898872</v>
      </c>
      <c r="D65">
        <f t="shared" si="10"/>
        <v>1540270.5651922852</v>
      </c>
      <c r="E65">
        <f t="shared" si="11"/>
        <v>12003.321988233427</v>
      </c>
      <c r="F65">
        <f t="shared" si="12"/>
        <v>31856.247009368672</v>
      </c>
      <c r="G65">
        <f>MAX(Inputs!B7-A65+1,0)</f>
        <v>237</v>
      </c>
      <c r="H65">
        <f>IF(AND(A65&lt;=Inputs!B7,D65&gt;0),-PMT(Inputs!B6/12,G65,D65),0)</f>
        <v>10887.142867794249</v>
      </c>
      <c r="I65">
        <f>IF(AND(A65&lt;=Inputs!B7,D65&gt;0),D65*Inputs!B6/12,0)</f>
        <v>7380.4631248797004</v>
      </c>
      <c r="J65">
        <f t="shared" si="0"/>
        <v>3506.679742914549</v>
      </c>
      <c r="K65">
        <f>MAX((D65-J65)*Inputs!B32,0)</f>
        <v>122941.11083594966</v>
      </c>
      <c r="L65">
        <f>MAX((D65-J65-K65)*Inputs!B33,0)</f>
        <v>4801.4173564284074</v>
      </c>
      <c r="M65">
        <f>MIN(E65*Inputs!B29,E65)</f>
        <v>4201.1626958816996</v>
      </c>
      <c r="N65">
        <f>MIN((E65-M65)*Inputs!B30,E65-M65)</f>
        <v>1560.4318584703456</v>
      </c>
      <c r="O65">
        <f>MIN(F65*Inputs!B31,F65)</f>
        <v>3822.7496411242405</v>
      </c>
      <c r="P65">
        <f>MIN((F65-O65)*Inputs!B34,F65-O65)</f>
        <v>245.05792769270724</v>
      </c>
      <c r="Q65">
        <f>P65*Inputs!B35</f>
        <v>61.26448192317681</v>
      </c>
      <c r="R65">
        <f>C65*Inputs!B8/12</f>
        <v>660.05422257911971</v>
      </c>
      <c r="S65">
        <f t="shared" si="1"/>
        <v>6720.4089023005808</v>
      </c>
      <c r="T65">
        <f t="shared" si="2"/>
        <v>126631.58402463373</v>
      </c>
      <c r="U65">
        <f t="shared" si="3"/>
        <v>1417045.2695939983</v>
      </c>
      <c r="V65">
        <f t="shared" si="4"/>
        <v>11043.144790309791</v>
      </c>
      <c r="W65">
        <f t="shared" si="5"/>
        <v>29348.871299022074</v>
      </c>
      <c r="X65">
        <f t="shared" si="6"/>
        <v>1457437.2856833301</v>
      </c>
      <c r="Y65">
        <f t="shared" si="13"/>
        <v>80906.731020421139</v>
      </c>
      <c r="Z65">
        <f>IF(Inputs!B3&gt;0,(V65+W65)/Inputs!B3,0)</f>
        <v>1.3464005363110623E-4</v>
      </c>
      <c r="AA65">
        <f>IF(OR(Y65/Inputs!B3&gt;=Inputs!B23,Z65&gt;=Inputs!B24),1,0)</f>
        <v>0</v>
      </c>
      <c r="AB65">
        <f t="shared" si="7"/>
        <v>0</v>
      </c>
    </row>
    <row r="66" spans="1:28" x14ac:dyDescent="0.2">
      <c r="A66">
        <v>65</v>
      </c>
      <c r="B66">
        <f t="shared" si="8"/>
        <v>0</v>
      </c>
      <c r="C66">
        <f t="shared" si="9"/>
        <v>1457437.2856833301</v>
      </c>
      <c r="D66">
        <f t="shared" si="10"/>
        <v>1417045.2695939983</v>
      </c>
      <c r="E66">
        <f t="shared" si="11"/>
        <v>11043.144790309791</v>
      </c>
      <c r="F66">
        <f t="shared" si="12"/>
        <v>29348.871299022074</v>
      </c>
      <c r="G66">
        <f>MAX(Inputs!B7-A66+1,0)</f>
        <v>236</v>
      </c>
      <c r="H66">
        <f>IF(AND(A66&lt;=Inputs!B7,D66&gt;0),-PMT(Inputs!B6/12,G66,D66),0)</f>
        <v>10039.001076401952</v>
      </c>
      <c r="I66">
        <f>IF(AND(A66&lt;=Inputs!B7,D66&gt;0),D66*Inputs!B6/12,0)</f>
        <v>6790.0085834712418</v>
      </c>
      <c r="J66">
        <f t="shared" ref="J66:J129" si="14">MAX(H66-I66,0)</f>
        <v>3248.9924929307099</v>
      </c>
      <c r="K66">
        <f>MAX((D66-J66)*Inputs!B32,0)</f>
        <v>113103.70216808541</v>
      </c>
      <c r="L66">
        <f>MAX((D66-J66-K66)*Inputs!B33,0)</f>
        <v>4417.2211799094712</v>
      </c>
      <c r="M66">
        <f>MIN(E66*Inputs!B29,E66)</f>
        <v>3865.1006766084265</v>
      </c>
      <c r="N66">
        <f>MIN((E66-M66)*Inputs!B30,E66-M66)</f>
        <v>1435.6088227402729</v>
      </c>
      <c r="O66">
        <f>MIN(F66*Inputs!B31,F66)</f>
        <v>3521.8645558826488</v>
      </c>
      <c r="P66">
        <f>MIN((F66-O66)*Inputs!B34,F66-O66)</f>
        <v>225.76964507285368</v>
      </c>
      <c r="Q66">
        <f>P66*Inputs!B35</f>
        <v>56.442411268213419</v>
      </c>
      <c r="R66">
        <f>C66*Inputs!B8/12</f>
        <v>607.26553570138765</v>
      </c>
      <c r="S66">
        <f t="shared" ref="S66:S129" si="15">MAX(I66-R66,0)</f>
        <v>6182.7430477698545</v>
      </c>
      <c r="T66">
        <f t="shared" ref="T66:T129" si="16">MAX(J66+K66+P66-Q66,0)</f>
        <v>116522.02189482076</v>
      </c>
      <c r="U66">
        <f t="shared" ref="U66:U129" si="17">MAX(D66-J66-K66-L66+M66+O66,0)</f>
        <v>1303662.3189855639</v>
      </c>
      <c r="V66">
        <f t="shared" ref="V66:V129" si="18">MAX(E66-M66-N66+L66,0)</f>
        <v>10159.656470870563</v>
      </c>
      <c r="W66">
        <f t="shared" ref="W66:W129" si="19">MAX(F66-O66-P66+N66,0)</f>
        <v>27036.845920806842</v>
      </c>
      <c r="X66">
        <f t="shared" ref="X66:X129" si="20">U66+V66+W66</f>
        <v>1340858.8213772413</v>
      </c>
      <c r="Y66">
        <f t="shared" si="13"/>
        <v>80963.173431689356</v>
      </c>
      <c r="Z66">
        <f>IF(Inputs!B3&gt;0,(V66+W66)/Inputs!B3,0)</f>
        <v>1.2398834130559135E-4</v>
      </c>
      <c r="AA66">
        <f>IF(OR(Y66/Inputs!B3&gt;=Inputs!B23,Z66&gt;=Inputs!B24),1,0)</f>
        <v>0</v>
      </c>
      <c r="AB66">
        <f t="shared" ref="AB66:AB129" si="21">MAX(C66-J66-K66-P66,0)-X66</f>
        <v>0</v>
      </c>
    </row>
    <row r="67" spans="1:28" x14ac:dyDescent="0.2">
      <c r="A67">
        <v>66</v>
      </c>
      <c r="B67">
        <f t="shared" ref="B67:B130" si="22">MAX(B66,AA67)</f>
        <v>0</v>
      </c>
      <c r="C67">
        <f t="shared" ref="C67:C130" si="23">X66</f>
        <v>1340858.8213772413</v>
      </c>
      <c r="D67">
        <f t="shared" ref="D67:D130" si="24">U66</f>
        <v>1303662.3189855639</v>
      </c>
      <c r="E67">
        <f t="shared" ref="E67:E130" si="25">V66</f>
        <v>10159.656470870563</v>
      </c>
      <c r="F67">
        <f t="shared" ref="F67:F130" si="26">W66</f>
        <v>27036.845920806842</v>
      </c>
      <c r="G67">
        <f>MAX(Inputs!B7-A67+1,0)</f>
        <v>235</v>
      </c>
      <c r="H67">
        <f>IF(AND(A67&lt;=Inputs!B7,D67&gt;0),-PMT(Inputs!B6/12,G67,D67),0)</f>
        <v>9256.9683734038863</v>
      </c>
      <c r="I67">
        <f>IF(AND(A67&lt;=Inputs!B7,D67&gt;0),D67*Inputs!B6/12,0)</f>
        <v>6246.715278472494</v>
      </c>
      <c r="J67">
        <f t="shared" si="14"/>
        <v>3010.2530949313923</v>
      </c>
      <c r="K67">
        <f>MAX((D67-J67)*Inputs!B32,0)</f>
        <v>104052.1652712506</v>
      </c>
      <c r="L67">
        <f>MAX((D67-J67-K67)*Inputs!B33,0)</f>
        <v>4063.7169203228855</v>
      </c>
      <c r="M67">
        <f>MIN(E67*Inputs!B29,E67)</f>
        <v>3555.8797648046966</v>
      </c>
      <c r="N67">
        <f>MIN((E67-M67)*Inputs!B30,E67-M67)</f>
        <v>1320.7553412131733</v>
      </c>
      <c r="O67">
        <f>MIN(F67*Inputs!B31,F67)</f>
        <v>3244.4215104968207</v>
      </c>
      <c r="P67">
        <f>MIN((F67-O67)*Inputs!B34,F67-O67)</f>
        <v>207.98411786395977</v>
      </c>
      <c r="Q67">
        <f>P67*Inputs!B35</f>
        <v>51.996029465989942</v>
      </c>
      <c r="R67">
        <f>C67*Inputs!B8/12</f>
        <v>558.6911755738505</v>
      </c>
      <c r="S67">
        <f t="shared" si="15"/>
        <v>5688.0241028986438</v>
      </c>
      <c r="T67">
        <f t="shared" si="16"/>
        <v>107218.40645457998</v>
      </c>
      <c r="U67">
        <f t="shared" si="17"/>
        <v>1199336.4849743606</v>
      </c>
      <c r="V67">
        <f t="shared" si="18"/>
        <v>9346.7382851755792</v>
      </c>
      <c r="W67">
        <f t="shared" si="19"/>
        <v>24905.195633659238</v>
      </c>
      <c r="X67">
        <f t="shared" si="20"/>
        <v>1233588.4188931952</v>
      </c>
      <c r="Y67">
        <f t="shared" ref="Y67:Y130" si="27">Y66+Q67</f>
        <v>81015.169461155339</v>
      </c>
      <c r="Z67">
        <f>IF(Inputs!B3&gt;0,(V67+W67)/Inputs!B3,0)</f>
        <v>1.1417311306278272E-4</v>
      </c>
      <c r="AA67">
        <f>IF(OR(Y67/Inputs!B3&gt;=Inputs!B23,Z67&gt;=Inputs!B24),1,0)</f>
        <v>0</v>
      </c>
      <c r="AB67">
        <f t="shared" si="21"/>
        <v>0</v>
      </c>
    </row>
    <row r="68" spans="1:28" x14ac:dyDescent="0.2">
      <c r="A68">
        <v>67</v>
      </c>
      <c r="B68">
        <f t="shared" si="22"/>
        <v>0</v>
      </c>
      <c r="C68">
        <f t="shared" si="23"/>
        <v>1233588.4188931952</v>
      </c>
      <c r="D68">
        <f t="shared" si="24"/>
        <v>1199336.4849743606</v>
      </c>
      <c r="E68">
        <f t="shared" si="25"/>
        <v>9346.7382851755792</v>
      </c>
      <c r="F68">
        <f t="shared" si="26"/>
        <v>24905.195633659238</v>
      </c>
      <c r="G68">
        <f>MAX(Inputs!B7-A68+1,0)</f>
        <v>234</v>
      </c>
      <c r="H68">
        <f>IF(AND(A68&lt;=Inputs!B7,D68&gt;0),-PMT(Inputs!B6/12,G68,D68),0)</f>
        <v>8535.8876533015791</v>
      </c>
      <c r="I68">
        <f>IF(AND(A68&lt;=Inputs!B7,D68&gt;0),D68*Inputs!B6/12,0)</f>
        <v>5746.8206571688106</v>
      </c>
      <c r="J68">
        <f t="shared" si="14"/>
        <v>2789.0669961327685</v>
      </c>
      <c r="K68">
        <f>MAX((D68-J68)*Inputs!B32,0)</f>
        <v>95723.793438258232</v>
      </c>
      <c r="L68">
        <f>MAX((D68-J68-K68)*Inputs!B33,0)</f>
        <v>3738.4555915629853</v>
      </c>
      <c r="M68">
        <f>MIN(E68*Inputs!B29,E68)</f>
        <v>3271.3583998114527</v>
      </c>
      <c r="N68">
        <f>MIN((E68-M68)*Inputs!B30,E68-M68)</f>
        <v>1215.0759770728253</v>
      </c>
      <c r="O68">
        <f>MIN(F68*Inputs!B31,F68)</f>
        <v>2988.6234760391085</v>
      </c>
      <c r="P68">
        <f>MIN((F68-O68)*Inputs!B34,F68-O68)</f>
        <v>191.58614726245327</v>
      </c>
      <c r="Q68">
        <f>P68*Inputs!B35</f>
        <v>47.896536815613317</v>
      </c>
      <c r="R68">
        <f>C68*Inputs!B8/12</f>
        <v>513.99517453883129</v>
      </c>
      <c r="S68">
        <f t="shared" si="15"/>
        <v>5232.825482629979</v>
      </c>
      <c r="T68">
        <f t="shared" si="16"/>
        <v>98656.55004483783</v>
      </c>
      <c r="U68">
        <f t="shared" si="17"/>
        <v>1103345.1508242572</v>
      </c>
      <c r="V68">
        <f t="shared" si="18"/>
        <v>8598.7594998542863</v>
      </c>
      <c r="W68">
        <f t="shared" si="19"/>
        <v>22940.061987430501</v>
      </c>
      <c r="X68">
        <f t="shared" si="20"/>
        <v>1134883.9723115419</v>
      </c>
      <c r="Y68">
        <f t="shared" si="27"/>
        <v>81063.06599797096</v>
      </c>
      <c r="Z68">
        <f>IF(Inputs!B3&gt;0,(V68+W68)/Inputs!B3,0)</f>
        <v>1.0512940495761596E-4</v>
      </c>
      <c r="AA68">
        <f>IF(OR(Y68/Inputs!B3&gt;=Inputs!B23,Z68&gt;=Inputs!B24),1,0)</f>
        <v>0</v>
      </c>
      <c r="AB68">
        <f t="shared" si="21"/>
        <v>0</v>
      </c>
    </row>
    <row r="69" spans="1:28" x14ac:dyDescent="0.2">
      <c r="A69">
        <v>68</v>
      </c>
      <c r="B69">
        <f t="shared" si="22"/>
        <v>0</v>
      </c>
      <c r="C69">
        <f t="shared" si="23"/>
        <v>1134883.9723115419</v>
      </c>
      <c r="D69">
        <f t="shared" si="24"/>
        <v>1103345.1508242572</v>
      </c>
      <c r="E69">
        <f t="shared" si="25"/>
        <v>8598.7594998542863</v>
      </c>
      <c r="F69">
        <f t="shared" si="26"/>
        <v>22940.061987430501</v>
      </c>
      <c r="G69">
        <f>MAX(Inputs!B7-A69+1,0)</f>
        <v>233</v>
      </c>
      <c r="H69">
        <f>IF(AND(A69&lt;=Inputs!B7,D69&gt;0),-PMT(Inputs!B6/12,G69,D69),0)</f>
        <v>7871.0046160680567</v>
      </c>
      <c r="I69">
        <f>IF(AND(A69&lt;=Inputs!B7,D69&gt;0),D69*Inputs!B6/12,0)</f>
        <v>5286.8621810328996</v>
      </c>
      <c r="J69">
        <f t="shared" si="14"/>
        <v>2584.1424350351572</v>
      </c>
      <c r="K69">
        <f>MAX((D69-J69)*Inputs!B32,0)</f>
        <v>88060.880671137755</v>
      </c>
      <c r="L69">
        <f>MAX((D69-J69-K69)*Inputs!B33,0)</f>
        <v>3439.1835082812208</v>
      </c>
      <c r="M69">
        <f>MIN(E69*Inputs!B29,E69)</f>
        <v>3009.5658249490002</v>
      </c>
      <c r="N69">
        <f>MIN((E69-M69)*Inputs!B30,E69-M69)</f>
        <v>1117.8387349810571</v>
      </c>
      <c r="O69">
        <f>MIN(F69*Inputs!B31,F69)</f>
        <v>2752.8074384916599</v>
      </c>
      <c r="P69">
        <f>MIN((F69-O69)*Inputs!B34,F69-O69)</f>
        <v>176.469125510255</v>
      </c>
      <c r="Q69">
        <f>P69*Inputs!B35</f>
        <v>44.117281377563749</v>
      </c>
      <c r="R69">
        <f>C69*Inputs!B8/12</f>
        <v>472.86832179647581</v>
      </c>
      <c r="S69">
        <f t="shared" si="15"/>
        <v>4813.9938592364233</v>
      </c>
      <c r="T69">
        <f t="shared" si="16"/>
        <v>90777.374950305602</v>
      </c>
      <c r="U69">
        <f t="shared" si="17"/>
        <v>1015023.3174732436</v>
      </c>
      <c r="V69">
        <f t="shared" si="18"/>
        <v>7910.5384482054487</v>
      </c>
      <c r="W69">
        <f t="shared" si="19"/>
        <v>21128.624158409646</v>
      </c>
      <c r="X69">
        <f t="shared" si="20"/>
        <v>1044062.4800798587</v>
      </c>
      <c r="Y69">
        <f t="shared" si="27"/>
        <v>81107.183279348523</v>
      </c>
      <c r="Z69">
        <f>IF(Inputs!B3&gt;0,(V69+W69)/Inputs!B3,0)</f>
        <v>9.6797208688716971E-5</v>
      </c>
      <c r="AA69">
        <f>IF(OR(Y69/Inputs!B3&gt;=Inputs!B23,Z69&gt;=Inputs!B24),1,0)</f>
        <v>0</v>
      </c>
      <c r="AB69">
        <f t="shared" si="21"/>
        <v>0</v>
      </c>
    </row>
    <row r="70" spans="1:28" x14ac:dyDescent="0.2">
      <c r="A70">
        <v>69</v>
      </c>
      <c r="B70">
        <f t="shared" si="22"/>
        <v>0</v>
      </c>
      <c r="C70">
        <f t="shared" si="23"/>
        <v>1044062.4800798587</v>
      </c>
      <c r="D70">
        <f t="shared" si="24"/>
        <v>1015023.3174732436</v>
      </c>
      <c r="E70">
        <f t="shared" si="25"/>
        <v>7910.5384482054487</v>
      </c>
      <c r="F70">
        <f t="shared" si="26"/>
        <v>21128.624158409646</v>
      </c>
      <c r="G70">
        <f>MAX(Inputs!B7-A70+1,0)</f>
        <v>232</v>
      </c>
      <c r="H70">
        <f>IF(AND(A70&lt;=Inputs!B7,D70&gt;0),-PMT(Inputs!B6/12,G70,D70),0)</f>
        <v>7257.9362426177659</v>
      </c>
      <c r="I70">
        <f>IF(AND(A70&lt;=Inputs!B7,D70&gt;0),D70*Inputs!B6/12,0)</f>
        <v>4863.6533962259591</v>
      </c>
      <c r="J70">
        <f t="shared" si="14"/>
        <v>2394.2828463918067</v>
      </c>
      <c r="K70">
        <f>MAX((D70-J70)*Inputs!B32,0)</f>
        <v>81010.322770148152</v>
      </c>
      <c r="L70">
        <f>MAX((D70-J70-K70)*Inputs!B33,0)</f>
        <v>3163.826706572414</v>
      </c>
      <c r="M70">
        <f>MIN(E70*Inputs!B29,E70)</f>
        <v>2768.688456871907</v>
      </c>
      <c r="N70">
        <f>MIN((E70-M70)*Inputs!B30,E70-M70)</f>
        <v>1028.3699982667083</v>
      </c>
      <c r="O70">
        <f>MIN(F70*Inputs!B31,F70)</f>
        <v>2535.4348990091576</v>
      </c>
      <c r="P70">
        <f>MIN((F70-O70)*Inputs!B34,F70-O70)</f>
        <v>162.53442691272474</v>
      </c>
      <c r="Q70">
        <f>P70*Inputs!B35</f>
        <v>40.633606728181185</v>
      </c>
      <c r="R70">
        <f>C70*Inputs!B8/12</f>
        <v>435.02603336660781</v>
      </c>
      <c r="S70">
        <f t="shared" si="15"/>
        <v>4428.6273628593517</v>
      </c>
      <c r="T70">
        <f t="shared" si="16"/>
        <v>83526.506436724507</v>
      </c>
      <c r="U70">
        <f t="shared" si="17"/>
        <v>933759.00850601227</v>
      </c>
      <c r="V70">
        <f t="shared" si="18"/>
        <v>7277.3066996392472</v>
      </c>
      <c r="W70">
        <f t="shared" si="19"/>
        <v>19459.024830754475</v>
      </c>
      <c r="X70">
        <f t="shared" si="20"/>
        <v>960495.34003640607</v>
      </c>
      <c r="Y70">
        <f t="shared" si="27"/>
        <v>81147.816886076704</v>
      </c>
      <c r="Z70">
        <f>IF(Inputs!B3&gt;0,(V70+W70)/Inputs!B3,0)</f>
        <v>8.9121105101312408E-5</v>
      </c>
      <c r="AA70">
        <f>IF(OR(Y70/Inputs!B3&gt;=Inputs!B23,Z70&gt;=Inputs!B24),1,0)</f>
        <v>0</v>
      </c>
      <c r="AB70">
        <f t="shared" si="21"/>
        <v>0</v>
      </c>
    </row>
    <row r="71" spans="1:28" x14ac:dyDescent="0.2">
      <c r="A71">
        <v>70</v>
      </c>
      <c r="B71">
        <f t="shared" si="22"/>
        <v>0</v>
      </c>
      <c r="C71">
        <f t="shared" si="23"/>
        <v>960495.34003640607</v>
      </c>
      <c r="D71">
        <f t="shared" si="24"/>
        <v>933759.00850601227</v>
      </c>
      <c r="E71">
        <f t="shared" si="25"/>
        <v>7277.3066996392472</v>
      </c>
      <c r="F71">
        <f t="shared" si="26"/>
        <v>19459.024830754475</v>
      </c>
      <c r="G71">
        <f>MAX(Inputs!B7-A71+1,0)</f>
        <v>231</v>
      </c>
      <c r="H71">
        <f>IF(AND(A71&lt;=Inputs!B7,D71&gt;0),-PMT(Inputs!B6/12,G71,D71),0)</f>
        <v>6692.6417453593594</v>
      </c>
      <c r="I71">
        <f>IF(AND(A71&lt;=Inputs!B7,D71&gt;0),D71*Inputs!B6/12,0)</f>
        <v>4474.2619157579757</v>
      </c>
      <c r="J71">
        <f t="shared" si="14"/>
        <v>2218.3798296013838</v>
      </c>
      <c r="K71">
        <f>MAX((D71-J71)*Inputs!B32,0)</f>
        <v>74523.250294112877</v>
      </c>
      <c r="L71">
        <f>MAX((D71-J71-K71)*Inputs!B33,0)</f>
        <v>2910.4766093831436</v>
      </c>
      <c r="M71">
        <f>MIN(E71*Inputs!B29,E71)</f>
        <v>2547.0573448737364</v>
      </c>
      <c r="N71">
        <f>MIN((E71-M71)*Inputs!B30,E71-M71)</f>
        <v>946.04987095310207</v>
      </c>
      <c r="O71">
        <f>MIN(F71*Inputs!B31,F71)</f>
        <v>2335.0829796905368</v>
      </c>
      <c r="P71">
        <f>MIN((F71-O71)*Inputs!B34,F71-O71)</f>
        <v>149.69083767285017</v>
      </c>
      <c r="Q71">
        <f>P71*Inputs!B35</f>
        <v>37.422709418212541</v>
      </c>
      <c r="R71">
        <f>C71*Inputs!B8/12</f>
        <v>400.20639168183584</v>
      </c>
      <c r="S71">
        <f t="shared" si="15"/>
        <v>4074.0555240761396</v>
      </c>
      <c r="T71">
        <f t="shared" si="16"/>
        <v>76853.898251968902</v>
      </c>
      <c r="U71">
        <f t="shared" si="17"/>
        <v>858989.04209747922</v>
      </c>
      <c r="V71">
        <f t="shared" si="18"/>
        <v>6694.6760931955523</v>
      </c>
      <c r="W71">
        <f t="shared" si="19"/>
        <v>17920.300884344189</v>
      </c>
      <c r="X71">
        <f t="shared" si="20"/>
        <v>883604.01907501894</v>
      </c>
      <c r="Y71">
        <f t="shared" si="27"/>
        <v>81185.239595494917</v>
      </c>
      <c r="Z71">
        <f>IF(Inputs!B3&gt;0,(V71+W71)/Inputs!B3,0)</f>
        <v>8.2049923258465814E-5</v>
      </c>
      <c r="AA71">
        <f>IF(OR(Y71/Inputs!B3&gt;=Inputs!B23,Z71&gt;=Inputs!B24),1,0)</f>
        <v>0</v>
      </c>
      <c r="AB71">
        <f t="shared" si="21"/>
        <v>0</v>
      </c>
    </row>
    <row r="72" spans="1:28" x14ac:dyDescent="0.2">
      <c r="A72">
        <v>71</v>
      </c>
      <c r="B72">
        <f t="shared" si="22"/>
        <v>0</v>
      </c>
      <c r="C72">
        <f t="shared" si="23"/>
        <v>883604.01907501894</v>
      </c>
      <c r="D72">
        <f t="shared" si="24"/>
        <v>858989.04209747922</v>
      </c>
      <c r="E72">
        <f t="shared" si="25"/>
        <v>6694.6760931955523</v>
      </c>
      <c r="F72">
        <f t="shared" si="26"/>
        <v>17920.300884344189</v>
      </c>
      <c r="G72">
        <f>MAX(Inputs!B7-A72+1,0)</f>
        <v>230</v>
      </c>
      <c r="H72">
        <f>IF(AND(A72&lt;=Inputs!B7,D72&gt;0),-PMT(Inputs!B6/12,G72,D72),0)</f>
        <v>6171.3957985023471</v>
      </c>
      <c r="I72">
        <f>IF(AND(A72&lt;=Inputs!B7,D72&gt;0),D72*Inputs!B6/12,0)</f>
        <v>4115.9891600504216</v>
      </c>
      <c r="J72">
        <f t="shared" si="14"/>
        <v>2055.4066384519256</v>
      </c>
      <c r="K72">
        <f>MAX((D72-J72)*Inputs!B32,0)</f>
        <v>68554.690836722177</v>
      </c>
      <c r="L72">
        <f>MAX((D72-J72-K72)*Inputs!B33,0)</f>
        <v>2677.3768368438282</v>
      </c>
      <c r="M72">
        <f>MIN(E72*Inputs!B29,E72)</f>
        <v>2343.1366326184429</v>
      </c>
      <c r="N72">
        <f>MIN((E72-M72)*Inputs!B30,E72-M72)</f>
        <v>870.30789211542185</v>
      </c>
      <c r="O72">
        <f>MIN(F72*Inputs!B31,F72)</f>
        <v>2150.4361061213026</v>
      </c>
      <c r="P72">
        <f>MIN((F72-O72)*Inputs!B34,F72-O72)</f>
        <v>137.85402269939917</v>
      </c>
      <c r="Q72">
        <f>P72*Inputs!B35</f>
        <v>34.463505674849792</v>
      </c>
      <c r="R72">
        <f>C72*Inputs!B8/12</f>
        <v>368.16834128125788</v>
      </c>
      <c r="S72">
        <f t="shared" si="15"/>
        <v>3747.8208187691635</v>
      </c>
      <c r="T72">
        <f t="shared" si="16"/>
        <v>70713.487992198643</v>
      </c>
      <c r="U72">
        <f t="shared" si="17"/>
        <v>790195.1405242011</v>
      </c>
      <c r="V72">
        <f t="shared" si="18"/>
        <v>6158.6084053055147</v>
      </c>
      <c r="W72">
        <f t="shared" si="19"/>
        <v>16502.318647638909</v>
      </c>
      <c r="X72">
        <f t="shared" si="20"/>
        <v>812856.06757714553</v>
      </c>
      <c r="Y72">
        <f t="shared" si="27"/>
        <v>81219.703101169769</v>
      </c>
      <c r="Z72">
        <f>IF(Inputs!B3&gt;0,(V72+W72)/Inputs!B3,0)</f>
        <v>7.5536423509814759E-5</v>
      </c>
      <c r="AA72">
        <f>IF(OR(Y72/Inputs!B3&gt;=Inputs!B23,Z72&gt;=Inputs!B24),1,0)</f>
        <v>0</v>
      </c>
      <c r="AB72">
        <f t="shared" si="21"/>
        <v>0</v>
      </c>
    </row>
    <row r="73" spans="1:28" x14ac:dyDescent="0.2">
      <c r="A73">
        <v>72</v>
      </c>
      <c r="B73">
        <f t="shared" si="22"/>
        <v>0</v>
      </c>
      <c r="C73">
        <f t="shared" si="23"/>
        <v>812856.06757714553</v>
      </c>
      <c r="D73">
        <f t="shared" si="24"/>
        <v>790195.1405242011</v>
      </c>
      <c r="E73">
        <f t="shared" si="25"/>
        <v>6158.6084053055147</v>
      </c>
      <c r="F73">
        <f t="shared" si="26"/>
        <v>16502.318647638909</v>
      </c>
      <c r="G73">
        <f>MAX(Inputs!B7-A73+1,0)</f>
        <v>229</v>
      </c>
      <c r="H73">
        <f>IF(AND(A73&lt;=Inputs!B7,D73&gt;0),-PMT(Inputs!B6/12,G73,D73),0)</f>
        <v>5690.7638683313098</v>
      </c>
      <c r="I73">
        <f>IF(AND(A73&lt;=Inputs!B7,D73&gt;0),D73*Inputs!B6/12,0)</f>
        <v>3786.3517150117968</v>
      </c>
      <c r="J73">
        <f t="shared" si="14"/>
        <v>1904.412153319513</v>
      </c>
      <c r="K73">
        <f>MAX((D73-J73)*Inputs!B32,0)</f>
        <v>63063.258269670536</v>
      </c>
      <c r="L73">
        <f>MAX((D73-J73-K73)*Inputs!B33,0)</f>
        <v>2462.9110697801066</v>
      </c>
      <c r="M73">
        <f>MIN(E73*Inputs!B29,E73)</f>
        <v>2155.51294185693</v>
      </c>
      <c r="N73">
        <f>MIN((E73-M73)*Inputs!B30,E73-M73)</f>
        <v>800.61909268971704</v>
      </c>
      <c r="O73">
        <f>MIN(F73*Inputs!B31,F73)</f>
        <v>1980.2782377166691</v>
      </c>
      <c r="P73">
        <f>MIN((F73-O73)*Inputs!B34,F73-O73)</f>
        <v>126.94602753192471</v>
      </c>
      <c r="Q73">
        <f>P73*Inputs!B35</f>
        <v>31.736506882981178</v>
      </c>
      <c r="R73">
        <f>C73*Inputs!B8/12</f>
        <v>338.69002815714401</v>
      </c>
      <c r="S73">
        <f t="shared" si="15"/>
        <v>3447.661686854653</v>
      </c>
      <c r="T73">
        <f t="shared" si="16"/>
        <v>65062.879943638989</v>
      </c>
      <c r="U73">
        <f t="shared" si="17"/>
        <v>726900.35021100461</v>
      </c>
      <c r="V73">
        <f t="shared" si="18"/>
        <v>5665.3874405389743</v>
      </c>
      <c r="W73">
        <f t="shared" si="19"/>
        <v>15195.713475080032</v>
      </c>
      <c r="X73">
        <f t="shared" si="20"/>
        <v>747761.45112662367</v>
      </c>
      <c r="Y73">
        <f t="shared" si="27"/>
        <v>81251.439608052751</v>
      </c>
      <c r="Z73">
        <f>IF(Inputs!B3&gt;0,(V73+W73)/Inputs!B3,0)</f>
        <v>6.9537003052063344E-5</v>
      </c>
      <c r="AA73">
        <f>IF(OR(Y73/Inputs!B3&gt;=Inputs!B23,Z73&gt;=Inputs!B24),1,0)</f>
        <v>0</v>
      </c>
      <c r="AB73">
        <f t="shared" si="21"/>
        <v>0</v>
      </c>
    </row>
    <row r="74" spans="1:28" x14ac:dyDescent="0.2">
      <c r="A74">
        <v>73</v>
      </c>
      <c r="B74">
        <f t="shared" si="22"/>
        <v>0</v>
      </c>
      <c r="C74">
        <f t="shared" si="23"/>
        <v>747761.45112662367</v>
      </c>
      <c r="D74">
        <f t="shared" si="24"/>
        <v>726900.35021100461</v>
      </c>
      <c r="E74">
        <f t="shared" si="25"/>
        <v>5665.3874405389743</v>
      </c>
      <c r="F74">
        <f t="shared" si="26"/>
        <v>15195.713475080032</v>
      </c>
      <c r="G74">
        <f>MAX(Inputs!B7-A74+1,0)</f>
        <v>228</v>
      </c>
      <c r="H74">
        <f>IF(AND(A74&lt;=Inputs!B7,D74&gt;0),-PMT(Inputs!B6/12,G74,D74),0)</f>
        <v>5247.579477951097</v>
      </c>
      <c r="I74">
        <f>IF(AND(A74&lt;=Inputs!B7,D74&gt;0),D74*Inputs!B6/12,0)</f>
        <v>3483.064178094397</v>
      </c>
      <c r="J74">
        <f t="shared" si="14"/>
        <v>1764.5152998567</v>
      </c>
      <c r="K74">
        <f>MAX((D74-J74)*Inputs!B32,0)</f>
        <v>58010.866792891837</v>
      </c>
      <c r="L74">
        <f>MAX((D74-J74-K74)*Inputs!B33,0)</f>
        <v>2265.5918820557781</v>
      </c>
      <c r="M74">
        <f>MIN(E74*Inputs!B29,E74)</f>
        <v>1982.8856041886409</v>
      </c>
      <c r="N74">
        <f>MIN((E74-M74)*Inputs!B30,E74-M74)</f>
        <v>736.5003672700667</v>
      </c>
      <c r="O74">
        <f>MIN(F74*Inputs!B31,F74)</f>
        <v>1823.4856170096039</v>
      </c>
      <c r="P74">
        <f>MIN((F74-O74)*Inputs!B34,F74-O74)</f>
        <v>116.89481353280912</v>
      </c>
      <c r="Q74">
        <f>P74*Inputs!B35</f>
        <v>29.223703383202281</v>
      </c>
      <c r="R74">
        <f>C74*Inputs!B8/12</f>
        <v>311.56727130275988</v>
      </c>
      <c r="S74">
        <f t="shared" si="15"/>
        <v>3171.4969067916372</v>
      </c>
      <c r="T74">
        <f t="shared" si="16"/>
        <v>59863.053202898147</v>
      </c>
      <c r="U74">
        <f t="shared" si="17"/>
        <v>668665.74745739857</v>
      </c>
      <c r="V74">
        <f t="shared" si="18"/>
        <v>5211.5933511360445</v>
      </c>
      <c r="W74">
        <f t="shared" si="19"/>
        <v>13991.833411807685</v>
      </c>
      <c r="X74">
        <f t="shared" si="20"/>
        <v>687869.17422034231</v>
      </c>
      <c r="Y74">
        <f t="shared" si="27"/>
        <v>81280.663311435957</v>
      </c>
      <c r="Z74">
        <f>IF(Inputs!B3&gt;0,(V74+W74)/Inputs!B3,0)</f>
        <v>6.4011422543145771E-5</v>
      </c>
      <c r="AA74">
        <f>IF(OR(Y74/Inputs!B3&gt;=Inputs!B23,Z74&gt;=Inputs!B24),1,0)</f>
        <v>0</v>
      </c>
      <c r="AB74">
        <f t="shared" si="21"/>
        <v>0</v>
      </c>
    </row>
    <row r="75" spans="1:28" x14ac:dyDescent="0.2">
      <c r="A75">
        <v>74</v>
      </c>
      <c r="B75">
        <f t="shared" si="22"/>
        <v>0</v>
      </c>
      <c r="C75">
        <f t="shared" si="23"/>
        <v>687869.17422034231</v>
      </c>
      <c r="D75">
        <f t="shared" si="24"/>
        <v>668665.74745739857</v>
      </c>
      <c r="E75">
        <f t="shared" si="25"/>
        <v>5211.5933511360445</v>
      </c>
      <c r="F75">
        <f t="shared" si="26"/>
        <v>13991.833411807685</v>
      </c>
      <c r="G75">
        <f>MAX(Inputs!B7-A75+1,0)</f>
        <v>227</v>
      </c>
      <c r="H75">
        <f>IF(AND(A75&lt;=Inputs!B7,D75&gt;0),-PMT(Inputs!B6/12,G75,D75),0)</f>
        <v>4838.9232541462025</v>
      </c>
      <c r="I75">
        <f>IF(AND(A75&lt;=Inputs!B7,D75&gt;0),D75*Inputs!B6/12,0)</f>
        <v>3204.0233732333686</v>
      </c>
      <c r="J75">
        <f t="shared" si="14"/>
        <v>1634.8998809128339</v>
      </c>
      <c r="K75">
        <f>MAX((D75-J75)*Inputs!B32,0)</f>
        <v>53362.467806118861</v>
      </c>
      <c r="L75">
        <f>MAX((D75-J75-K75)*Inputs!B33,0)</f>
        <v>2084.0504641937096</v>
      </c>
      <c r="M75">
        <f>MIN(E75*Inputs!B29,E75)</f>
        <v>1824.0576728976155</v>
      </c>
      <c r="N75">
        <f>MIN((E75-M75)*Inputs!B30,E75-M75)</f>
        <v>677.5071356476858</v>
      </c>
      <c r="O75">
        <f>MIN(F75*Inputs!B31,F75)</f>
        <v>1679.0200094169222</v>
      </c>
      <c r="P75">
        <f>MIN((F75-O75)*Inputs!B34,F75-O75)</f>
        <v>107.6338245214757</v>
      </c>
      <c r="Q75">
        <f>P75*Inputs!B35</f>
        <v>26.908456130368926</v>
      </c>
      <c r="R75">
        <f>C75*Inputs!B8/12</f>
        <v>286.61215592514264</v>
      </c>
      <c r="S75">
        <f t="shared" si="15"/>
        <v>2917.4112173082258</v>
      </c>
      <c r="T75">
        <f t="shared" si="16"/>
        <v>55078.093055422803</v>
      </c>
      <c r="U75">
        <f t="shared" si="17"/>
        <v>615087.4069884877</v>
      </c>
      <c r="V75">
        <f t="shared" si="18"/>
        <v>4794.0790067844528</v>
      </c>
      <c r="W75">
        <f t="shared" si="19"/>
        <v>12882.686713516972</v>
      </c>
      <c r="X75">
        <f t="shared" si="20"/>
        <v>632764.17270878912</v>
      </c>
      <c r="Y75">
        <f t="shared" si="27"/>
        <v>81307.571767566333</v>
      </c>
      <c r="Z75">
        <f>IF(Inputs!B3&gt;0,(V75+W75)/Inputs!B3,0)</f>
        <v>5.892255240100475E-5</v>
      </c>
      <c r="AA75">
        <f>IF(OR(Y75/Inputs!B3&gt;=Inputs!B23,Z75&gt;=Inputs!B24),1,0)</f>
        <v>0</v>
      </c>
      <c r="AB75">
        <f t="shared" si="21"/>
        <v>0</v>
      </c>
    </row>
    <row r="76" spans="1:28" x14ac:dyDescent="0.2">
      <c r="A76">
        <v>75</v>
      </c>
      <c r="B76">
        <f t="shared" si="22"/>
        <v>0</v>
      </c>
      <c r="C76">
        <f t="shared" si="23"/>
        <v>632764.17270878912</v>
      </c>
      <c r="D76">
        <f t="shared" si="24"/>
        <v>615087.4069884877</v>
      </c>
      <c r="E76">
        <f t="shared" si="25"/>
        <v>4794.0790067844528</v>
      </c>
      <c r="F76">
        <f t="shared" si="26"/>
        <v>12882.686713516972</v>
      </c>
      <c r="G76">
        <f>MAX(Inputs!B7-A76+1,0)</f>
        <v>226</v>
      </c>
      <c r="H76">
        <f>IF(AND(A76&lt;=Inputs!B7,D76&gt;0),-PMT(Inputs!B6/12,G76,D76),0)</f>
        <v>4462.1036160817066</v>
      </c>
      <c r="I76">
        <f>IF(AND(A76&lt;=Inputs!B7,D76&gt;0),D76*Inputs!B6/12,0)</f>
        <v>2947.2938251531705</v>
      </c>
      <c r="J76">
        <f t="shared" si="14"/>
        <v>1514.8097909285361</v>
      </c>
      <c r="K76">
        <f>MAX((D76-J76)*Inputs!B32,0)</f>
        <v>49085.807775804737</v>
      </c>
      <c r="L76">
        <f>MAX((D76-J76-K76)*Inputs!B33,0)</f>
        <v>1917.0271669624517</v>
      </c>
      <c r="M76">
        <f>MIN(E76*Inputs!B29,E76)</f>
        <v>1677.9276523745584</v>
      </c>
      <c r="N76">
        <f>MIN((E76-M76)*Inputs!B30,E76-M76)</f>
        <v>623.23027088197887</v>
      </c>
      <c r="O76">
        <f>MIN(F76*Inputs!B31,F76)</f>
        <v>1545.9224056220366</v>
      </c>
      <c r="P76">
        <f>MIN((F76-O76)*Inputs!B34,F76-O76)</f>
        <v>99.10158306470916</v>
      </c>
      <c r="Q76">
        <f>P76*Inputs!B35</f>
        <v>24.77539576617729</v>
      </c>
      <c r="R76">
        <f>C76*Inputs!B8/12</f>
        <v>263.65173862866214</v>
      </c>
      <c r="S76">
        <f t="shared" si="15"/>
        <v>2683.6420865245082</v>
      </c>
      <c r="T76">
        <f t="shared" si="16"/>
        <v>50674.943754031803</v>
      </c>
      <c r="U76">
        <f t="shared" si="17"/>
        <v>565793.61231278861</v>
      </c>
      <c r="V76">
        <f t="shared" si="18"/>
        <v>4409.9482504903672</v>
      </c>
      <c r="W76">
        <f t="shared" si="19"/>
        <v>11860.892995712205</v>
      </c>
      <c r="X76">
        <f t="shared" si="20"/>
        <v>582064.4535589912</v>
      </c>
      <c r="Y76">
        <f t="shared" si="27"/>
        <v>81332.34716333251</v>
      </c>
      <c r="Z76">
        <f>IF(Inputs!B3&gt;0,(V76+W76)/Inputs!B3,0)</f>
        <v>5.4236137487341912E-5</v>
      </c>
      <c r="AA76">
        <f>IF(OR(Y76/Inputs!B3&gt;=Inputs!B23,Z76&gt;=Inputs!B24),1,0)</f>
        <v>0</v>
      </c>
      <c r="AB76">
        <f t="shared" si="21"/>
        <v>0</v>
      </c>
    </row>
    <row r="77" spans="1:28" x14ac:dyDescent="0.2">
      <c r="A77">
        <v>76</v>
      </c>
      <c r="B77">
        <f t="shared" si="22"/>
        <v>0</v>
      </c>
      <c r="C77">
        <f t="shared" si="23"/>
        <v>582064.4535589912</v>
      </c>
      <c r="D77">
        <f t="shared" si="24"/>
        <v>565793.61231278861</v>
      </c>
      <c r="E77">
        <f t="shared" si="25"/>
        <v>4409.9482504903672</v>
      </c>
      <c r="F77">
        <f t="shared" si="26"/>
        <v>11860.892995712205</v>
      </c>
      <c r="G77">
        <f>MAX(Inputs!B7-A77+1,0)</f>
        <v>225</v>
      </c>
      <c r="H77">
        <f>IF(AND(A77&lt;=Inputs!B7,D77&gt;0),-PMT(Inputs!B6/12,G77,D77),0)</f>
        <v>4114.6389766881011</v>
      </c>
      <c r="I77">
        <f>IF(AND(A77&lt;=Inputs!B7,D77&gt;0),D77*Inputs!B6/12,0)</f>
        <v>2711.0943923321124</v>
      </c>
      <c r="J77">
        <f t="shared" si="14"/>
        <v>1403.5445843559887</v>
      </c>
      <c r="K77">
        <f>MAX((D77-J77)*Inputs!B32,0)</f>
        <v>45151.205418274607</v>
      </c>
      <c r="L77">
        <f>MAX((D77-J77-K77)*Inputs!B33,0)</f>
        <v>1763.3627993507259</v>
      </c>
      <c r="M77">
        <f>MIN(E77*Inputs!B29,E77)</f>
        <v>1543.4818876716283</v>
      </c>
      <c r="N77">
        <f>MIN((E77-M77)*Inputs!B30,E77-M77)</f>
        <v>573.29327256374779</v>
      </c>
      <c r="O77">
        <f>MIN(F77*Inputs!B31,F77)</f>
        <v>1423.3071594854646</v>
      </c>
      <c r="P77">
        <f>MIN((F77-O77)*Inputs!B34,F77-O77)</f>
        <v>91.241314686547014</v>
      </c>
      <c r="Q77">
        <f>P77*Inputs!B35</f>
        <v>22.810328671636753</v>
      </c>
      <c r="R77">
        <f>C77*Inputs!B8/12</f>
        <v>242.52685564957969</v>
      </c>
      <c r="S77">
        <f t="shared" si="15"/>
        <v>2468.5675366825326</v>
      </c>
      <c r="T77">
        <f t="shared" si="16"/>
        <v>46623.180988645501</v>
      </c>
      <c r="U77">
        <f t="shared" si="17"/>
        <v>520442.28855796432</v>
      </c>
      <c r="V77">
        <f t="shared" si="18"/>
        <v>4056.5358896057169</v>
      </c>
      <c r="W77">
        <f t="shared" si="19"/>
        <v>10919.637794103941</v>
      </c>
      <c r="X77">
        <f t="shared" si="20"/>
        <v>535418.46224167396</v>
      </c>
      <c r="Y77">
        <f t="shared" si="27"/>
        <v>81355.157492004146</v>
      </c>
      <c r="Z77">
        <f>IF(Inputs!B3&gt;0,(V77+W77)/Inputs!B3,0)</f>
        <v>4.9920578945698859E-5</v>
      </c>
      <c r="AA77">
        <f>IF(OR(Y77/Inputs!B3&gt;=Inputs!B23,Z77&gt;=Inputs!B24),1,0)</f>
        <v>0</v>
      </c>
      <c r="AB77">
        <f t="shared" si="21"/>
        <v>0</v>
      </c>
    </row>
    <row r="78" spans="1:28" x14ac:dyDescent="0.2">
      <c r="A78">
        <v>77</v>
      </c>
      <c r="B78">
        <f t="shared" si="22"/>
        <v>0</v>
      </c>
      <c r="C78">
        <f t="shared" si="23"/>
        <v>535418.46224167396</v>
      </c>
      <c r="D78">
        <f t="shared" si="24"/>
        <v>520442.28855796432</v>
      </c>
      <c r="E78">
        <f t="shared" si="25"/>
        <v>4056.5358896057169</v>
      </c>
      <c r="F78">
        <f t="shared" si="26"/>
        <v>10919.637794103941</v>
      </c>
      <c r="G78">
        <f>MAX(Inputs!B7-A78+1,0)</f>
        <v>224</v>
      </c>
      <c r="H78">
        <f>IF(AND(A78&lt;=Inputs!B7,D78&gt;0),-PMT(Inputs!B6/12,G78,D78),0)</f>
        <v>3794.2413377971566</v>
      </c>
      <c r="I78">
        <f>IF(AND(A78&lt;=Inputs!B7,D78&gt;0),D78*Inputs!B6/12,0)</f>
        <v>2493.7859660069125</v>
      </c>
      <c r="J78">
        <f t="shared" si="14"/>
        <v>1300.455371790244</v>
      </c>
      <c r="K78">
        <f>MAX((D78-J78)*Inputs!B32,0)</f>
        <v>41531.346654893932</v>
      </c>
      <c r="L78">
        <f>MAX((D78-J78-K78)*Inputs!B33,0)</f>
        <v>1621.9906206211258</v>
      </c>
      <c r="M78">
        <f>MIN(E78*Inputs!B29,E78)</f>
        <v>1419.7875613620008</v>
      </c>
      <c r="N78">
        <f>MIN((E78-M78)*Inputs!B30,E78-M78)</f>
        <v>527.34966564874321</v>
      </c>
      <c r="O78">
        <f>MIN(F78*Inputs!B31,F78)</f>
        <v>1310.3565352924729</v>
      </c>
      <c r="P78">
        <f>MIN((F78-O78)*Inputs!B34,F78-O78)</f>
        <v>84.000598318788235</v>
      </c>
      <c r="Q78">
        <f>P78*Inputs!B35</f>
        <v>21.000149579697059</v>
      </c>
      <c r="R78">
        <f>C78*Inputs!B8/12</f>
        <v>223.0910259340308</v>
      </c>
      <c r="S78">
        <f t="shared" si="15"/>
        <v>2270.6949400728818</v>
      </c>
      <c r="T78">
        <f t="shared" si="16"/>
        <v>42894.802475423268</v>
      </c>
      <c r="U78">
        <f t="shared" si="17"/>
        <v>478718.64000731352</v>
      </c>
      <c r="V78">
        <f t="shared" si="18"/>
        <v>3731.3892832160986</v>
      </c>
      <c r="W78">
        <f t="shared" si="19"/>
        <v>10052.630326141425</v>
      </c>
      <c r="X78">
        <f t="shared" si="20"/>
        <v>492502.65961667104</v>
      </c>
      <c r="Y78">
        <f t="shared" si="27"/>
        <v>81376.15764158385</v>
      </c>
      <c r="Z78">
        <f>IF(Inputs!B3&gt;0,(V78+W78)/Inputs!B3,0)</f>
        <v>4.5946732031191744E-5</v>
      </c>
      <c r="AA78">
        <f>IF(OR(Y78/Inputs!B3&gt;=Inputs!B23,Z78&gt;=Inputs!B24),1,0)</f>
        <v>0</v>
      </c>
      <c r="AB78">
        <f t="shared" si="21"/>
        <v>0</v>
      </c>
    </row>
    <row r="79" spans="1:28" x14ac:dyDescent="0.2">
      <c r="A79">
        <v>78</v>
      </c>
      <c r="B79">
        <f t="shared" si="22"/>
        <v>0</v>
      </c>
      <c r="C79">
        <f t="shared" si="23"/>
        <v>492502.65961667104</v>
      </c>
      <c r="D79">
        <f t="shared" si="24"/>
        <v>478718.64000731352</v>
      </c>
      <c r="E79">
        <f t="shared" si="25"/>
        <v>3731.3892832160986</v>
      </c>
      <c r="F79">
        <f t="shared" si="26"/>
        <v>10052.630326141425</v>
      </c>
      <c r="G79">
        <f>MAX(Inputs!B7-A79+1,0)</f>
        <v>223</v>
      </c>
      <c r="H79">
        <f>IF(AND(A79&lt;=Inputs!B7,D79&gt;0),-PMT(Inputs!B6/12,G79,D79),0)</f>
        <v>3498.8011695031296</v>
      </c>
      <c r="I79">
        <f>IF(AND(A79&lt;=Inputs!B7,D79&gt;0),D79*Inputs!B6/12,0)</f>
        <v>2293.8601500350442</v>
      </c>
      <c r="J79">
        <f t="shared" si="14"/>
        <v>1204.9410194680854</v>
      </c>
      <c r="K79">
        <f>MAX((D79-J79)*Inputs!B32,0)</f>
        <v>38201.095919027633</v>
      </c>
      <c r="L79">
        <f>MAX((D79-J79-K79)*Inputs!B33,0)</f>
        <v>1491.9289709766585</v>
      </c>
      <c r="M79">
        <f>MIN(E79*Inputs!B29,E79)</f>
        <v>1305.9862491256345</v>
      </c>
      <c r="N79">
        <f>MIN((E79-M79)*Inputs!B30,E79-M79)</f>
        <v>485.08060681809286</v>
      </c>
      <c r="O79">
        <f>MIN(F79*Inputs!B31,F79)</f>
        <v>1206.315639136971</v>
      </c>
      <c r="P79">
        <f>MIN((F79-O79)*Inputs!B34,F79-O79)</f>
        <v>77.331041376612646</v>
      </c>
      <c r="Q79">
        <f>P79*Inputs!B35</f>
        <v>19.332760344153161</v>
      </c>
      <c r="R79">
        <f>C79*Inputs!B8/12</f>
        <v>205.20944150694626</v>
      </c>
      <c r="S79">
        <f t="shared" si="15"/>
        <v>2088.6507085280978</v>
      </c>
      <c r="T79">
        <f t="shared" si="16"/>
        <v>39464.035219528181</v>
      </c>
      <c r="U79">
        <f t="shared" si="17"/>
        <v>440332.97598610376</v>
      </c>
      <c r="V79">
        <f t="shared" si="18"/>
        <v>3432.25139824903</v>
      </c>
      <c r="W79">
        <f t="shared" si="19"/>
        <v>9254.0642524459363</v>
      </c>
      <c r="X79">
        <f t="shared" si="20"/>
        <v>453019.29163679871</v>
      </c>
      <c r="Y79">
        <f t="shared" si="27"/>
        <v>81395.490401928007</v>
      </c>
      <c r="Z79">
        <f>IF(Inputs!B3&gt;0,(V79+W79)/Inputs!B3,0)</f>
        <v>4.2287718835649889E-5</v>
      </c>
      <c r="AA79">
        <f>IF(OR(Y79/Inputs!B3&gt;=Inputs!B23,Z79&gt;=Inputs!B24),1,0)</f>
        <v>0</v>
      </c>
      <c r="AB79">
        <f t="shared" si="21"/>
        <v>0</v>
      </c>
    </row>
    <row r="80" spans="1:28" x14ac:dyDescent="0.2">
      <c r="A80">
        <v>79</v>
      </c>
      <c r="B80">
        <f t="shared" si="22"/>
        <v>0</v>
      </c>
      <c r="C80">
        <f t="shared" si="23"/>
        <v>453019.29163679871</v>
      </c>
      <c r="D80">
        <f t="shared" si="24"/>
        <v>440332.97598610376</v>
      </c>
      <c r="E80">
        <f t="shared" si="25"/>
        <v>3432.25139824903</v>
      </c>
      <c r="F80">
        <f t="shared" si="26"/>
        <v>9254.0642524459363</v>
      </c>
      <c r="G80">
        <f>MAX(Inputs!B7-A80+1,0)</f>
        <v>222</v>
      </c>
      <c r="H80">
        <f>IF(AND(A80&lt;=Inputs!B7,D80&gt;0),-PMT(Inputs!B6/12,G80,D80),0)</f>
        <v>3226.3734728795471</v>
      </c>
      <c r="I80">
        <f>IF(AND(A80&lt;=Inputs!B7,D80&gt;0),D80*Inputs!B6/12,0)</f>
        <v>2109.9288432667472</v>
      </c>
      <c r="J80">
        <f t="shared" si="14"/>
        <v>1116.4446296127999</v>
      </c>
      <c r="K80">
        <f>MAX((D80-J80)*Inputs!B32,0)</f>
        <v>35137.322508519275</v>
      </c>
      <c r="L80">
        <f>MAX((D80-J80-K80)*Inputs!B33,0)</f>
        <v>1372.2744898242306</v>
      </c>
      <c r="M80">
        <f>MIN(E80*Inputs!B29,E80)</f>
        <v>1201.2879893871605</v>
      </c>
      <c r="N80">
        <f>MIN((E80-M80)*Inputs!B30,E80-M80)</f>
        <v>446.19268177237393</v>
      </c>
      <c r="O80">
        <f>MIN(F80*Inputs!B31,F80)</f>
        <v>1110.4877102935122</v>
      </c>
      <c r="P80">
        <f>MIN((F80-O80)*Inputs!B34,F80-O80)</f>
        <v>71.187977911290872</v>
      </c>
      <c r="Q80">
        <f>P80*Inputs!B35</f>
        <v>17.796994477822718</v>
      </c>
      <c r="R80">
        <f>C80*Inputs!B8/12</f>
        <v>188.75803818199947</v>
      </c>
      <c r="S80">
        <f t="shared" si="15"/>
        <v>1921.1708050847478</v>
      </c>
      <c r="T80">
        <f t="shared" si="16"/>
        <v>36307.158121565546</v>
      </c>
      <c r="U80">
        <f t="shared" si="17"/>
        <v>405018.71005782811</v>
      </c>
      <c r="V80">
        <f t="shared" si="18"/>
        <v>3157.0452169137261</v>
      </c>
      <c r="W80">
        <f t="shared" si="19"/>
        <v>8518.5812460135076</v>
      </c>
      <c r="X80">
        <f t="shared" si="20"/>
        <v>416694.33652075537</v>
      </c>
      <c r="Y80">
        <f t="shared" si="27"/>
        <v>81413.287396405824</v>
      </c>
      <c r="Z80">
        <f>IF(Inputs!B3&gt;0,(V80+W80)/Inputs!B3,0)</f>
        <v>3.8918754876424115E-5</v>
      </c>
      <c r="AA80">
        <f>IF(OR(Y80/Inputs!B3&gt;=Inputs!B23,Z80&gt;=Inputs!B24),1,0)</f>
        <v>0</v>
      </c>
      <c r="AB80">
        <f t="shared" si="21"/>
        <v>0</v>
      </c>
    </row>
    <row r="81" spans="1:28" x14ac:dyDescent="0.2">
      <c r="A81">
        <v>80</v>
      </c>
      <c r="B81">
        <f t="shared" si="22"/>
        <v>0</v>
      </c>
      <c r="C81">
        <f t="shared" si="23"/>
        <v>416694.33652075537</v>
      </c>
      <c r="D81">
        <f t="shared" si="24"/>
        <v>405018.71005782811</v>
      </c>
      <c r="E81">
        <f t="shared" si="25"/>
        <v>3157.0452169137261</v>
      </c>
      <c r="F81">
        <f t="shared" si="26"/>
        <v>8518.5812460135076</v>
      </c>
      <c r="G81">
        <f>MAX(Inputs!B7-A81+1,0)</f>
        <v>221</v>
      </c>
      <c r="H81">
        <f>IF(AND(A81&lt;=Inputs!B7,D81&gt;0),-PMT(Inputs!B6/12,G81,D81),0)</f>
        <v>2975.1649331474041</v>
      </c>
      <c r="I81">
        <f>IF(AND(A81&lt;=Inputs!B7,D81&gt;0),D81*Inputs!B6/12,0)</f>
        <v>1940.7146523604263</v>
      </c>
      <c r="J81">
        <f t="shared" si="14"/>
        <v>1034.4502807869778</v>
      </c>
      <c r="K81">
        <f>MAX((D81-J81)*Inputs!B32,0)</f>
        <v>32318.740782163291</v>
      </c>
      <c r="L81">
        <f>MAX((D81-J81-K81)*Inputs!B33,0)</f>
        <v>1262.1958747099097</v>
      </c>
      <c r="M81">
        <f>MIN(E81*Inputs!B29,E81)</f>
        <v>1104.965825919804</v>
      </c>
      <c r="N81">
        <f>MIN((E81-M81)*Inputs!B30,E81-M81)</f>
        <v>410.41587819878441</v>
      </c>
      <c r="O81">
        <f>MIN(F81*Inputs!B31,F81)</f>
        <v>1022.2297495216209</v>
      </c>
      <c r="P81">
        <f>MIN((F81-O81)*Inputs!B34,F81-O81)</f>
        <v>65.530188361990639</v>
      </c>
      <c r="Q81">
        <f>P81*Inputs!B35</f>
        <v>16.38254709049766</v>
      </c>
      <c r="R81">
        <f>C81*Inputs!B8/12</f>
        <v>173.62264021698141</v>
      </c>
      <c r="S81">
        <f t="shared" si="15"/>
        <v>1767.0920121434449</v>
      </c>
      <c r="T81">
        <f t="shared" si="16"/>
        <v>33402.338704221758</v>
      </c>
      <c r="U81">
        <f t="shared" si="17"/>
        <v>372530.51869560941</v>
      </c>
      <c r="V81">
        <f t="shared" si="18"/>
        <v>2903.8593875050474</v>
      </c>
      <c r="W81">
        <f t="shared" si="19"/>
        <v>7841.2371863286808</v>
      </c>
      <c r="X81">
        <f t="shared" si="20"/>
        <v>383275.61526944314</v>
      </c>
      <c r="Y81">
        <f t="shared" si="27"/>
        <v>81429.669943496323</v>
      </c>
      <c r="Z81">
        <f>IF(Inputs!B3&gt;0,(V81+W81)/Inputs!B3,0)</f>
        <v>3.5816988579445766E-5</v>
      </c>
      <c r="AA81">
        <f>IF(OR(Y81/Inputs!B3&gt;=Inputs!B23,Z81&gt;=Inputs!B24),1,0)</f>
        <v>0</v>
      </c>
      <c r="AB81">
        <f t="shared" si="21"/>
        <v>0</v>
      </c>
    </row>
    <row r="82" spans="1:28" x14ac:dyDescent="0.2">
      <c r="A82">
        <v>81</v>
      </c>
      <c r="B82">
        <f t="shared" si="22"/>
        <v>0</v>
      </c>
      <c r="C82">
        <f t="shared" si="23"/>
        <v>383275.61526944314</v>
      </c>
      <c r="D82">
        <f t="shared" si="24"/>
        <v>372530.51869560941</v>
      </c>
      <c r="E82">
        <f t="shared" si="25"/>
        <v>2903.8593875050474</v>
      </c>
      <c r="F82">
        <f t="shared" si="26"/>
        <v>7841.2371863286808</v>
      </c>
      <c r="G82">
        <f>MAX(Inputs!B7-A82+1,0)</f>
        <v>220</v>
      </c>
      <c r="H82">
        <f>IF(AND(A82&lt;=Inputs!B7,D82&gt;0),-PMT(Inputs!B6/12,G82,D82),0)</f>
        <v>2743.5220777217487</v>
      </c>
      <c r="I82">
        <f>IF(AND(A82&lt;=Inputs!B7,D82&gt;0),D82*Inputs!B6/12,0)</f>
        <v>1785.0420687497951</v>
      </c>
      <c r="J82">
        <f t="shared" si="14"/>
        <v>958.48000897195357</v>
      </c>
      <c r="K82">
        <f>MAX((D82-J82)*Inputs!B32,0)</f>
        <v>29725.763094930997</v>
      </c>
      <c r="L82">
        <f>MAX((D82-J82-K82)*Inputs!B33,0)</f>
        <v>1160.9281377612683</v>
      </c>
      <c r="M82">
        <f>MIN(E82*Inputs!B29,E82)</f>
        <v>1016.3507856267665</v>
      </c>
      <c r="N82">
        <f>MIN((E82-M82)*Inputs!B30,E82-M82)</f>
        <v>377.50172037565619</v>
      </c>
      <c r="O82">
        <f>MIN(F82*Inputs!B31,F82)</f>
        <v>940.94846235944169</v>
      </c>
      <c r="P82">
        <f>MIN((F82-O82)*Inputs!B34,F82-O82)</f>
        <v>60.319639500019761</v>
      </c>
      <c r="Q82">
        <f>P82*Inputs!B35</f>
        <v>15.07990987500494</v>
      </c>
      <c r="R82">
        <f>C82*Inputs!B8/12</f>
        <v>159.69817302893463</v>
      </c>
      <c r="S82">
        <f t="shared" si="15"/>
        <v>1625.3438957208605</v>
      </c>
      <c r="T82">
        <f t="shared" si="16"/>
        <v>30729.482833527964</v>
      </c>
      <c r="U82">
        <f t="shared" si="17"/>
        <v>342642.64670193143</v>
      </c>
      <c r="V82">
        <f t="shared" si="18"/>
        <v>2670.9350192638931</v>
      </c>
      <c r="W82">
        <f t="shared" si="19"/>
        <v>7217.4708048448756</v>
      </c>
      <c r="X82">
        <f t="shared" si="20"/>
        <v>352531.05252604018</v>
      </c>
      <c r="Y82">
        <f t="shared" si="27"/>
        <v>81444.749853371322</v>
      </c>
      <c r="Z82">
        <f>IF(Inputs!B3&gt;0,(V82+W82)/Inputs!B3,0)</f>
        <v>3.296135274702923E-5</v>
      </c>
      <c r="AA82">
        <f>IF(OR(Y82/Inputs!B3&gt;=Inputs!B23,Z82&gt;=Inputs!B24),1,0)</f>
        <v>0</v>
      </c>
      <c r="AB82">
        <f t="shared" si="21"/>
        <v>0</v>
      </c>
    </row>
    <row r="83" spans="1:28" x14ac:dyDescent="0.2">
      <c r="A83">
        <v>82</v>
      </c>
      <c r="B83">
        <f t="shared" si="22"/>
        <v>0</v>
      </c>
      <c r="C83">
        <f t="shared" si="23"/>
        <v>352531.05252604018</v>
      </c>
      <c r="D83">
        <f t="shared" si="24"/>
        <v>342642.64670193143</v>
      </c>
      <c r="E83">
        <f t="shared" si="25"/>
        <v>2670.9350192638931</v>
      </c>
      <c r="F83">
        <f t="shared" si="26"/>
        <v>7217.4708048448756</v>
      </c>
      <c r="G83">
        <f>MAX(Inputs!B7-A83+1,0)</f>
        <v>219</v>
      </c>
      <c r="H83">
        <f>IF(AND(A83&lt;=Inputs!B7,D83&gt;0),-PMT(Inputs!B6/12,G83,D83),0)</f>
        <v>2529.9203603114611</v>
      </c>
      <c r="I83">
        <f>IF(AND(A83&lt;=Inputs!B7,D83&gt;0),D83*Inputs!B6/12,0)</f>
        <v>1641.8293487800881</v>
      </c>
      <c r="J83">
        <f t="shared" si="14"/>
        <v>888.09101153137294</v>
      </c>
      <c r="K83">
        <f>MAX((D83-J83)*Inputs!B32,0)</f>
        <v>27340.364455232007</v>
      </c>
      <c r="L83">
        <f>MAX((D83-J83-K83)*Inputs!B33,0)</f>
        <v>1067.7673199292697</v>
      </c>
      <c r="M83">
        <f>MIN(E83*Inputs!B29,E83)</f>
        <v>934.82725674236247</v>
      </c>
      <c r="N83">
        <f>MIN((E83-M83)*Inputs!B30,E83-M83)</f>
        <v>347.22155250430615</v>
      </c>
      <c r="O83">
        <f>MIN(F83*Inputs!B31,F83)</f>
        <v>866.09649658138505</v>
      </c>
      <c r="P83">
        <f>MIN((F83-O83)*Inputs!B34,F83-O83)</f>
        <v>55.521243230495436</v>
      </c>
      <c r="Q83">
        <f>P83*Inputs!B35</f>
        <v>13.880310807623859</v>
      </c>
      <c r="R83">
        <f>C83*Inputs!B8/12</f>
        <v>146.88793855251674</v>
      </c>
      <c r="S83">
        <f t="shared" si="15"/>
        <v>1494.9414102275714</v>
      </c>
      <c r="T83">
        <f t="shared" si="16"/>
        <v>28270.096399186252</v>
      </c>
      <c r="U83">
        <f t="shared" si="17"/>
        <v>315147.34766856255</v>
      </c>
      <c r="V83">
        <f t="shared" si="18"/>
        <v>2456.653529946494</v>
      </c>
      <c r="W83">
        <f t="shared" si="19"/>
        <v>6643.0746175373006</v>
      </c>
      <c r="X83">
        <f t="shared" si="20"/>
        <v>324247.07581604639</v>
      </c>
      <c r="Y83">
        <f t="shared" si="27"/>
        <v>81458.630164178947</v>
      </c>
      <c r="Z83">
        <f>IF(Inputs!B3&gt;0,(V83+W83)/Inputs!B3,0)</f>
        <v>3.0332427158279316E-5</v>
      </c>
      <c r="AA83">
        <f>IF(OR(Y83/Inputs!B3&gt;=Inputs!B23,Z83&gt;=Inputs!B24),1,0)</f>
        <v>0</v>
      </c>
      <c r="AB83">
        <f t="shared" si="21"/>
        <v>0</v>
      </c>
    </row>
    <row r="84" spans="1:28" x14ac:dyDescent="0.2">
      <c r="A84">
        <v>83</v>
      </c>
      <c r="B84">
        <f t="shared" si="22"/>
        <v>0</v>
      </c>
      <c r="C84">
        <f t="shared" si="23"/>
        <v>324247.07581604639</v>
      </c>
      <c r="D84">
        <f t="shared" si="24"/>
        <v>315147.34766856255</v>
      </c>
      <c r="E84">
        <f t="shared" si="25"/>
        <v>2456.653529946494</v>
      </c>
      <c r="F84">
        <f t="shared" si="26"/>
        <v>6643.0746175373006</v>
      </c>
      <c r="G84">
        <f>MAX(Inputs!B7-A84+1,0)</f>
        <v>218</v>
      </c>
      <c r="H84">
        <f>IF(AND(A84&lt;=Inputs!B7,D84&gt;0),-PMT(Inputs!B6/12,G84,D84),0)</f>
        <v>2332.9540984587006</v>
      </c>
      <c r="I84">
        <f>IF(AND(A84&lt;=Inputs!B7,D84&gt;0),D84*Inputs!B6/12,0)</f>
        <v>1510.0810409118621</v>
      </c>
      <c r="J84">
        <f t="shared" si="14"/>
        <v>822.87305754683848</v>
      </c>
      <c r="K84">
        <f>MAX((D84-J84)*Inputs!B32,0)</f>
        <v>25145.957968881256</v>
      </c>
      <c r="L84">
        <f>MAX((D84-J84-K84)*Inputs!B33,0)</f>
        <v>982.06562650075534</v>
      </c>
      <c r="M84">
        <f>MIN(E84*Inputs!B29,E84)</f>
        <v>859.82873548127282</v>
      </c>
      <c r="N84">
        <f>MIN((E84-M84)*Inputs!B30,E84-M84)</f>
        <v>319.36495889304427</v>
      </c>
      <c r="O84">
        <f>MIN(F84*Inputs!B31,F84)</f>
        <v>797.16895410447603</v>
      </c>
      <c r="P84">
        <f>MIN((F84-O84)*Inputs!B34,F84-O84)</f>
        <v>51.102632987587981</v>
      </c>
      <c r="Q84">
        <f>P84*Inputs!B35</f>
        <v>12.775658246896995</v>
      </c>
      <c r="R84">
        <f>C84*Inputs!B8/12</f>
        <v>135.10294825668601</v>
      </c>
      <c r="S84">
        <f t="shared" si="15"/>
        <v>1374.9780926551762</v>
      </c>
      <c r="T84">
        <f t="shared" si="16"/>
        <v>26007.158001168787</v>
      </c>
      <c r="U84">
        <f t="shared" si="17"/>
        <v>289853.44870521943</v>
      </c>
      <c r="V84">
        <f t="shared" si="18"/>
        <v>2259.525462072932</v>
      </c>
      <c r="W84">
        <f t="shared" si="19"/>
        <v>6114.1679893382807</v>
      </c>
      <c r="X84">
        <f t="shared" si="20"/>
        <v>298227.14215663064</v>
      </c>
      <c r="Y84">
        <f t="shared" si="27"/>
        <v>81471.405822425848</v>
      </c>
      <c r="Z84">
        <f>IF(Inputs!B3&gt;0,(V84+W84)/Inputs!B3,0)</f>
        <v>2.7912311504704043E-5</v>
      </c>
      <c r="AA84">
        <f>IF(OR(Y84/Inputs!B3&gt;=Inputs!B23,Z84&gt;=Inputs!B24),1,0)</f>
        <v>0</v>
      </c>
      <c r="AB84">
        <f t="shared" si="21"/>
        <v>0</v>
      </c>
    </row>
    <row r="85" spans="1:28" x14ac:dyDescent="0.2">
      <c r="A85">
        <v>84</v>
      </c>
      <c r="B85">
        <f t="shared" si="22"/>
        <v>0</v>
      </c>
      <c r="C85">
        <f t="shared" si="23"/>
        <v>298227.14215663064</v>
      </c>
      <c r="D85">
        <f t="shared" si="24"/>
        <v>289853.44870521943</v>
      </c>
      <c r="E85">
        <f t="shared" si="25"/>
        <v>2259.525462072932</v>
      </c>
      <c r="F85">
        <f t="shared" si="26"/>
        <v>6114.1679893382807</v>
      </c>
      <c r="G85">
        <f>MAX(Inputs!B7-A85+1,0)</f>
        <v>217</v>
      </c>
      <c r="H85">
        <f>IF(AND(A85&lt;=Inputs!B7,D85&gt;0),-PMT(Inputs!B6/12,G85,D85),0)</f>
        <v>2151.3271976229748</v>
      </c>
      <c r="I85">
        <f>IF(AND(A85&lt;=Inputs!B7,D85&gt;0),D85*Inputs!B6/12,0)</f>
        <v>1388.8811083791763</v>
      </c>
      <c r="J85">
        <f t="shared" si="14"/>
        <v>762.4460892437985</v>
      </c>
      <c r="K85">
        <f>MAX((D85-J85)*Inputs!B32,0)</f>
        <v>23127.280209278051</v>
      </c>
      <c r="L85">
        <f>MAX((D85-J85-K85)*Inputs!B33,0)</f>
        <v>903.22695027528698</v>
      </c>
      <c r="M85">
        <f>MIN(E85*Inputs!B29,E85)</f>
        <v>790.83391172552615</v>
      </c>
      <c r="N85">
        <f>MIN((E85-M85)*Inputs!B30,E85-M85)</f>
        <v>293.7383100694812</v>
      </c>
      <c r="O85">
        <f>MIN(F85*Inputs!B31,F85)</f>
        <v>733.70015872059366</v>
      </c>
      <c r="P85">
        <f>MIN((F85-O85)*Inputs!B34,F85-O85)</f>
        <v>47.033956529520871</v>
      </c>
      <c r="Q85">
        <f>P85*Inputs!B35</f>
        <v>11.758489132380218</v>
      </c>
      <c r="R85">
        <f>C85*Inputs!B8/12</f>
        <v>124.26130923192943</v>
      </c>
      <c r="S85">
        <f t="shared" si="15"/>
        <v>1264.6197991472468</v>
      </c>
      <c r="T85">
        <f t="shared" si="16"/>
        <v>23925.001765918994</v>
      </c>
      <c r="U85">
        <f t="shared" si="17"/>
        <v>266585.02952686843</v>
      </c>
      <c r="V85">
        <f t="shared" si="18"/>
        <v>2078.1801905532116</v>
      </c>
      <c r="W85">
        <f t="shared" si="19"/>
        <v>5627.1721841576473</v>
      </c>
      <c r="X85">
        <f t="shared" si="20"/>
        <v>274290.38190157927</v>
      </c>
      <c r="Y85">
        <f t="shared" si="27"/>
        <v>81483.164311558226</v>
      </c>
      <c r="Z85">
        <f>IF(Inputs!B3&gt;0,(V85+W85)/Inputs!B3,0)</f>
        <v>2.5684507915702864E-5</v>
      </c>
      <c r="AA85">
        <f>IF(OR(Y85/Inputs!B3&gt;=Inputs!B23,Z85&gt;=Inputs!B24),1,0)</f>
        <v>0</v>
      </c>
      <c r="AB85">
        <f t="shared" si="21"/>
        <v>0</v>
      </c>
    </row>
    <row r="86" spans="1:28" x14ac:dyDescent="0.2">
      <c r="A86">
        <v>85</v>
      </c>
      <c r="B86">
        <f t="shared" si="22"/>
        <v>0</v>
      </c>
      <c r="C86">
        <f t="shared" si="23"/>
        <v>274290.38190157927</v>
      </c>
      <c r="D86">
        <f t="shared" si="24"/>
        <v>266585.02952686843</v>
      </c>
      <c r="E86">
        <f t="shared" si="25"/>
        <v>2078.1801905532116</v>
      </c>
      <c r="F86">
        <f t="shared" si="26"/>
        <v>5627.1721841576473</v>
      </c>
      <c r="G86">
        <f>MAX(Inputs!B7-A86+1,0)</f>
        <v>216</v>
      </c>
      <c r="H86">
        <f>IF(AND(A86&lt;=Inputs!B7,D86&gt;0),-PMT(Inputs!B6/12,G86,D86),0)</f>
        <v>1983.8446001798281</v>
      </c>
      <c r="I86">
        <f>IF(AND(A86&lt;=Inputs!B7,D86&gt;0),D86*Inputs!B6/12,0)</f>
        <v>1277.3865998162446</v>
      </c>
      <c r="J86">
        <f t="shared" si="14"/>
        <v>706.45800036358355</v>
      </c>
      <c r="K86">
        <f>MAX((D86-J86)*Inputs!B32,0)</f>
        <v>21270.285722120385</v>
      </c>
      <c r="L86">
        <f>MAX((D86-J86-K86)*Inputs!B33,0)</f>
        <v>830.70275148772032</v>
      </c>
      <c r="M86">
        <f>MIN(E86*Inputs!B29,E86)</f>
        <v>727.36306669362398</v>
      </c>
      <c r="N86">
        <f>MIN((E86-M86)*Inputs!B30,E86-M86)</f>
        <v>270.16342477191751</v>
      </c>
      <c r="O86">
        <f>MIN(F86*Inputs!B31,F86)</f>
        <v>675.26066209891769</v>
      </c>
      <c r="P86">
        <f>MIN((F86-O86)*Inputs!B34,F86-O86)</f>
        <v>43.287684007917512</v>
      </c>
      <c r="Q86">
        <f>P86*Inputs!B35</f>
        <v>10.821921001979378</v>
      </c>
      <c r="R86">
        <f>C86*Inputs!B8/12</f>
        <v>114.28765912565802</v>
      </c>
      <c r="S86">
        <f t="shared" si="15"/>
        <v>1163.0989406905865</v>
      </c>
      <c r="T86">
        <f t="shared" si="16"/>
        <v>22009.209485489908</v>
      </c>
      <c r="U86">
        <f t="shared" si="17"/>
        <v>245180.20678168925</v>
      </c>
      <c r="V86">
        <f t="shared" si="18"/>
        <v>1911.3564505753902</v>
      </c>
      <c r="W86">
        <f t="shared" si="19"/>
        <v>5178.7872628227296</v>
      </c>
      <c r="X86">
        <f t="shared" si="20"/>
        <v>252270.35049508739</v>
      </c>
      <c r="Y86">
        <f t="shared" si="27"/>
        <v>81493.986232560201</v>
      </c>
      <c r="Z86">
        <f>IF(Inputs!B3&gt;0,(V86+W86)/Inputs!B3,0)</f>
        <v>2.3633812377993732E-5</v>
      </c>
      <c r="AA86">
        <f>IF(OR(Y86/Inputs!B3&gt;=Inputs!B23,Z86&gt;=Inputs!B24),1,0)</f>
        <v>0</v>
      </c>
      <c r="AB86">
        <f t="shared" si="21"/>
        <v>0</v>
      </c>
    </row>
    <row r="87" spans="1:28" x14ac:dyDescent="0.2">
      <c r="A87">
        <v>86</v>
      </c>
      <c r="B87">
        <f t="shared" si="22"/>
        <v>0</v>
      </c>
      <c r="C87">
        <f t="shared" si="23"/>
        <v>252270.35049508739</v>
      </c>
      <c r="D87">
        <f t="shared" si="24"/>
        <v>245180.20678168925</v>
      </c>
      <c r="E87">
        <f t="shared" si="25"/>
        <v>1911.3564505753902</v>
      </c>
      <c r="F87">
        <f t="shared" si="26"/>
        <v>5178.7872628227296</v>
      </c>
      <c r="G87">
        <f>MAX(Inputs!B7-A87+1,0)</f>
        <v>215</v>
      </c>
      <c r="H87">
        <f>IF(AND(A87&lt;=Inputs!B7,D87&gt;0),-PMT(Inputs!B6/12,G87,D87),0)</f>
        <v>1829.4044025520118</v>
      </c>
      <c r="I87">
        <f>IF(AND(A87&lt;=Inputs!B7,D87&gt;0),D87*Inputs!B6/12,0)</f>
        <v>1174.821824162261</v>
      </c>
      <c r="J87">
        <f t="shared" si="14"/>
        <v>654.58257838975078</v>
      </c>
      <c r="K87">
        <f>MAX((D87-J87)*Inputs!B32,0)</f>
        <v>19562.04993626396</v>
      </c>
      <c r="L87">
        <f>MAX((D87-J87-K87)*Inputs!B33,0)</f>
        <v>763.98826602949384</v>
      </c>
      <c r="M87">
        <f>MIN(E87*Inputs!B29,E87)</f>
        <v>668.97475770138658</v>
      </c>
      <c r="N87">
        <f>MIN((E87-M87)*Inputs!B30,E87-M87)</f>
        <v>248.47633857480074</v>
      </c>
      <c r="O87">
        <f>MIN(F87*Inputs!B31,F87)</f>
        <v>621.45447153872749</v>
      </c>
      <c r="P87">
        <f>MIN((F87-O87)*Inputs!B34,F87-O87)</f>
        <v>39.838430252486823</v>
      </c>
      <c r="Q87">
        <f>P87*Inputs!B35</f>
        <v>9.9596075631217058</v>
      </c>
      <c r="R87">
        <f>C87*Inputs!B8/12</f>
        <v>105.11264603961975</v>
      </c>
      <c r="S87">
        <f t="shared" si="15"/>
        <v>1069.7091781226413</v>
      </c>
      <c r="T87">
        <f t="shared" si="16"/>
        <v>20246.511337343076</v>
      </c>
      <c r="U87">
        <f t="shared" si="17"/>
        <v>225490.01523024615</v>
      </c>
      <c r="V87">
        <f t="shared" si="18"/>
        <v>1757.8936203286967</v>
      </c>
      <c r="W87">
        <f t="shared" si="19"/>
        <v>4765.9706996063169</v>
      </c>
      <c r="X87">
        <f t="shared" si="20"/>
        <v>232013.87955018115</v>
      </c>
      <c r="Y87">
        <f t="shared" si="27"/>
        <v>81503.945840123328</v>
      </c>
      <c r="Z87">
        <f>IF(Inputs!B3&gt;0,(V87+W87)/Inputs!B3,0)</f>
        <v>2.174621439978338E-5</v>
      </c>
      <c r="AA87">
        <f>IF(OR(Y87/Inputs!B3&gt;=Inputs!B23,Z87&gt;=Inputs!B24),1,0)</f>
        <v>0</v>
      </c>
      <c r="AB87">
        <f t="shared" si="21"/>
        <v>0</v>
      </c>
    </row>
    <row r="88" spans="1:28" x14ac:dyDescent="0.2">
      <c r="A88">
        <v>87</v>
      </c>
      <c r="B88">
        <f t="shared" si="22"/>
        <v>0</v>
      </c>
      <c r="C88">
        <f t="shared" si="23"/>
        <v>232013.87955018115</v>
      </c>
      <c r="D88">
        <f t="shared" si="24"/>
        <v>225490.01523024615</v>
      </c>
      <c r="E88">
        <f t="shared" si="25"/>
        <v>1757.8936203286967</v>
      </c>
      <c r="F88">
        <f t="shared" si="26"/>
        <v>4765.9706996063169</v>
      </c>
      <c r="G88">
        <f>MAX(Inputs!B7-A88+1,0)</f>
        <v>214</v>
      </c>
      <c r="H88">
        <f>IF(AND(A88&lt;=Inputs!B7,D88&gt;0),-PMT(Inputs!B6/12,G88,D88),0)</f>
        <v>1686.9905881551626</v>
      </c>
      <c r="I88">
        <f>IF(AND(A88&lt;=Inputs!B7,D88&gt;0),D88*Inputs!B6/12,0)</f>
        <v>1080.4729896449296</v>
      </c>
      <c r="J88">
        <f t="shared" si="14"/>
        <v>606.51759851023303</v>
      </c>
      <c r="K88">
        <f>MAX((D88-J88)*Inputs!B32,0)</f>
        <v>17990.679810538873</v>
      </c>
      <c r="L88">
        <f>MAX((D88-J88-K88)*Inputs!B33,0)</f>
        <v>702.61901579474397</v>
      </c>
      <c r="M88">
        <f>MIN(E88*Inputs!B29,E88)</f>
        <v>615.26276711504374</v>
      </c>
      <c r="N88">
        <f>MIN((E88-M88)*Inputs!B30,E88-M88)</f>
        <v>228.52617064273059</v>
      </c>
      <c r="O88">
        <f>MIN(F88*Inputs!B31,F88)</f>
        <v>571.91648395275797</v>
      </c>
      <c r="P88">
        <f>MIN((F88-O88)*Inputs!B34,F88-O88)</f>
        <v>36.662790276149117</v>
      </c>
      <c r="Q88">
        <f>P88*Inputs!B35</f>
        <v>9.1656975690372793</v>
      </c>
      <c r="R88">
        <f>C88*Inputs!B8/12</f>
        <v>96.672449812575493</v>
      </c>
      <c r="S88">
        <f t="shared" si="15"/>
        <v>983.80053983235416</v>
      </c>
      <c r="T88">
        <f t="shared" si="16"/>
        <v>18624.694501756218</v>
      </c>
      <c r="U88">
        <f t="shared" si="17"/>
        <v>207377.3780564701</v>
      </c>
      <c r="V88">
        <f t="shared" si="18"/>
        <v>1616.7236983656662</v>
      </c>
      <c r="W88">
        <f t="shared" si="19"/>
        <v>4385.917596020141</v>
      </c>
      <c r="X88">
        <f t="shared" si="20"/>
        <v>213380.01935085593</v>
      </c>
      <c r="Y88">
        <f t="shared" si="27"/>
        <v>81513.11153769237</v>
      </c>
      <c r="Z88">
        <f>IF(Inputs!B3&gt;0,(V88+W88)/Inputs!B3,0)</f>
        <v>2.0008804314619355E-5</v>
      </c>
      <c r="AA88">
        <f>IF(OR(Y88/Inputs!B3&gt;=Inputs!B23,Z88&gt;=Inputs!B24),1,0)</f>
        <v>0</v>
      </c>
      <c r="AB88">
        <f t="shared" si="21"/>
        <v>0</v>
      </c>
    </row>
    <row r="89" spans="1:28" x14ac:dyDescent="0.2">
      <c r="A89">
        <v>88</v>
      </c>
      <c r="B89">
        <f t="shared" si="22"/>
        <v>0</v>
      </c>
      <c r="C89">
        <f t="shared" si="23"/>
        <v>213380.01935085593</v>
      </c>
      <c r="D89">
        <f t="shared" si="24"/>
        <v>207377.3780564701</v>
      </c>
      <c r="E89">
        <f t="shared" si="25"/>
        <v>1616.7236983656662</v>
      </c>
      <c r="F89">
        <f t="shared" si="26"/>
        <v>4385.917596020141</v>
      </c>
      <c r="G89">
        <f>MAX(Inputs!B7-A89+1,0)</f>
        <v>213</v>
      </c>
      <c r="H89">
        <f>IF(AND(A89&lt;=Inputs!B7,D89&gt;0),-PMT(Inputs!B6/12,G89,D89),0)</f>
        <v>1555.6663279510888</v>
      </c>
      <c r="I89">
        <f>IF(AND(A89&lt;=Inputs!B7,D89&gt;0),D89*Inputs!B6/12,0)</f>
        <v>993.68326985391923</v>
      </c>
      <c r="J89">
        <f t="shared" si="14"/>
        <v>561.98305809716953</v>
      </c>
      <c r="K89">
        <f>MAX((D89-J89)*Inputs!B32,0)</f>
        <v>16545.231599869836</v>
      </c>
      <c r="L89">
        <f>MAX((D89-J89-K89)*Inputs!B33,0)</f>
        <v>646.16759706805306</v>
      </c>
      <c r="M89">
        <f>MIN(E89*Inputs!B29,E89)</f>
        <v>565.85329442798309</v>
      </c>
      <c r="N89">
        <f>MIN((E89-M89)*Inputs!B30,E89-M89)</f>
        <v>210.17408078753661</v>
      </c>
      <c r="O89">
        <f>MIN(F89*Inputs!B31,F89)</f>
        <v>526.31011152241695</v>
      </c>
      <c r="P89">
        <f>MIN((F89-O89)*Inputs!B34,F89-O89)</f>
        <v>33.739187067314759</v>
      </c>
      <c r="Q89">
        <f>P89*Inputs!B35</f>
        <v>8.4347967668286898</v>
      </c>
      <c r="R89">
        <f>C89*Inputs!B8/12</f>
        <v>88.908341396189982</v>
      </c>
      <c r="S89">
        <f t="shared" si="15"/>
        <v>904.77492845772929</v>
      </c>
      <c r="T89">
        <f t="shared" si="16"/>
        <v>17132.519048267492</v>
      </c>
      <c r="U89">
        <f t="shared" si="17"/>
        <v>190716.15920738541</v>
      </c>
      <c r="V89">
        <f t="shared" si="18"/>
        <v>1486.8639202181994</v>
      </c>
      <c r="W89">
        <f t="shared" si="19"/>
        <v>4036.042378217946</v>
      </c>
      <c r="X89">
        <f t="shared" si="20"/>
        <v>196239.06550582155</v>
      </c>
      <c r="Y89">
        <f t="shared" si="27"/>
        <v>81521.546334459199</v>
      </c>
      <c r="Z89">
        <f>IF(Inputs!B3&gt;0,(V89+W89)/Inputs!B3,0)</f>
        <v>1.8409687661453818E-5</v>
      </c>
      <c r="AA89">
        <f>IF(OR(Y89/Inputs!B3&gt;=Inputs!B23,Z89&gt;=Inputs!B24),1,0)</f>
        <v>0</v>
      </c>
      <c r="AB89">
        <f t="shared" si="21"/>
        <v>0</v>
      </c>
    </row>
    <row r="90" spans="1:28" x14ac:dyDescent="0.2">
      <c r="A90">
        <v>89</v>
      </c>
      <c r="B90">
        <f t="shared" si="22"/>
        <v>0</v>
      </c>
      <c r="C90">
        <f t="shared" si="23"/>
        <v>196239.06550582155</v>
      </c>
      <c r="D90">
        <f t="shared" si="24"/>
        <v>190716.15920738541</v>
      </c>
      <c r="E90">
        <f t="shared" si="25"/>
        <v>1486.8639202181994</v>
      </c>
      <c r="F90">
        <f t="shared" si="26"/>
        <v>4036.042378217946</v>
      </c>
      <c r="G90">
        <f>MAX(Inputs!B7-A90+1,0)</f>
        <v>212</v>
      </c>
      <c r="H90">
        <f>IF(AND(A90&lt;=Inputs!B7,D90&gt;0),-PMT(Inputs!B6/12,G90,D90),0)</f>
        <v>1434.5678041879942</v>
      </c>
      <c r="I90">
        <f>IF(AND(A90&lt;=Inputs!B7,D90&gt;0),D90*Inputs!B6/12,0)</f>
        <v>913.84826286872192</v>
      </c>
      <c r="J90">
        <f t="shared" si="14"/>
        <v>520.71954131927225</v>
      </c>
      <c r="K90">
        <f>MAX((D90-J90)*Inputs!B32,0)</f>
        <v>15215.635173285293</v>
      </c>
      <c r="L90">
        <f>MAX((D90-J90-K90)*Inputs!B33,0)</f>
        <v>594.24072479367749</v>
      </c>
      <c r="M90">
        <f>MIN(E90*Inputs!B29,E90)</f>
        <v>520.40237207636972</v>
      </c>
      <c r="N90">
        <f>MIN((E90-M90)*Inputs!B30,E90-M90)</f>
        <v>193.29230962836596</v>
      </c>
      <c r="O90">
        <f>MIN(F90*Inputs!B31,F90)</f>
        <v>484.32508538615349</v>
      </c>
      <c r="P90">
        <f>MIN((F90-O90)*Inputs!B34,F90-O90)</f>
        <v>31.047730795004178</v>
      </c>
      <c r="Q90">
        <f>P90*Inputs!B35</f>
        <v>7.7619326987510444</v>
      </c>
      <c r="R90">
        <f>C90*Inputs!B8/12</f>
        <v>81.766277294092319</v>
      </c>
      <c r="S90">
        <f t="shared" si="15"/>
        <v>832.08198557462958</v>
      </c>
      <c r="T90">
        <f t="shared" si="16"/>
        <v>15759.640512700818</v>
      </c>
      <c r="U90">
        <f t="shared" si="17"/>
        <v>175390.29122544971</v>
      </c>
      <c r="V90">
        <f t="shared" si="18"/>
        <v>1367.4099633071412</v>
      </c>
      <c r="W90">
        <f t="shared" si="19"/>
        <v>3713.9618716651539</v>
      </c>
      <c r="X90">
        <f t="shared" si="20"/>
        <v>180471.663060422</v>
      </c>
      <c r="Y90">
        <f t="shared" si="27"/>
        <v>81529.308267157947</v>
      </c>
      <c r="Z90">
        <f>IF(Inputs!B3&gt;0,(V90+W90)/Inputs!B3,0)</f>
        <v>1.6937906116574318E-5</v>
      </c>
      <c r="AA90">
        <f>IF(OR(Y90/Inputs!B3&gt;=Inputs!B23,Z90&gt;=Inputs!B24),1,0)</f>
        <v>0</v>
      </c>
      <c r="AB90">
        <f t="shared" si="21"/>
        <v>0</v>
      </c>
    </row>
    <row r="91" spans="1:28" x14ac:dyDescent="0.2">
      <c r="A91">
        <v>90</v>
      </c>
      <c r="B91">
        <f t="shared" si="22"/>
        <v>0</v>
      </c>
      <c r="C91">
        <f t="shared" si="23"/>
        <v>180471.663060422</v>
      </c>
      <c r="D91">
        <f t="shared" si="24"/>
        <v>175390.29122544971</v>
      </c>
      <c r="E91">
        <f t="shared" si="25"/>
        <v>1367.4099633071412</v>
      </c>
      <c r="F91">
        <f t="shared" si="26"/>
        <v>3713.9618716651539</v>
      </c>
      <c r="G91">
        <f>MAX(Inputs!B7-A91+1,0)</f>
        <v>211</v>
      </c>
      <c r="H91">
        <f>IF(AND(A91&lt;=Inputs!B7,D91&gt;0),-PMT(Inputs!B6/12,G91,D91),0)</f>
        <v>1322.8985163942248</v>
      </c>
      <c r="I91">
        <f>IF(AND(A91&lt;=Inputs!B7,D91&gt;0),D91*Inputs!B6/12,0)</f>
        <v>840.41181212194658</v>
      </c>
      <c r="J91">
        <f t="shared" si="14"/>
        <v>482.48670427227819</v>
      </c>
      <c r="K91">
        <f>MAX((D91-J91)*Inputs!B32,0)</f>
        <v>13992.624361694194</v>
      </c>
      <c r="L91">
        <f>MAX((D91-J91-K91)*Inputs!B33,0)</f>
        <v>546.47651233500835</v>
      </c>
      <c r="M91">
        <f>MIN(E91*Inputs!B29,E91)</f>
        <v>478.5934871574994</v>
      </c>
      <c r="N91">
        <f>MIN((E91-M91)*Inputs!B30,E91-M91)</f>
        <v>177.76329522992839</v>
      </c>
      <c r="O91">
        <f>MIN(F91*Inputs!B31,F91)</f>
        <v>445.67542459981843</v>
      </c>
      <c r="P91">
        <f>MIN((F91-O91)*Inputs!B34,F91-O91)</f>
        <v>28.57008860875316</v>
      </c>
      <c r="Q91">
        <f>P91*Inputs!B35</f>
        <v>7.14252215218829</v>
      </c>
      <c r="R91">
        <f>C91*Inputs!B8/12</f>
        <v>75.196526275175827</v>
      </c>
      <c r="S91">
        <f t="shared" si="15"/>
        <v>765.21528584677071</v>
      </c>
      <c r="T91">
        <f t="shared" si="16"/>
        <v>14496.538632423037</v>
      </c>
      <c r="U91">
        <f t="shared" si="17"/>
        <v>161292.97255890552</v>
      </c>
      <c r="V91">
        <f t="shared" si="18"/>
        <v>1257.5296932547217</v>
      </c>
      <c r="W91">
        <f t="shared" si="19"/>
        <v>3417.4796536865106</v>
      </c>
      <c r="X91">
        <f t="shared" si="20"/>
        <v>165967.98190584677</v>
      </c>
      <c r="Y91">
        <f t="shared" si="27"/>
        <v>81536.45078931014</v>
      </c>
      <c r="Z91">
        <f>IF(Inputs!B3&gt;0,(V91+W91)/Inputs!B3,0)</f>
        <v>1.5583364489804109E-5</v>
      </c>
      <c r="AA91">
        <f>IF(OR(Y91/Inputs!B3&gt;=Inputs!B23,Z91&gt;=Inputs!B24),1,0)</f>
        <v>0</v>
      </c>
      <c r="AB91">
        <f t="shared" si="21"/>
        <v>0</v>
      </c>
    </row>
    <row r="92" spans="1:28" x14ac:dyDescent="0.2">
      <c r="A92">
        <v>91</v>
      </c>
      <c r="B92">
        <f t="shared" si="22"/>
        <v>0</v>
      </c>
      <c r="C92">
        <f t="shared" si="23"/>
        <v>165967.98190584677</v>
      </c>
      <c r="D92">
        <f t="shared" si="24"/>
        <v>161292.97255890552</v>
      </c>
      <c r="E92">
        <f t="shared" si="25"/>
        <v>1257.5296932547217</v>
      </c>
      <c r="F92">
        <f t="shared" si="26"/>
        <v>3417.4796536865106</v>
      </c>
      <c r="G92">
        <f>MAX(Inputs!B7-A92+1,0)</f>
        <v>210</v>
      </c>
      <c r="H92">
        <f>IF(AND(A92&lt;=Inputs!B7,D92&gt;0),-PMT(Inputs!B6/12,G92,D92),0)</f>
        <v>1219.9240319042233</v>
      </c>
      <c r="I92">
        <f>IF(AND(A92&lt;=Inputs!B7,D92&gt;0),D92*Inputs!B6/12,0)</f>
        <v>772.86216017808886</v>
      </c>
      <c r="J92">
        <f t="shared" si="14"/>
        <v>447.06187172613443</v>
      </c>
      <c r="K92">
        <f>MAX((D92-J92)*Inputs!B32,0)</f>
        <v>12867.672854974351</v>
      </c>
      <c r="L92">
        <f>MAX((D92-J92-K92)*Inputs!B33,0)</f>
        <v>502.54196796024331</v>
      </c>
      <c r="M92">
        <f>MIN(E92*Inputs!B29,E92)</f>
        <v>440.13539263915254</v>
      </c>
      <c r="N92">
        <f>MIN((E92-M92)*Inputs!B30,E92-M92)</f>
        <v>163.47886012311383</v>
      </c>
      <c r="O92">
        <f>MIN(F92*Inputs!B31,F92)</f>
        <v>410.09755844238123</v>
      </c>
      <c r="P92">
        <f>MIN((F92-O92)*Inputs!B34,F92-O92)</f>
        <v>26.289364268744858</v>
      </c>
      <c r="Q92">
        <f>P92*Inputs!B35</f>
        <v>6.5723410671862146</v>
      </c>
      <c r="R92">
        <f>C92*Inputs!B8/12</f>
        <v>69.153325794102827</v>
      </c>
      <c r="S92">
        <f t="shared" si="15"/>
        <v>703.70883438398607</v>
      </c>
      <c r="T92">
        <f t="shared" si="16"/>
        <v>13334.451749902046</v>
      </c>
      <c r="U92">
        <f t="shared" si="17"/>
        <v>148325.92881532633</v>
      </c>
      <c r="V92">
        <f t="shared" si="18"/>
        <v>1156.4574084526987</v>
      </c>
      <c r="W92">
        <f t="shared" si="19"/>
        <v>3144.5715910984982</v>
      </c>
      <c r="X92">
        <f t="shared" si="20"/>
        <v>152626.95781487753</v>
      </c>
      <c r="Y92">
        <f t="shared" si="27"/>
        <v>81543.023130377333</v>
      </c>
      <c r="Z92">
        <f>IF(Inputs!B3&gt;0,(V92+W92)/Inputs!B3,0)</f>
        <v>1.4336763331837322E-5</v>
      </c>
      <c r="AA92">
        <f>IF(OR(Y92/Inputs!B3&gt;=Inputs!B23,Z92&gt;=Inputs!B24),1,0)</f>
        <v>0</v>
      </c>
      <c r="AB92">
        <f t="shared" si="21"/>
        <v>0</v>
      </c>
    </row>
    <row r="93" spans="1:28" x14ac:dyDescent="0.2">
      <c r="A93">
        <v>92</v>
      </c>
      <c r="B93">
        <f t="shared" si="22"/>
        <v>0</v>
      </c>
      <c r="C93">
        <f t="shared" si="23"/>
        <v>152626.95781487753</v>
      </c>
      <c r="D93">
        <f t="shared" si="24"/>
        <v>148325.92881532633</v>
      </c>
      <c r="E93">
        <f t="shared" si="25"/>
        <v>1156.4574084526987</v>
      </c>
      <c r="F93">
        <f t="shared" si="26"/>
        <v>3144.5715910984982</v>
      </c>
      <c r="G93">
        <f>MAX(Inputs!B7-A93+1,0)</f>
        <v>209</v>
      </c>
      <c r="H93">
        <f>IF(AND(A93&lt;=Inputs!B7,D93&gt;0),-PMT(Inputs!B6/12,G93,D93),0)</f>
        <v>1124.9671461542139</v>
      </c>
      <c r="I93">
        <f>IF(AND(A93&lt;=Inputs!B7,D93&gt;0),D93*Inputs!B6/12,0)</f>
        <v>710.72840890677207</v>
      </c>
      <c r="J93">
        <f t="shared" si="14"/>
        <v>414.2387372474418</v>
      </c>
      <c r="K93">
        <f>MAX((D93-J93)*Inputs!B32,0)</f>
        <v>11832.935206246311</v>
      </c>
      <c r="L93">
        <f>MAX((D93-J93-K93)*Inputs!B33,0)</f>
        <v>462.13069078720542</v>
      </c>
      <c r="M93">
        <f>MIN(E93*Inputs!B29,E93)</f>
        <v>404.76009295844455</v>
      </c>
      <c r="N93">
        <f>MIN((E93-M93)*Inputs!B30,E93-M93)</f>
        <v>150.33946309885081</v>
      </c>
      <c r="O93">
        <f>MIN(F93*Inputs!B31,F93)</f>
        <v>377.34859093181979</v>
      </c>
      <c r="P93">
        <f>MIN((F93-O93)*Inputs!B34,F93-O93)</f>
        <v>24.189986892345765</v>
      </c>
      <c r="Q93">
        <f>P93*Inputs!B35</f>
        <v>6.0474967230864412</v>
      </c>
      <c r="R93">
        <f>C93*Inputs!B8/12</f>
        <v>63.594565756198968</v>
      </c>
      <c r="S93">
        <f t="shared" si="15"/>
        <v>647.13384315057306</v>
      </c>
      <c r="T93">
        <f t="shared" si="16"/>
        <v>12265.316433663014</v>
      </c>
      <c r="U93">
        <f t="shared" si="17"/>
        <v>136398.73286493568</v>
      </c>
      <c r="V93">
        <f t="shared" si="18"/>
        <v>1063.4885431826087</v>
      </c>
      <c r="W93">
        <f t="shared" si="19"/>
        <v>2893.3724763731839</v>
      </c>
      <c r="X93">
        <f t="shared" si="20"/>
        <v>140355.59388449148</v>
      </c>
      <c r="Y93">
        <f t="shared" si="27"/>
        <v>81549.070627100416</v>
      </c>
      <c r="Z93">
        <f>IF(Inputs!B3&gt;0,(V93+W93)/Inputs!B3,0)</f>
        <v>1.3189536731852641E-5</v>
      </c>
      <c r="AA93">
        <f>IF(OR(Y93/Inputs!B3&gt;=Inputs!B23,Z93&gt;=Inputs!B24),1,0)</f>
        <v>0</v>
      </c>
      <c r="AB93">
        <f t="shared" si="21"/>
        <v>0</v>
      </c>
    </row>
    <row r="94" spans="1:28" x14ac:dyDescent="0.2">
      <c r="A94">
        <v>93</v>
      </c>
      <c r="B94">
        <f t="shared" si="22"/>
        <v>0</v>
      </c>
      <c r="C94">
        <f t="shared" si="23"/>
        <v>140355.59388449148</v>
      </c>
      <c r="D94">
        <f t="shared" si="24"/>
        <v>136398.73286493568</v>
      </c>
      <c r="E94">
        <f t="shared" si="25"/>
        <v>1063.4885431826087</v>
      </c>
      <c r="F94">
        <f t="shared" si="26"/>
        <v>2893.3724763731839</v>
      </c>
      <c r="G94">
        <f>MAX(Inputs!B7-A94+1,0)</f>
        <v>208</v>
      </c>
      <c r="H94">
        <f>IF(AND(A94&lt;=Inputs!B7,D94&gt;0),-PMT(Inputs!B6/12,G94,D94),0)</f>
        <v>1037.4034207108198</v>
      </c>
      <c r="I94">
        <f>IF(AND(A94&lt;=Inputs!B7,D94&gt;0),D94*Inputs!B6/12,0)</f>
        <v>653.57726164448343</v>
      </c>
      <c r="J94">
        <f t="shared" si="14"/>
        <v>383.82615906633634</v>
      </c>
      <c r="K94">
        <f>MAX((D94-J94)*Inputs!B32,0)</f>
        <v>10881.192536469547</v>
      </c>
      <c r="L94">
        <f>MAX((D94-J94-K94)*Inputs!B33,0)</f>
        <v>424.96075029742565</v>
      </c>
      <c r="M94">
        <f>MIN(E94*Inputs!B29,E94)</f>
        <v>372.22099011391305</v>
      </c>
      <c r="N94">
        <f>MIN((E94-M94)*Inputs!B30,E94-M94)</f>
        <v>138.25351061373914</v>
      </c>
      <c r="O94">
        <f>MIN(F94*Inputs!B31,F94)</f>
        <v>347.20469716478203</v>
      </c>
      <c r="P94">
        <f>MIN((F94-O94)*Inputs!B34,F94-O94)</f>
        <v>22.257608151223991</v>
      </c>
      <c r="Q94">
        <f>P94*Inputs!B35</f>
        <v>5.5644020378059977</v>
      </c>
      <c r="R94">
        <f>C94*Inputs!B8/12</f>
        <v>58.481497451871455</v>
      </c>
      <c r="S94">
        <f t="shared" si="15"/>
        <v>595.09576419261202</v>
      </c>
      <c r="T94">
        <f t="shared" si="16"/>
        <v>11281.711901649302</v>
      </c>
      <c r="U94">
        <f t="shared" si="17"/>
        <v>125428.17910638105</v>
      </c>
      <c r="V94">
        <f t="shared" si="18"/>
        <v>977.9747927523822</v>
      </c>
      <c r="W94">
        <f t="shared" si="19"/>
        <v>2662.1636816709174</v>
      </c>
      <c r="X94">
        <f t="shared" si="20"/>
        <v>129068.31758080436</v>
      </c>
      <c r="Y94">
        <f t="shared" si="27"/>
        <v>81554.635029138226</v>
      </c>
      <c r="Z94">
        <f>IF(Inputs!B3&gt;0,(V94+W94)/Inputs!B3,0)</f>
        <v>1.2133794914744332E-5</v>
      </c>
      <c r="AA94">
        <f>IF(OR(Y94/Inputs!B3&gt;=Inputs!B23,Z94&gt;=Inputs!B24),1,0)</f>
        <v>0</v>
      </c>
      <c r="AB94">
        <f t="shared" si="21"/>
        <v>0</v>
      </c>
    </row>
    <row r="95" spans="1:28" x14ac:dyDescent="0.2">
      <c r="A95">
        <v>94</v>
      </c>
      <c r="B95">
        <f t="shared" si="22"/>
        <v>0</v>
      </c>
      <c r="C95">
        <f t="shared" si="23"/>
        <v>129068.31758080436</v>
      </c>
      <c r="D95">
        <f t="shared" si="24"/>
        <v>125428.17910638105</v>
      </c>
      <c r="E95">
        <f t="shared" si="25"/>
        <v>977.9747927523822</v>
      </c>
      <c r="F95">
        <f t="shared" si="26"/>
        <v>2662.1636816709174</v>
      </c>
      <c r="G95">
        <f>MAX(Inputs!B7-A95+1,0)</f>
        <v>207</v>
      </c>
      <c r="H95">
        <f>IF(AND(A95&lt;=Inputs!B7,D95&gt;0),-PMT(Inputs!B6/12,G95,D95),0)</f>
        <v>956.65706950688309</v>
      </c>
      <c r="I95">
        <f>IF(AND(A95&lt;=Inputs!B7,D95&gt;0),D95*Inputs!B6/12,0)</f>
        <v>601.01002488474262</v>
      </c>
      <c r="J95">
        <f t="shared" si="14"/>
        <v>355.64704462214047</v>
      </c>
      <c r="K95">
        <f>MAX((D95-J95)*Inputs!B32,0)</f>
        <v>10005.802564940714</v>
      </c>
      <c r="L95">
        <f>MAX((D95-J95-K95)*Inputs!B33,0)</f>
        <v>390.77273479665092</v>
      </c>
      <c r="M95">
        <f>MIN(E95*Inputs!B29,E95)</f>
        <v>342.29117746333372</v>
      </c>
      <c r="N95">
        <f>MIN((E95-M95)*Inputs!B30,E95-M95)</f>
        <v>127.1367230578097</v>
      </c>
      <c r="O95">
        <f>MIN(F95*Inputs!B31,F95)</f>
        <v>319.4596418005101</v>
      </c>
      <c r="P95">
        <f>MIN((F95-O95)*Inputs!B34,F95-O95)</f>
        <v>20.479007298543419</v>
      </c>
      <c r="Q95">
        <f>P95*Inputs!B35</f>
        <v>5.1197518246358547</v>
      </c>
      <c r="R95">
        <f>C95*Inputs!B8/12</f>
        <v>53.778465658668487</v>
      </c>
      <c r="S95">
        <f t="shared" si="15"/>
        <v>547.23155922607418</v>
      </c>
      <c r="T95">
        <f t="shared" si="16"/>
        <v>10376.808865036763</v>
      </c>
      <c r="U95">
        <f t="shared" si="17"/>
        <v>115337.7075812854</v>
      </c>
      <c r="V95">
        <f t="shared" si="18"/>
        <v>899.31962702788974</v>
      </c>
      <c r="W95">
        <f t="shared" si="19"/>
        <v>2449.361755629674</v>
      </c>
      <c r="X95">
        <f t="shared" si="20"/>
        <v>118686.38896394297</v>
      </c>
      <c r="Y95">
        <f t="shared" si="27"/>
        <v>81559.75478096286</v>
      </c>
      <c r="Z95">
        <f>IF(Inputs!B3&gt;0,(V95+W95)/Inputs!B3,0)</f>
        <v>1.1162271275525212E-5</v>
      </c>
      <c r="AA95">
        <f>IF(OR(Y95/Inputs!B3&gt;=Inputs!B23,Z95&gt;=Inputs!B24),1,0)</f>
        <v>0</v>
      </c>
      <c r="AB95">
        <f t="shared" si="21"/>
        <v>0</v>
      </c>
    </row>
    <row r="96" spans="1:28" x14ac:dyDescent="0.2">
      <c r="A96">
        <v>95</v>
      </c>
      <c r="B96">
        <f t="shared" si="22"/>
        <v>0</v>
      </c>
      <c r="C96">
        <f t="shared" si="23"/>
        <v>118686.38896394297</v>
      </c>
      <c r="D96">
        <f t="shared" si="24"/>
        <v>115337.7075812854</v>
      </c>
      <c r="E96">
        <f t="shared" si="25"/>
        <v>899.31962702788974</v>
      </c>
      <c r="F96">
        <f t="shared" si="26"/>
        <v>2449.361755629674</v>
      </c>
      <c r="G96">
        <f>MAX(Inputs!B7-A96+1,0)</f>
        <v>206</v>
      </c>
      <c r="H96">
        <f>IF(AND(A96&lt;=Inputs!B7,D96&gt;0),-PMT(Inputs!B6/12,G96,D96),0)</f>
        <v>882.19716607216981</v>
      </c>
      <c r="I96">
        <f>IF(AND(A96&lt;=Inputs!B7,D96&gt;0),D96*Inputs!B6/12,0)</f>
        <v>552.65984882699252</v>
      </c>
      <c r="J96">
        <f t="shared" si="14"/>
        <v>329.53731724517729</v>
      </c>
      <c r="K96">
        <f>MAX((D96-J96)*Inputs!B32,0)</f>
        <v>9200.6536211232178</v>
      </c>
      <c r="L96">
        <f>MAX((D96-J96-K96)*Inputs!B33,0)</f>
        <v>359.32795536470115</v>
      </c>
      <c r="M96">
        <f>MIN(E96*Inputs!B29,E96)</f>
        <v>314.76186945976139</v>
      </c>
      <c r="N96">
        <f>MIN((E96-M96)*Inputs!B30,E96-M96)</f>
        <v>116.91155151362568</v>
      </c>
      <c r="O96">
        <f>MIN(F96*Inputs!B31,F96)</f>
        <v>293.92341067556089</v>
      </c>
      <c r="P96">
        <f>MIN((F96-O96)*Inputs!B34,F96-O96)</f>
        <v>18.842003448424247</v>
      </c>
      <c r="Q96">
        <f>P96*Inputs!B35</f>
        <v>4.7105008621060618</v>
      </c>
      <c r="R96">
        <f>C96*Inputs!B8/12</f>
        <v>49.452662068309571</v>
      </c>
      <c r="S96">
        <f t="shared" si="15"/>
        <v>503.20718675868295</v>
      </c>
      <c r="T96">
        <f t="shared" si="16"/>
        <v>9544.3224409547147</v>
      </c>
      <c r="U96">
        <f t="shared" si="17"/>
        <v>106056.87396768763</v>
      </c>
      <c r="V96">
        <f t="shared" si="18"/>
        <v>826.97416141920394</v>
      </c>
      <c r="W96">
        <f t="shared" si="19"/>
        <v>2253.5078930193149</v>
      </c>
      <c r="X96">
        <f t="shared" si="20"/>
        <v>109137.35602212614</v>
      </c>
      <c r="Y96">
        <f t="shared" si="27"/>
        <v>81564.46528182496</v>
      </c>
      <c r="Z96">
        <f>IF(Inputs!B3&gt;0,(V96+W96)/Inputs!B3,0)</f>
        <v>1.0268273514795062E-5</v>
      </c>
      <c r="AA96">
        <f>IF(OR(Y96/Inputs!B3&gt;=Inputs!B23,Z96&gt;=Inputs!B24),1,0)</f>
        <v>0</v>
      </c>
      <c r="AB96">
        <f t="shared" si="21"/>
        <v>0</v>
      </c>
    </row>
    <row r="97" spans="1:28" x14ac:dyDescent="0.2">
      <c r="A97">
        <v>96</v>
      </c>
      <c r="B97">
        <f t="shared" si="22"/>
        <v>0</v>
      </c>
      <c r="C97">
        <f t="shared" si="23"/>
        <v>109137.35602212614</v>
      </c>
      <c r="D97">
        <f t="shared" si="24"/>
        <v>106056.87396768763</v>
      </c>
      <c r="E97">
        <f t="shared" si="25"/>
        <v>826.97416141920394</v>
      </c>
      <c r="F97">
        <f t="shared" si="26"/>
        <v>2253.5078930193149</v>
      </c>
      <c r="G97">
        <f>MAX(Inputs!B7-A97+1,0)</f>
        <v>205</v>
      </c>
      <c r="H97">
        <f>IF(AND(A97&lt;=Inputs!B7,D97&gt;0),-PMT(Inputs!B6/12,G97,D97),0)</f>
        <v>813.53414667811478</v>
      </c>
      <c r="I97">
        <f>IF(AND(A97&lt;=Inputs!B7,D97&gt;0),D97*Inputs!B6/12,0)</f>
        <v>508.18918776183659</v>
      </c>
      <c r="J97">
        <f t="shared" si="14"/>
        <v>305.34495891627819</v>
      </c>
      <c r="K97">
        <f>MAX((D97-J97)*Inputs!B32,0)</f>
        <v>8460.1223207017083</v>
      </c>
      <c r="L97">
        <f>MAX((D97-J97-K97)*Inputs!B33,0)</f>
        <v>330.40679291020814</v>
      </c>
      <c r="M97">
        <f>MIN(E97*Inputs!B29,E97)</f>
        <v>289.44095649672136</v>
      </c>
      <c r="N97">
        <f>MIN((E97-M97)*Inputs!B30,E97-M97)</f>
        <v>107.50664098449653</v>
      </c>
      <c r="O97">
        <f>MIN(F97*Inputs!B31,F97)</f>
        <v>270.42094716231776</v>
      </c>
      <c r="P97">
        <f>MIN((F97-O97)*Inputs!B34,F97-O97)</f>
        <v>17.335374570019589</v>
      </c>
      <c r="Q97">
        <f>P97*Inputs!B35</f>
        <v>4.3338436425048972</v>
      </c>
      <c r="R97">
        <f>C97*Inputs!B8/12</f>
        <v>45.473898342552559</v>
      </c>
      <c r="S97">
        <f t="shared" si="15"/>
        <v>462.71528941928403</v>
      </c>
      <c r="T97">
        <f t="shared" si="16"/>
        <v>8778.4688105454989</v>
      </c>
      <c r="U97">
        <f t="shared" si="17"/>
        <v>97520.861798818485</v>
      </c>
      <c r="V97">
        <f t="shared" si="18"/>
        <v>760.43335684819419</v>
      </c>
      <c r="W97">
        <f t="shared" si="19"/>
        <v>2073.2582122714739</v>
      </c>
      <c r="X97">
        <f t="shared" si="20"/>
        <v>100354.55336793815</v>
      </c>
      <c r="Y97">
        <f t="shared" si="27"/>
        <v>81568.799125467471</v>
      </c>
      <c r="Z97">
        <f>IF(Inputs!B3&gt;0,(V97+W97)/Inputs!B3,0)</f>
        <v>9.4456385637322279E-6</v>
      </c>
      <c r="AA97">
        <f>IF(OR(Y97/Inputs!B3&gt;=Inputs!B23,Z97&gt;=Inputs!B24),1,0)</f>
        <v>0</v>
      </c>
      <c r="AB97">
        <f t="shared" si="21"/>
        <v>0</v>
      </c>
    </row>
    <row r="98" spans="1:28" x14ac:dyDescent="0.2">
      <c r="A98">
        <v>97</v>
      </c>
      <c r="B98">
        <f t="shared" si="22"/>
        <v>0</v>
      </c>
      <c r="C98">
        <f t="shared" si="23"/>
        <v>100354.55336793815</v>
      </c>
      <c r="D98">
        <f t="shared" si="24"/>
        <v>97520.861798818485</v>
      </c>
      <c r="E98">
        <f t="shared" si="25"/>
        <v>760.43335684819419</v>
      </c>
      <c r="F98">
        <f t="shared" si="26"/>
        <v>2073.2582122714739</v>
      </c>
      <c r="G98">
        <f>MAX(Inputs!B7-A98+1,0)</f>
        <v>204</v>
      </c>
      <c r="H98">
        <f>IF(AND(A98&lt;=Inputs!B7,D98&gt;0),-PMT(Inputs!B6/12,G98,D98),0)</f>
        <v>750.21658627967201</v>
      </c>
      <c r="I98">
        <f>IF(AND(A98&lt;=Inputs!B7,D98&gt;0),D98*Inputs!B6/12,0)</f>
        <v>467.28746278600528</v>
      </c>
      <c r="J98">
        <f t="shared" si="14"/>
        <v>282.92912349366674</v>
      </c>
      <c r="K98">
        <f>MAX((D98-J98)*Inputs!B32,0)</f>
        <v>7779.0346140259853</v>
      </c>
      <c r="L98">
        <f>MAX((D98-J98-K98)*Inputs!B33,0)</f>
        <v>303.80717693271373</v>
      </c>
      <c r="M98">
        <f>MIN(E98*Inputs!B29,E98)</f>
        <v>266.15167489686797</v>
      </c>
      <c r="N98">
        <f>MIN((E98-M98)*Inputs!B30,E98-M98)</f>
        <v>98.856336390265255</v>
      </c>
      <c r="O98">
        <f>MIN(F98*Inputs!B31,F98)</f>
        <v>248.79098547257686</v>
      </c>
      <c r="P98">
        <f>MIN((F98-O98)*Inputs!B34,F98-O98)</f>
        <v>15.948782696270385</v>
      </c>
      <c r="Q98">
        <f>P98*Inputs!B35</f>
        <v>3.9871956740675962</v>
      </c>
      <c r="R98">
        <f>C98*Inputs!B8/12</f>
        <v>41.814397236640893</v>
      </c>
      <c r="S98">
        <f t="shared" si="15"/>
        <v>425.47306554936438</v>
      </c>
      <c r="T98">
        <f t="shared" si="16"/>
        <v>8073.9253245418549</v>
      </c>
      <c r="U98">
        <f t="shared" si="17"/>
        <v>89670.033544735576</v>
      </c>
      <c r="V98">
        <f t="shared" si="18"/>
        <v>699.2325224937747</v>
      </c>
      <c r="W98">
        <f t="shared" si="19"/>
        <v>1907.3747804928917</v>
      </c>
      <c r="X98">
        <f t="shared" si="20"/>
        <v>92276.640847722243</v>
      </c>
      <c r="Y98">
        <f t="shared" si="27"/>
        <v>81572.786321141539</v>
      </c>
      <c r="Z98">
        <f>IF(Inputs!B3&gt;0,(V98+W98)/Inputs!B3,0)</f>
        <v>8.688691009955555E-6</v>
      </c>
      <c r="AA98">
        <f>IF(OR(Y98/Inputs!B3&gt;=Inputs!B23,Z98&gt;=Inputs!B24),1,0)</f>
        <v>0</v>
      </c>
      <c r="AB98">
        <f t="shared" si="21"/>
        <v>0</v>
      </c>
    </row>
    <row r="99" spans="1:28" x14ac:dyDescent="0.2">
      <c r="A99">
        <v>98</v>
      </c>
      <c r="B99">
        <f t="shared" si="22"/>
        <v>0</v>
      </c>
      <c r="C99">
        <f t="shared" si="23"/>
        <v>92276.640847722243</v>
      </c>
      <c r="D99">
        <f t="shared" si="24"/>
        <v>89670.033544735576</v>
      </c>
      <c r="E99">
        <f t="shared" si="25"/>
        <v>699.2325224937747</v>
      </c>
      <c r="F99">
        <f t="shared" si="26"/>
        <v>1907.3747804928917</v>
      </c>
      <c r="G99">
        <f>MAX(Inputs!B7-A99+1,0)</f>
        <v>203</v>
      </c>
      <c r="H99">
        <f>IF(AND(A99&lt;=Inputs!B7,D99&gt;0),-PMT(Inputs!B6/12,G99,D99),0)</f>
        <v>691.82822594691174</v>
      </c>
      <c r="I99">
        <f>IF(AND(A99&lt;=Inputs!B7,D99&gt;0),D99*Inputs!B6/12,0)</f>
        <v>429.66891073519133</v>
      </c>
      <c r="J99">
        <f t="shared" si="14"/>
        <v>262.15931521172041</v>
      </c>
      <c r="K99">
        <f>MAX((D99-J99)*Inputs!B32,0)</f>
        <v>7152.629938361908</v>
      </c>
      <c r="L99">
        <f>MAX((D99-J99-K99)*Inputs!B33,0)</f>
        <v>279.34318550274583</v>
      </c>
      <c r="M99">
        <f>MIN(E99*Inputs!B29,E99)</f>
        <v>244.73138287282111</v>
      </c>
      <c r="N99">
        <f>MIN((E99-M99)*Inputs!B30,E99-M99)</f>
        <v>90.90022792419073</v>
      </c>
      <c r="O99">
        <f>MIN(F99*Inputs!B31,F99)</f>
        <v>228.88497365914699</v>
      </c>
      <c r="P99">
        <f>MIN((F99-O99)*Inputs!B34,F99-O99)</f>
        <v>14.672704882764647</v>
      </c>
      <c r="Q99">
        <f>P99*Inputs!B35</f>
        <v>3.6681762206911617</v>
      </c>
      <c r="R99">
        <f>C99*Inputs!B8/12</f>
        <v>38.4486003532176</v>
      </c>
      <c r="S99">
        <f t="shared" si="15"/>
        <v>391.22031038197372</v>
      </c>
      <c r="T99">
        <f t="shared" si="16"/>
        <v>7425.7937822357017</v>
      </c>
      <c r="U99">
        <f t="shared" si="17"/>
        <v>82449.517462191172</v>
      </c>
      <c r="V99">
        <f t="shared" si="18"/>
        <v>642.94409719950863</v>
      </c>
      <c r="W99">
        <f t="shared" si="19"/>
        <v>1754.7173298751707</v>
      </c>
      <c r="X99">
        <f t="shared" si="20"/>
        <v>84847.178889265851</v>
      </c>
      <c r="Y99">
        <f t="shared" si="27"/>
        <v>81576.454497362225</v>
      </c>
      <c r="Z99">
        <f>IF(Inputs!B3&gt;0,(V99+W99)/Inputs!B3,0)</f>
        <v>7.9922047569155979E-6</v>
      </c>
      <c r="AA99">
        <f>IF(OR(Y99/Inputs!B3&gt;=Inputs!B23,Z99&gt;=Inputs!B24),1,0)</f>
        <v>0</v>
      </c>
      <c r="AB99">
        <f t="shared" si="21"/>
        <v>0</v>
      </c>
    </row>
    <row r="100" spans="1:28" x14ac:dyDescent="0.2">
      <c r="A100">
        <v>99</v>
      </c>
      <c r="B100">
        <f t="shared" si="22"/>
        <v>0</v>
      </c>
      <c r="C100">
        <f t="shared" si="23"/>
        <v>84847.178889265851</v>
      </c>
      <c r="D100">
        <f t="shared" si="24"/>
        <v>82449.517462191172</v>
      </c>
      <c r="E100">
        <f t="shared" si="25"/>
        <v>642.94409719950863</v>
      </c>
      <c r="F100">
        <f t="shared" si="26"/>
        <v>1754.7173298751707</v>
      </c>
      <c r="G100">
        <f>MAX(Inputs!B7-A100+1,0)</f>
        <v>202</v>
      </c>
      <c r="H100">
        <f>IF(AND(A100&lt;=Inputs!B7,D100&gt;0),-PMT(Inputs!B6/12,G100,D100),0)</f>
        <v>637.9852321464864</v>
      </c>
      <c r="I100">
        <f>IF(AND(A100&lt;=Inputs!B7,D100&gt;0),D100*Inputs!B6/12,0)</f>
        <v>395.0706045063327</v>
      </c>
      <c r="J100">
        <f t="shared" si="14"/>
        <v>242.9146276401537</v>
      </c>
      <c r="K100">
        <f>MAX((D100-J100)*Inputs!B32,0)</f>
        <v>6576.5282267640814</v>
      </c>
      <c r="L100">
        <f>MAX((D100-J100-K100)*Inputs!B33,0)</f>
        <v>256.84375680614846</v>
      </c>
      <c r="M100">
        <f>MIN(E100*Inputs!B29,E100)</f>
        <v>225.03043401982799</v>
      </c>
      <c r="N100">
        <f>MIN((E100-M100)*Inputs!B30,E100-M100)</f>
        <v>83.582732635936125</v>
      </c>
      <c r="O100">
        <f>MIN(F100*Inputs!B31,F100)</f>
        <v>210.56607958502047</v>
      </c>
      <c r="P100">
        <f>MIN((F100-O100)*Inputs!B34,F100-O100)</f>
        <v>13.498369485245014</v>
      </c>
      <c r="Q100">
        <f>P100*Inputs!B35</f>
        <v>3.3745923713112536</v>
      </c>
      <c r="R100">
        <f>C100*Inputs!B8/12</f>
        <v>35.352991203860775</v>
      </c>
      <c r="S100">
        <f t="shared" si="15"/>
        <v>359.71761330247193</v>
      </c>
      <c r="T100">
        <f t="shared" si="16"/>
        <v>6829.5666315181688</v>
      </c>
      <c r="U100">
        <f t="shared" si="17"/>
        <v>75808.827364585639</v>
      </c>
      <c r="V100">
        <f t="shared" si="18"/>
        <v>591.17468734989302</v>
      </c>
      <c r="W100">
        <f t="shared" si="19"/>
        <v>1614.235613440841</v>
      </c>
      <c r="X100">
        <f t="shared" si="20"/>
        <v>78014.237665376379</v>
      </c>
      <c r="Y100">
        <f t="shared" si="27"/>
        <v>81579.829089733539</v>
      </c>
      <c r="Z100">
        <f>IF(Inputs!B3&gt;0,(V100+W100)/Inputs!B3,0)</f>
        <v>7.3513676693024475E-6</v>
      </c>
      <c r="AA100">
        <f>IF(OR(Y100/Inputs!B3&gt;=Inputs!B23,Z100&gt;=Inputs!B24),1,0)</f>
        <v>0</v>
      </c>
      <c r="AB100">
        <f t="shared" si="21"/>
        <v>0</v>
      </c>
    </row>
    <row r="101" spans="1:28" x14ac:dyDescent="0.2">
      <c r="A101">
        <v>100</v>
      </c>
      <c r="B101">
        <f t="shared" si="22"/>
        <v>0</v>
      </c>
      <c r="C101">
        <f t="shared" si="23"/>
        <v>78014.237665376379</v>
      </c>
      <c r="D101">
        <f t="shared" si="24"/>
        <v>75808.827364585639</v>
      </c>
      <c r="E101">
        <f t="shared" si="25"/>
        <v>591.17468734989302</v>
      </c>
      <c r="F101">
        <f t="shared" si="26"/>
        <v>1614.235613440841</v>
      </c>
      <c r="G101">
        <f>MAX(Inputs!B7-A101+1,0)</f>
        <v>201</v>
      </c>
      <c r="H101">
        <f>IF(AND(A101&lt;=Inputs!B7,D101&gt;0),-PMT(Inputs!B6/12,G101,D101),0)</f>
        <v>588.33366976965692</v>
      </c>
      <c r="I101">
        <f>IF(AND(A101&lt;=Inputs!B7,D101&gt;0),D101*Inputs!B6/12,0)</f>
        <v>363.2506311219729</v>
      </c>
      <c r="J101">
        <f t="shared" si="14"/>
        <v>225.08303864768402</v>
      </c>
      <c r="K101">
        <f>MAX((D101-J101)*Inputs!B32,0)</f>
        <v>6046.6995460750359</v>
      </c>
      <c r="L101">
        <f>MAX((D101-J101-K101)*Inputs!B33,0)</f>
        <v>236.15150336792701</v>
      </c>
      <c r="M101">
        <f>MIN(E101*Inputs!B29,E101)</f>
        <v>206.91114057246256</v>
      </c>
      <c r="N101">
        <f>MIN((E101-M101)*Inputs!B30,E101-M101)</f>
        <v>76.852709355486098</v>
      </c>
      <c r="O101">
        <f>MIN(F101*Inputs!B31,F101)</f>
        <v>193.70827361290091</v>
      </c>
      <c r="P101">
        <f>MIN((F101-O101)*Inputs!B34,F101-O101)</f>
        <v>12.417697355286114</v>
      </c>
      <c r="Q101">
        <f>P101*Inputs!B35</f>
        <v>3.1044243388215285</v>
      </c>
      <c r="R101">
        <f>C101*Inputs!B8/12</f>
        <v>32.505932360573489</v>
      </c>
      <c r="S101">
        <f t="shared" si="15"/>
        <v>330.74469876139943</v>
      </c>
      <c r="T101">
        <f t="shared" si="16"/>
        <v>6281.0958577391839</v>
      </c>
      <c r="U101">
        <f t="shared" si="17"/>
        <v>69701.512690680349</v>
      </c>
      <c r="V101">
        <f t="shared" si="18"/>
        <v>543.56234078987143</v>
      </c>
      <c r="W101">
        <f t="shared" si="19"/>
        <v>1484.9623518281401</v>
      </c>
      <c r="X101">
        <f t="shared" si="20"/>
        <v>71730.037383298361</v>
      </c>
      <c r="Y101">
        <f t="shared" si="27"/>
        <v>81582.933514072356</v>
      </c>
      <c r="Z101">
        <f>IF(Inputs!B3&gt;0,(V101+W101)/Inputs!B3,0)</f>
        <v>6.7617489753933717E-6</v>
      </c>
      <c r="AA101">
        <f>IF(OR(Y101/Inputs!B3&gt;=Inputs!B23,Z101&gt;=Inputs!B24),1,0)</f>
        <v>0</v>
      </c>
      <c r="AB101">
        <f t="shared" si="21"/>
        <v>0</v>
      </c>
    </row>
    <row r="102" spans="1:28" x14ac:dyDescent="0.2">
      <c r="A102">
        <v>101</v>
      </c>
      <c r="B102">
        <f t="shared" si="22"/>
        <v>0</v>
      </c>
      <c r="C102">
        <f t="shared" si="23"/>
        <v>71730.037383298361</v>
      </c>
      <c r="D102">
        <f t="shared" si="24"/>
        <v>69701.512690680349</v>
      </c>
      <c r="E102">
        <f t="shared" si="25"/>
        <v>543.56234078987143</v>
      </c>
      <c r="F102">
        <f t="shared" si="26"/>
        <v>1484.9623518281401</v>
      </c>
      <c r="G102">
        <f>MAX(Inputs!B7-A102+1,0)</f>
        <v>200</v>
      </c>
      <c r="H102">
        <f>IF(AND(A102&lt;=Inputs!B7,D102&gt;0),-PMT(Inputs!B6/12,G102,D102),0)</f>
        <v>542.54717221956571</v>
      </c>
      <c r="I102">
        <f>IF(AND(A102&lt;=Inputs!B7,D102&gt;0),D102*Inputs!B6/12,0)</f>
        <v>333.98641497617672</v>
      </c>
      <c r="J102">
        <f t="shared" si="14"/>
        <v>208.56075724338899</v>
      </c>
      <c r="K102">
        <f>MAX((D102-J102)*Inputs!B32,0)</f>
        <v>5559.436154674956</v>
      </c>
      <c r="L102">
        <f>MAX((D102-J102-K102)*Inputs!B33,0)</f>
        <v>217.12162077851093</v>
      </c>
      <c r="M102">
        <f>MIN(E102*Inputs!B29,E102)</f>
        <v>190.246819276455</v>
      </c>
      <c r="N102">
        <f>MIN((E102-M102)*Inputs!B30,E102-M102)</f>
        <v>70.663104302683294</v>
      </c>
      <c r="O102">
        <f>MIN(F102*Inputs!B31,F102)</f>
        <v>178.1954822193768</v>
      </c>
      <c r="P102">
        <f>MIN((F102-O102)*Inputs!B34,F102-O102)</f>
        <v>11.423247582606708</v>
      </c>
      <c r="Q102">
        <f>P102*Inputs!B35</f>
        <v>2.8558118956516769</v>
      </c>
      <c r="R102">
        <f>C102*Inputs!B8/12</f>
        <v>29.887515576374316</v>
      </c>
      <c r="S102">
        <f t="shared" si="15"/>
        <v>304.09889939980241</v>
      </c>
      <c r="T102">
        <f t="shared" si="16"/>
        <v>5776.5643476053001</v>
      </c>
      <c r="U102">
        <f t="shared" si="17"/>
        <v>64084.836459479324</v>
      </c>
      <c r="V102">
        <f t="shared" si="18"/>
        <v>499.77403798924411</v>
      </c>
      <c r="W102">
        <f t="shared" si="19"/>
        <v>1366.0067263288397</v>
      </c>
      <c r="X102">
        <f t="shared" si="20"/>
        <v>65950.61722379741</v>
      </c>
      <c r="Y102">
        <f t="shared" si="27"/>
        <v>81585.789325968013</v>
      </c>
      <c r="Z102">
        <f>IF(Inputs!B3&gt;0,(V102+W102)/Inputs!B3,0)</f>
        <v>6.2192692143936131E-6</v>
      </c>
      <c r="AA102">
        <f>IF(OR(Y102/Inputs!B3&gt;=Inputs!B23,Z102&gt;=Inputs!B24),1,0)</f>
        <v>0</v>
      </c>
      <c r="AB102">
        <f t="shared" si="21"/>
        <v>0</v>
      </c>
    </row>
    <row r="103" spans="1:28" x14ac:dyDescent="0.2">
      <c r="A103">
        <v>102</v>
      </c>
      <c r="B103">
        <f t="shared" si="22"/>
        <v>0</v>
      </c>
      <c r="C103">
        <f t="shared" si="23"/>
        <v>65950.61722379741</v>
      </c>
      <c r="D103">
        <f t="shared" si="24"/>
        <v>64084.836459479324</v>
      </c>
      <c r="E103">
        <f t="shared" si="25"/>
        <v>499.77403798924411</v>
      </c>
      <c r="F103">
        <f t="shared" si="26"/>
        <v>1366.0067263288397</v>
      </c>
      <c r="G103">
        <f>MAX(Inputs!B7-A103+1,0)</f>
        <v>199</v>
      </c>
      <c r="H103">
        <f>IF(AND(A103&lt;=Inputs!B7,D103&gt;0),-PMT(Inputs!B6/12,G103,D103),0)</f>
        <v>500.32479317538514</v>
      </c>
      <c r="I103">
        <f>IF(AND(A103&lt;=Inputs!B7,D103&gt;0),D103*Inputs!B6/12,0)</f>
        <v>307.0731747016718</v>
      </c>
      <c r="J103">
        <f t="shared" si="14"/>
        <v>193.25161847371334</v>
      </c>
      <c r="K103">
        <f>MAX((D103-J103)*Inputs!B32,0)</f>
        <v>5111.326787280449</v>
      </c>
      <c r="L103">
        <f>MAX((D103-J103-K103)*Inputs!B33,0)</f>
        <v>199.62088339655295</v>
      </c>
      <c r="M103">
        <f>MIN(E103*Inputs!B29,E103)</f>
        <v>174.92091329623543</v>
      </c>
      <c r="N103">
        <f>MIN((E103-M103)*Inputs!B30,E103-M103)</f>
        <v>64.970624938601745</v>
      </c>
      <c r="O103">
        <f>MIN(F103*Inputs!B31,F103)</f>
        <v>163.92080715946076</v>
      </c>
      <c r="P103">
        <f>MIN((F103-O103)*Inputs!B34,F103-O103)</f>
        <v>10.50816743949772</v>
      </c>
      <c r="Q103">
        <f>P103*Inputs!B35</f>
        <v>2.6270418598744301</v>
      </c>
      <c r="R103">
        <f>C103*Inputs!B8/12</f>
        <v>27.47942384324892</v>
      </c>
      <c r="S103">
        <f t="shared" si="15"/>
        <v>279.59375085842288</v>
      </c>
      <c r="T103">
        <f t="shared" si="16"/>
        <v>5312.4595313337859</v>
      </c>
      <c r="U103">
        <f t="shared" si="17"/>
        <v>58919.47889078431</v>
      </c>
      <c r="V103">
        <f t="shared" si="18"/>
        <v>459.50338315095985</v>
      </c>
      <c r="W103">
        <f t="shared" si="19"/>
        <v>1256.5483766684829</v>
      </c>
      <c r="X103">
        <f t="shared" si="20"/>
        <v>60635.530650603752</v>
      </c>
      <c r="Y103">
        <f t="shared" si="27"/>
        <v>81588.416367827886</v>
      </c>
      <c r="Z103">
        <f>IF(Inputs!B3&gt;0,(V103+W103)/Inputs!B3,0)</f>
        <v>5.7201725327314762E-6</v>
      </c>
      <c r="AA103">
        <f>IF(OR(Y103/Inputs!B3&gt;=Inputs!B23,Z103&gt;=Inputs!B24),1,0)</f>
        <v>0</v>
      </c>
      <c r="AB103">
        <f t="shared" si="21"/>
        <v>0</v>
      </c>
    </row>
    <row r="104" spans="1:28" x14ac:dyDescent="0.2">
      <c r="A104">
        <v>103</v>
      </c>
      <c r="B104">
        <f t="shared" si="22"/>
        <v>0</v>
      </c>
      <c r="C104">
        <f t="shared" si="23"/>
        <v>60635.530650603752</v>
      </c>
      <c r="D104">
        <f t="shared" si="24"/>
        <v>58919.47889078431</v>
      </c>
      <c r="E104">
        <f t="shared" si="25"/>
        <v>459.50338315095985</v>
      </c>
      <c r="F104">
        <f t="shared" si="26"/>
        <v>1256.5483766684829</v>
      </c>
      <c r="G104">
        <f>MAX(Inputs!B7-A104+1,0)</f>
        <v>198</v>
      </c>
      <c r="H104">
        <f>IF(AND(A104&lt;=Inputs!B7,D104&gt;0),-PMT(Inputs!B6/12,G104,D104),0)</f>
        <v>461.38902585358312</v>
      </c>
      <c r="I104">
        <f>IF(AND(A104&lt;=Inputs!B7,D104&gt;0),D104*Inputs!B6/12,0)</f>
        <v>282.32250301834148</v>
      </c>
      <c r="J104">
        <f t="shared" si="14"/>
        <v>179.06652283524164</v>
      </c>
      <c r="K104">
        <f>MAX((D104-J104)*Inputs!B32,0)</f>
        <v>4699.2329894359254</v>
      </c>
      <c r="L104">
        <f>MAX((D104-J104-K104)*Inputs!B33,0)</f>
        <v>183.52672010167717</v>
      </c>
      <c r="M104">
        <f>MIN(E104*Inputs!B29,E104)</f>
        <v>160.82618410283592</v>
      </c>
      <c r="N104">
        <f>MIN((E104-M104)*Inputs!B30,E104-M104)</f>
        <v>59.735439809624793</v>
      </c>
      <c r="O104">
        <f>MIN(F104*Inputs!B31,F104)</f>
        <v>150.78580520021794</v>
      </c>
      <c r="P104">
        <f>MIN((F104-O104)*Inputs!B34,F104-O104)</f>
        <v>9.6661462080406011</v>
      </c>
      <c r="Q104">
        <f>P104*Inputs!B35</f>
        <v>2.4165365520101503</v>
      </c>
      <c r="R104">
        <f>C104*Inputs!B8/12</f>
        <v>25.264804437751565</v>
      </c>
      <c r="S104">
        <f t="shared" si="15"/>
        <v>257.05769858058989</v>
      </c>
      <c r="T104">
        <f t="shared" si="16"/>
        <v>4885.549121927198</v>
      </c>
      <c r="U104">
        <f t="shared" si="17"/>
        <v>54169.264647714517</v>
      </c>
      <c r="V104">
        <f t="shared" si="18"/>
        <v>422.46847934017637</v>
      </c>
      <c r="W104">
        <f t="shared" si="19"/>
        <v>1155.8318650698491</v>
      </c>
      <c r="X104">
        <f t="shared" si="20"/>
        <v>55747.564992124542</v>
      </c>
      <c r="Y104">
        <f t="shared" si="27"/>
        <v>81590.832904379902</v>
      </c>
      <c r="Z104">
        <f>IF(Inputs!B3&gt;0,(V104+W104)/Inputs!B3,0)</f>
        <v>5.2610011480334185E-6</v>
      </c>
      <c r="AA104">
        <f>IF(OR(Y104/Inputs!B3&gt;=Inputs!B23,Z104&gt;=Inputs!B24),1,0)</f>
        <v>0</v>
      </c>
      <c r="AB104">
        <f t="shared" si="21"/>
        <v>0</v>
      </c>
    </row>
    <row r="105" spans="1:28" x14ac:dyDescent="0.2">
      <c r="A105">
        <v>104</v>
      </c>
      <c r="B105">
        <f t="shared" si="22"/>
        <v>0</v>
      </c>
      <c r="C105">
        <f t="shared" si="23"/>
        <v>55747.564992124542</v>
      </c>
      <c r="D105">
        <f t="shared" si="24"/>
        <v>54169.264647714517</v>
      </c>
      <c r="E105">
        <f t="shared" si="25"/>
        <v>422.46847934017637</v>
      </c>
      <c r="F105">
        <f t="shared" si="26"/>
        <v>1155.8318650698491</v>
      </c>
      <c r="G105">
        <f>MAX(Inputs!B7-A105+1,0)</f>
        <v>197</v>
      </c>
      <c r="H105">
        <f>IF(AND(A105&lt;=Inputs!B7,D105&gt;0),-PMT(Inputs!B6/12,G105,D105),0)</f>
        <v>425.48397669491163</v>
      </c>
      <c r="I105">
        <f>IF(AND(A105&lt;=Inputs!B7,D105&gt;0),D105*Inputs!B6/12,0)</f>
        <v>259.56105977029875</v>
      </c>
      <c r="J105">
        <f t="shared" si="14"/>
        <v>165.92291692461288</v>
      </c>
      <c r="K105">
        <f>MAX((D105-J105)*Inputs!B32,0)</f>
        <v>4320.2673384631926</v>
      </c>
      <c r="L105">
        <f>MAX((D105-J105-K105)*Inputs!B33,0)</f>
        <v>168.7263637221202</v>
      </c>
      <c r="M105">
        <f>MIN(E105*Inputs!B29,E105)</f>
        <v>147.86396776906173</v>
      </c>
      <c r="N105">
        <f>MIN((E105-M105)*Inputs!B30,E105-M105)</f>
        <v>54.920902314222928</v>
      </c>
      <c r="O105">
        <f>MIN(F105*Inputs!B31,F105)</f>
        <v>138.69982380838189</v>
      </c>
      <c r="P105">
        <f>MIN((F105-O105)*Inputs!B34,F105-O105)</f>
        <v>8.8913725942642792</v>
      </c>
      <c r="Q105">
        <f>P105*Inputs!B35</f>
        <v>2.2228431485660698</v>
      </c>
      <c r="R105">
        <f>C105*Inputs!B8/12</f>
        <v>23.228152080051895</v>
      </c>
      <c r="S105">
        <f t="shared" si="15"/>
        <v>236.33290769024686</v>
      </c>
      <c r="T105">
        <f t="shared" si="16"/>
        <v>4492.8587848335028</v>
      </c>
      <c r="U105">
        <f t="shared" si="17"/>
        <v>49800.911820182038</v>
      </c>
      <c r="V105">
        <f t="shared" si="18"/>
        <v>388.40997297901191</v>
      </c>
      <c r="W105">
        <f t="shared" si="19"/>
        <v>1063.1615709814259</v>
      </c>
      <c r="X105">
        <f t="shared" si="20"/>
        <v>51252.483364142478</v>
      </c>
      <c r="Y105">
        <f t="shared" si="27"/>
        <v>81593.055747528473</v>
      </c>
      <c r="Z105">
        <f>IF(Inputs!B3&gt;0,(V105+W105)/Inputs!B3,0)</f>
        <v>4.838571813201459E-6</v>
      </c>
      <c r="AA105">
        <f>IF(OR(Y105/Inputs!B3&gt;=Inputs!B23,Z105&gt;=Inputs!B24),1,0)</f>
        <v>0</v>
      </c>
      <c r="AB105">
        <f t="shared" si="21"/>
        <v>0</v>
      </c>
    </row>
    <row r="106" spans="1:28" x14ac:dyDescent="0.2">
      <c r="A106">
        <v>105</v>
      </c>
      <c r="B106">
        <f t="shared" si="22"/>
        <v>0</v>
      </c>
      <c r="C106">
        <f t="shared" si="23"/>
        <v>51252.483364142478</v>
      </c>
      <c r="D106">
        <f t="shared" si="24"/>
        <v>49800.911820182038</v>
      </c>
      <c r="E106">
        <f t="shared" si="25"/>
        <v>388.40997297901191</v>
      </c>
      <c r="F106">
        <f t="shared" si="26"/>
        <v>1063.1615709814259</v>
      </c>
      <c r="G106">
        <f>MAX(Inputs!B7-A106+1,0)</f>
        <v>196</v>
      </c>
      <c r="H106">
        <f>IF(AND(A106&lt;=Inputs!B7,D106&gt;0),-PMT(Inputs!B6/12,G106,D106),0)</f>
        <v>392.37368142724642</v>
      </c>
      <c r="I106">
        <f>IF(AND(A106&lt;=Inputs!B7,D106&gt;0),D106*Inputs!B6/12,0)</f>
        <v>238.62936913837225</v>
      </c>
      <c r="J106">
        <f t="shared" si="14"/>
        <v>153.74431228887417</v>
      </c>
      <c r="K106">
        <f>MAX((D106-J106)*Inputs!B32,0)</f>
        <v>3971.7734006314536</v>
      </c>
      <c r="L106">
        <f>MAX((D106-J106-K106)*Inputs!B33,0)</f>
        <v>155.11606826978635</v>
      </c>
      <c r="M106">
        <f>MIN(E106*Inputs!B29,E106)</f>
        <v>135.94349054265416</v>
      </c>
      <c r="N106">
        <f>MIN((E106-M106)*Inputs!B30,E106-M106)</f>
        <v>50.49329648727155</v>
      </c>
      <c r="O106">
        <f>MIN(F106*Inputs!B31,F106)</f>
        <v>127.57938851777111</v>
      </c>
      <c r="P106">
        <f>MIN((F106-O106)*Inputs!B34,F106-O106)</f>
        <v>8.1784954552433522</v>
      </c>
      <c r="Q106">
        <f>P106*Inputs!B35</f>
        <v>2.044623863810838</v>
      </c>
      <c r="R106">
        <f>C106*Inputs!B8/12</f>
        <v>21.355201401726035</v>
      </c>
      <c r="S106">
        <f t="shared" si="15"/>
        <v>217.27416773664623</v>
      </c>
      <c r="T106">
        <f t="shared" si="16"/>
        <v>4131.6515845117601</v>
      </c>
      <c r="U106">
        <f t="shared" si="17"/>
        <v>45783.800918052344</v>
      </c>
      <c r="V106">
        <f t="shared" si="18"/>
        <v>357.08925421887255</v>
      </c>
      <c r="W106">
        <f t="shared" si="19"/>
        <v>977.896983495683</v>
      </c>
      <c r="X106">
        <f t="shared" si="20"/>
        <v>47118.787155766899</v>
      </c>
      <c r="Y106">
        <f t="shared" si="27"/>
        <v>81595.100371392284</v>
      </c>
      <c r="Z106">
        <f>IF(Inputs!B3&gt;0,(V106+W106)/Inputs!B3,0)</f>
        <v>4.4499541257151847E-6</v>
      </c>
      <c r="AA106">
        <f>IF(OR(Y106/Inputs!B3&gt;=Inputs!B23,Z106&gt;=Inputs!B24),1,0)</f>
        <v>0</v>
      </c>
      <c r="AB106">
        <f t="shared" si="21"/>
        <v>0</v>
      </c>
    </row>
    <row r="107" spans="1:28" x14ac:dyDescent="0.2">
      <c r="A107">
        <v>106</v>
      </c>
      <c r="B107">
        <f t="shared" si="22"/>
        <v>0</v>
      </c>
      <c r="C107">
        <f t="shared" si="23"/>
        <v>47118.787155766899</v>
      </c>
      <c r="D107">
        <f t="shared" si="24"/>
        <v>45783.800918052344</v>
      </c>
      <c r="E107">
        <f t="shared" si="25"/>
        <v>357.08925421887255</v>
      </c>
      <c r="F107">
        <f t="shared" si="26"/>
        <v>977.896983495683</v>
      </c>
      <c r="G107">
        <f>MAX(Inputs!B7-A107+1,0)</f>
        <v>195</v>
      </c>
      <c r="H107">
        <f>IF(AND(A107&lt;=Inputs!B7,D107&gt;0),-PMT(Inputs!B6/12,G107,D107),0)</f>
        <v>361.84055239591015</v>
      </c>
      <c r="I107">
        <f>IF(AND(A107&lt;=Inputs!B7,D107&gt;0),D107*Inputs!B6/12,0)</f>
        <v>219.38071273233416</v>
      </c>
      <c r="J107">
        <f t="shared" si="14"/>
        <v>142.45983966357599</v>
      </c>
      <c r="K107">
        <f>MAX((D107-J107)*Inputs!B32,0)</f>
        <v>3651.3072862711015</v>
      </c>
      <c r="L107">
        <f>MAX((D107-J107-K107)*Inputs!B33,0)</f>
        <v>142.6003885823776</v>
      </c>
      <c r="M107">
        <f>MIN(E107*Inputs!B29,E107)</f>
        <v>124.98123897660538</v>
      </c>
      <c r="N107">
        <f>MIN((E107-M107)*Inputs!B30,E107-M107)</f>
        <v>46.421603048453441</v>
      </c>
      <c r="O107">
        <f>MIN(F107*Inputs!B31,F107)</f>
        <v>117.34763801948196</v>
      </c>
      <c r="P107">
        <f>MIN((F107-O107)*Inputs!B34,F107-O107)</f>
        <v>7.5225875854718529</v>
      </c>
      <c r="Q107">
        <f>P107*Inputs!B35</f>
        <v>1.8806468963679632</v>
      </c>
      <c r="R107">
        <f>C107*Inputs!B8/12</f>
        <v>19.632827981569541</v>
      </c>
      <c r="S107">
        <f t="shared" si="15"/>
        <v>199.74788475076463</v>
      </c>
      <c r="T107">
        <f t="shared" si="16"/>
        <v>3799.4090666237812</v>
      </c>
      <c r="U107">
        <f t="shared" si="17"/>
        <v>42089.76228053138</v>
      </c>
      <c r="V107">
        <f t="shared" si="18"/>
        <v>328.28680077619134</v>
      </c>
      <c r="W107">
        <f t="shared" si="19"/>
        <v>899.44836093918275</v>
      </c>
      <c r="X107">
        <f t="shared" si="20"/>
        <v>43317.497442246757</v>
      </c>
      <c r="Y107">
        <f t="shared" si="27"/>
        <v>81596.981018288658</v>
      </c>
      <c r="Z107">
        <f>IF(Inputs!B3&gt;0,(V107+W107)/Inputs!B3,0)</f>
        <v>4.0924505390512468E-6</v>
      </c>
      <c r="AA107">
        <f>IF(OR(Y107/Inputs!B3&gt;=Inputs!B23,Z107&gt;=Inputs!B24),1,0)</f>
        <v>0</v>
      </c>
      <c r="AB107">
        <f t="shared" si="21"/>
        <v>0</v>
      </c>
    </row>
    <row r="108" spans="1:28" x14ac:dyDescent="0.2">
      <c r="A108">
        <v>107</v>
      </c>
      <c r="B108">
        <f t="shared" si="22"/>
        <v>0</v>
      </c>
      <c r="C108">
        <f t="shared" si="23"/>
        <v>43317.497442246757</v>
      </c>
      <c r="D108">
        <f t="shared" si="24"/>
        <v>42089.76228053138</v>
      </c>
      <c r="E108">
        <f t="shared" si="25"/>
        <v>328.28680077619134</v>
      </c>
      <c r="F108">
        <f t="shared" si="26"/>
        <v>899.44836093918275</v>
      </c>
      <c r="G108">
        <f>MAX(Inputs!B7-A108+1,0)</f>
        <v>194</v>
      </c>
      <c r="H108">
        <f>IF(AND(A108&lt;=Inputs!B7,D108&gt;0),-PMT(Inputs!B6/12,G108,D108),0)</f>
        <v>333.68394692090544</v>
      </c>
      <c r="I108">
        <f>IF(AND(A108&lt;=Inputs!B7,D108&gt;0),D108*Inputs!B6/12,0)</f>
        <v>201.68011092754622</v>
      </c>
      <c r="J108">
        <f t="shared" si="14"/>
        <v>132.00383599335922</v>
      </c>
      <c r="K108">
        <f>MAX((D108-J108)*Inputs!B32,0)</f>
        <v>3356.6206755630415</v>
      </c>
      <c r="L108">
        <f>MAX((D108-J108-K108)*Inputs!B33,0)</f>
        <v>131.09151740218488</v>
      </c>
      <c r="M108">
        <f>MIN(E108*Inputs!B29,E108)</f>
        <v>114.90038027166696</v>
      </c>
      <c r="N108">
        <f>MIN((E108-M108)*Inputs!B30,E108-M108)</f>
        <v>42.677284100904878</v>
      </c>
      <c r="O108">
        <f>MIN(F108*Inputs!B31,F108)</f>
        <v>107.93380331270193</v>
      </c>
      <c r="P108">
        <f>MIN((F108-O108)*Inputs!B34,F108-O108)</f>
        <v>6.9191123277495743</v>
      </c>
      <c r="Q108">
        <f>P108*Inputs!B35</f>
        <v>1.7297780819373936</v>
      </c>
      <c r="R108">
        <f>C108*Inputs!B8/12</f>
        <v>18.048957267602816</v>
      </c>
      <c r="S108">
        <f t="shared" si="15"/>
        <v>183.63115365994341</v>
      </c>
      <c r="T108">
        <f t="shared" si="16"/>
        <v>3493.8138458022131</v>
      </c>
      <c r="U108">
        <f t="shared" si="17"/>
        <v>38692.88043515716</v>
      </c>
      <c r="V108">
        <f t="shared" si="18"/>
        <v>301.80065380580436</v>
      </c>
      <c r="W108">
        <f t="shared" si="19"/>
        <v>827.27272939963621</v>
      </c>
      <c r="X108">
        <f t="shared" si="20"/>
        <v>39821.953818362599</v>
      </c>
      <c r="Y108">
        <f t="shared" si="27"/>
        <v>81598.710796370593</v>
      </c>
      <c r="Z108">
        <f>IF(Inputs!B3&gt;0,(V108+W108)/Inputs!B3,0)</f>
        <v>3.7635779440181357E-6</v>
      </c>
      <c r="AA108">
        <f>IF(OR(Y108/Inputs!B3&gt;=Inputs!B23,Z108&gt;=Inputs!B24),1,0)</f>
        <v>0</v>
      </c>
      <c r="AB108">
        <f t="shared" si="21"/>
        <v>0</v>
      </c>
    </row>
    <row r="109" spans="1:28" x14ac:dyDescent="0.2">
      <c r="A109">
        <v>108</v>
      </c>
      <c r="B109">
        <f t="shared" si="22"/>
        <v>0</v>
      </c>
      <c r="C109">
        <f t="shared" si="23"/>
        <v>39821.953818362599</v>
      </c>
      <c r="D109">
        <f t="shared" si="24"/>
        <v>38692.88043515716</v>
      </c>
      <c r="E109">
        <f t="shared" si="25"/>
        <v>301.80065380580436</v>
      </c>
      <c r="F109">
        <f t="shared" si="26"/>
        <v>827.27272939963621</v>
      </c>
      <c r="G109">
        <f>MAX(Inputs!B7-A109+1,0)</f>
        <v>193</v>
      </c>
      <c r="H109">
        <f>IF(AND(A109&lt;=Inputs!B7,D109&gt;0),-PMT(Inputs!B6/12,G109,D109),0)</f>
        <v>307.71884724034101</v>
      </c>
      <c r="I109">
        <f>IF(AND(A109&lt;=Inputs!B7,D109&gt;0),D109*Inputs!B6/12,0)</f>
        <v>185.4033854184614</v>
      </c>
      <c r="J109">
        <f t="shared" si="14"/>
        <v>122.31546182187961</v>
      </c>
      <c r="K109">
        <f>MAX((D109-J109)*Inputs!B32,0)</f>
        <v>3085.6451978668224</v>
      </c>
      <c r="L109">
        <f>MAX((D109-J109-K109)*Inputs!B33,0)</f>
        <v>120.50867531681261</v>
      </c>
      <c r="M109">
        <f>MIN(E109*Inputs!B29,E109)</f>
        <v>105.63022883203152</v>
      </c>
      <c r="N109">
        <f>MIN((E109-M109)*Inputs!B30,E109-M109)</f>
        <v>39.234084994754568</v>
      </c>
      <c r="O109">
        <f>MIN(F109*Inputs!B31,F109)</f>
        <v>99.272727527956334</v>
      </c>
      <c r="P109">
        <f>MIN((F109-O109)*Inputs!B34,F109-O109)</f>
        <v>6.3638927913807102</v>
      </c>
      <c r="Q109">
        <f>P109*Inputs!B35</f>
        <v>1.5909731978451775</v>
      </c>
      <c r="R109">
        <f>C109*Inputs!B8/12</f>
        <v>16.592480757651085</v>
      </c>
      <c r="S109">
        <f t="shared" si="15"/>
        <v>168.81090466081031</v>
      </c>
      <c r="T109">
        <f t="shared" si="16"/>
        <v>3212.7335792822378</v>
      </c>
      <c r="U109">
        <f t="shared" si="17"/>
        <v>35569.314056511626</v>
      </c>
      <c r="V109">
        <f t="shared" si="18"/>
        <v>277.4450152958309</v>
      </c>
      <c r="W109">
        <f t="shared" si="19"/>
        <v>760.87019407505363</v>
      </c>
      <c r="X109">
        <f t="shared" si="20"/>
        <v>36607.629265882511</v>
      </c>
      <c r="Y109">
        <f t="shared" si="27"/>
        <v>81600.301769568439</v>
      </c>
      <c r="Z109">
        <f>IF(Inputs!B3&gt;0,(V109+W109)/Inputs!B3,0)</f>
        <v>3.4610506979029485E-6</v>
      </c>
      <c r="AA109">
        <f>IF(OR(Y109/Inputs!B3&gt;=Inputs!B23,Z109&gt;=Inputs!B24),1,0)</f>
        <v>0</v>
      </c>
      <c r="AB109">
        <f t="shared" si="21"/>
        <v>0</v>
      </c>
    </row>
    <row r="110" spans="1:28" x14ac:dyDescent="0.2">
      <c r="A110">
        <v>109</v>
      </c>
      <c r="B110">
        <f t="shared" si="22"/>
        <v>0</v>
      </c>
      <c r="C110">
        <f t="shared" si="23"/>
        <v>36607.629265882511</v>
      </c>
      <c r="D110">
        <f t="shared" si="24"/>
        <v>35569.314056511626</v>
      </c>
      <c r="E110">
        <f t="shared" si="25"/>
        <v>277.4450152958309</v>
      </c>
      <c r="F110">
        <f t="shared" si="26"/>
        <v>760.87019407505363</v>
      </c>
      <c r="G110">
        <f>MAX(Inputs!B7-A110+1,0)</f>
        <v>192</v>
      </c>
      <c r="H110">
        <f>IF(AND(A110&lt;=Inputs!B7,D110&gt;0),-PMT(Inputs!B6/12,G110,D110),0)</f>
        <v>283.77464333660095</v>
      </c>
      <c r="I110">
        <f>IF(AND(A110&lt;=Inputs!B7,D110&gt;0),D110*Inputs!B6/12,0)</f>
        <v>170.43629652078488</v>
      </c>
      <c r="J110">
        <f t="shared" si="14"/>
        <v>113.33834681581607</v>
      </c>
      <c r="K110">
        <f>MAX((D110-J110)*Inputs!B32,0)</f>
        <v>2836.4780567756652</v>
      </c>
      <c r="L110">
        <f>MAX((D110-J110-K110)*Inputs!B33,0)</f>
        <v>110.77754935128328</v>
      </c>
      <c r="M110">
        <f>MIN(E110*Inputs!B29,E110)</f>
        <v>97.105755353540815</v>
      </c>
      <c r="N110">
        <f>MIN((E110-M110)*Inputs!B30,E110-M110)</f>
        <v>36.067851988458017</v>
      </c>
      <c r="O110">
        <f>MIN(F110*Inputs!B31,F110)</f>
        <v>91.304423289006436</v>
      </c>
      <c r="P110">
        <f>MIN((F110-O110)*Inputs!B34,F110-O110)</f>
        <v>5.8530834767932642</v>
      </c>
      <c r="Q110">
        <f>P110*Inputs!B35</f>
        <v>1.4632708691983161</v>
      </c>
      <c r="R110">
        <f>C110*Inputs!B8/12</f>
        <v>15.253178860784381</v>
      </c>
      <c r="S110">
        <f t="shared" si="15"/>
        <v>155.18311766000051</v>
      </c>
      <c r="T110">
        <f t="shared" si="16"/>
        <v>2954.2062161990766</v>
      </c>
      <c r="U110">
        <f t="shared" si="17"/>
        <v>32697.130282211412</v>
      </c>
      <c r="V110">
        <f t="shared" si="18"/>
        <v>255.04895730511535</v>
      </c>
      <c r="W110">
        <f t="shared" si="19"/>
        <v>699.78053929771204</v>
      </c>
      <c r="X110">
        <f t="shared" si="20"/>
        <v>33651.959778814235</v>
      </c>
      <c r="Y110">
        <f t="shared" si="27"/>
        <v>81601.765040437633</v>
      </c>
      <c r="Z110">
        <f>IF(Inputs!B3&gt;0,(V110+W110)/Inputs!B3,0)</f>
        <v>3.1827649886760914E-6</v>
      </c>
      <c r="AA110">
        <f>IF(OR(Y110/Inputs!B3&gt;=Inputs!B23,Z110&gt;=Inputs!B24),1,0)</f>
        <v>0</v>
      </c>
      <c r="AB110">
        <f t="shared" si="21"/>
        <v>0</v>
      </c>
    </row>
    <row r="111" spans="1:28" x14ac:dyDescent="0.2">
      <c r="A111">
        <v>110</v>
      </c>
      <c r="B111">
        <f t="shared" si="22"/>
        <v>0</v>
      </c>
      <c r="C111">
        <f t="shared" si="23"/>
        <v>33651.959778814235</v>
      </c>
      <c r="D111">
        <f t="shared" si="24"/>
        <v>32697.130282211412</v>
      </c>
      <c r="E111">
        <f t="shared" si="25"/>
        <v>255.04895730511535</v>
      </c>
      <c r="F111">
        <f t="shared" si="26"/>
        <v>699.78053929771204</v>
      </c>
      <c r="G111">
        <f>MAX(Inputs!B7-A111+1,0)</f>
        <v>191</v>
      </c>
      <c r="H111">
        <f>IF(AND(A111&lt;=Inputs!B7,D111&gt;0),-PMT(Inputs!B6/12,G111,D111),0)</f>
        <v>261.6940106213911</v>
      </c>
      <c r="I111">
        <f>IF(AND(A111&lt;=Inputs!B7,D111&gt;0),D111*Inputs!B6/12,0)</f>
        <v>156.6737492689297</v>
      </c>
      <c r="J111">
        <f t="shared" si="14"/>
        <v>105.0202613524614</v>
      </c>
      <c r="K111">
        <f>MAX((D111-J111)*Inputs!B32,0)</f>
        <v>2607.3688016687161</v>
      </c>
      <c r="L111">
        <f>MAX((D111-J111-K111)*Inputs!B33,0)</f>
        <v>101.8297763361462</v>
      </c>
      <c r="M111">
        <f>MIN(E111*Inputs!B29,E111)</f>
        <v>89.267135056790366</v>
      </c>
      <c r="N111">
        <f>MIN((E111-M111)*Inputs!B30,E111-M111)</f>
        <v>33.156364449664999</v>
      </c>
      <c r="O111">
        <f>MIN(F111*Inputs!B31,F111)</f>
        <v>83.973664715725448</v>
      </c>
      <c r="P111">
        <f>MIN((F111-O111)*Inputs!B34,F111-O111)</f>
        <v>5.3831441208234434</v>
      </c>
      <c r="Q111">
        <f>P111*Inputs!B35</f>
        <v>1.3457860302058609</v>
      </c>
      <c r="R111">
        <f>C111*Inputs!B8/12</f>
        <v>14.021649907839263</v>
      </c>
      <c r="S111">
        <f t="shared" si="15"/>
        <v>142.65209936109042</v>
      </c>
      <c r="T111">
        <f t="shared" si="16"/>
        <v>2716.4264211117952</v>
      </c>
      <c r="U111">
        <f t="shared" si="17"/>
        <v>30056.152242626606</v>
      </c>
      <c r="V111">
        <f t="shared" si="18"/>
        <v>234.45523413480618</v>
      </c>
      <c r="W111">
        <f t="shared" si="19"/>
        <v>643.58009491082817</v>
      </c>
      <c r="X111">
        <f t="shared" si="20"/>
        <v>30934.187571672239</v>
      </c>
      <c r="Y111">
        <f t="shared" si="27"/>
        <v>81603.110826467833</v>
      </c>
      <c r="Z111">
        <f>IF(Inputs!B3&gt;0,(V111+W111)/Inputs!B3,0)</f>
        <v>2.9267844301521146E-6</v>
      </c>
      <c r="AA111">
        <f>IF(OR(Y111/Inputs!B3&gt;=Inputs!B23,Z111&gt;=Inputs!B24),1,0)</f>
        <v>0</v>
      </c>
      <c r="AB111">
        <f t="shared" si="21"/>
        <v>0</v>
      </c>
    </row>
    <row r="112" spans="1:28" x14ac:dyDescent="0.2">
      <c r="A112">
        <v>111</v>
      </c>
      <c r="B112">
        <f t="shared" si="22"/>
        <v>0</v>
      </c>
      <c r="C112">
        <f t="shared" si="23"/>
        <v>30934.187571672239</v>
      </c>
      <c r="D112">
        <f t="shared" si="24"/>
        <v>30056.152242626606</v>
      </c>
      <c r="E112">
        <f t="shared" si="25"/>
        <v>234.45523413480618</v>
      </c>
      <c r="F112">
        <f t="shared" si="26"/>
        <v>643.58009491082817</v>
      </c>
      <c r="G112">
        <f>MAX(Inputs!B7-A112+1,0)</f>
        <v>190</v>
      </c>
      <c r="H112">
        <f>IF(AND(A112&lt;=Inputs!B7,D112&gt;0),-PMT(Inputs!B6/12,G112,D112),0)</f>
        <v>241.33187508222522</v>
      </c>
      <c r="I112">
        <f>IF(AND(A112&lt;=Inputs!B7,D112&gt;0),D112*Inputs!B6/12,0)</f>
        <v>144.01906282925248</v>
      </c>
      <c r="J112">
        <f t="shared" si="14"/>
        <v>97.312812252972748</v>
      </c>
      <c r="K112">
        <f>MAX((D112-J112)*Inputs!B32,0)</f>
        <v>2396.7071544298906</v>
      </c>
      <c r="L112">
        <f>MAX((D112-J112-K112)*Inputs!B33,0)</f>
        <v>93.602467484707631</v>
      </c>
      <c r="M112">
        <f>MIN(E112*Inputs!B29,E112)</f>
        <v>82.059331947182159</v>
      </c>
      <c r="N112">
        <f>MIN((E112-M112)*Inputs!B30,E112-M112)</f>
        <v>30.479180437524803</v>
      </c>
      <c r="O112">
        <f>MIN(F112*Inputs!B31,F112)</f>
        <v>77.229611389299379</v>
      </c>
      <c r="P112">
        <f>MIN((F112-O112)*Inputs!B34,F112-O112)</f>
        <v>4.9508155909495803</v>
      </c>
      <c r="Q112">
        <f>P112*Inputs!B35</f>
        <v>1.2377038977373951</v>
      </c>
      <c r="R112">
        <f>C112*Inputs!B8/12</f>
        <v>12.889244821530099</v>
      </c>
      <c r="S112">
        <f t="shared" si="15"/>
        <v>131.12981800772238</v>
      </c>
      <c r="T112">
        <f t="shared" si="16"/>
        <v>2497.7330783760758</v>
      </c>
      <c r="U112">
        <f t="shared" si="17"/>
        <v>27627.818751795512</v>
      </c>
      <c r="V112">
        <f t="shared" si="18"/>
        <v>215.51918923480684</v>
      </c>
      <c r="W112">
        <f t="shared" si="19"/>
        <v>591.87884836810395</v>
      </c>
      <c r="X112">
        <f t="shared" si="20"/>
        <v>28435.216789398426</v>
      </c>
      <c r="Y112">
        <f t="shared" si="27"/>
        <v>81604.348530365576</v>
      </c>
      <c r="Z112">
        <f>IF(Inputs!B3&gt;0,(V112+W112)/Inputs!B3,0)</f>
        <v>2.6913267920097025E-6</v>
      </c>
      <c r="AA112">
        <f>IF(OR(Y112/Inputs!B3&gt;=Inputs!B23,Z112&gt;=Inputs!B24),1,0)</f>
        <v>0</v>
      </c>
      <c r="AB112">
        <f t="shared" si="21"/>
        <v>0</v>
      </c>
    </row>
    <row r="113" spans="1:28" x14ac:dyDescent="0.2">
      <c r="A113">
        <v>112</v>
      </c>
      <c r="B113">
        <f t="shared" si="22"/>
        <v>0</v>
      </c>
      <c r="C113">
        <f t="shared" si="23"/>
        <v>28435.216789398426</v>
      </c>
      <c r="D113">
        <f t="shared" si="24"/>
        <v>27627.818751795512</v>
      </c>
      <c r="E113">
        <f t="shared" si="25"/>
        <v>215.51918923480684</v>
      </c>
      <c r="F113">
        <f t="shared" si="26"/>
        <v>591.87884836810395</v>
      </c>
      <c r="G113">
        <f>MAX(Inputs!B7-A113+1,0)</f>
        <v>189</v>
      </c>
      <c r="H113">
        <f>IF(AND(A113&lt;=Inputs!B7,D113&gt;0),-PMT(Inputs!B6/12,G113,D113),0)</f>
        <v>222.55445907036329</v>
      </c>
      <c r="I113">
        <f>IF(AND(A113&lt;=Inputs!B7,D113&gt;0),D113*Inputs!B6/12,0)</f>
        <v>132.38329818568684</v>
      </c>
      <c r="J113">
        <f t="shared" si="14"/>
        <v>90.171160884676453</v>
      </c>
      <c r="K113">
        <f>MAX((D113-J113)*Inputs!B32,0)</f>
        <v>2203.0118072728669</v>
      </c>
      <c r="L113">
        <f>MAX((D113-J113-K113)*Inputs!B33,0)</f>
        <v>86.037770896434978</v>
      </c>
      <c r="M113">
        <f>MIN(E113*Inputs!B29,E113)</f>
        <v>75.431716232182396</v>
      </c>
      <c r="N113">
        <f>MIN((E113-M113)*Inputs!B30,E113-M113)</f>
        <v>28.017494600524891</v>
      </c>
      <c r="O113">
        <f>MIN(F113*Inputs!B31,F113)</f>
        <v>71.025461804172465</v>
      </c>
      <c r="P113">
        <f>MIN((F113-O113)*Inputs!B34,F113-O113)</f>
        <v>4.5530976697781496</v>
      </c>
      <c r="Q113">
        <f>P113*Inputs!B35</f>
        <v>1.1382744174445374</v>
      </c>
      <c r="R113">
        <f>C113*Inputs!B8/12</f>
        <v>11.848006995582677</v>
      </c>
      <c r="S113">
        <f t="shared" si="15"/>
        <v>120.53529119010416</v>
      </c>
      <c r="T113">
        <f t="shared" si="16"/>
        <v>2296.5977914098771</v>
      </c>
      <c r="U113">
        <f t="shared" si="17"/>
        <v>25395.05519077789</v>
      </c>
      <c r="V113">
        <f t="shared" si="18"/>
        <v>198.10774929853454</v>
      </c>
      <c r="W113">
        <f t="shared" si="19"/>
        <v>544.31778349467822</v>
      </c>
      <c r="X113">
        <f t="shared" si="20"/>
        <v>26137.480723571105</v>
      </c>
      <c r="Y113">
        <f t="shared" si="27"/>
        <v>81605.486804783024</v>
      </c>
      <c r="Z113">
        <f>IF(Inputs!B3&gt;0,(V113+W113)/Inputs!B3,0)</f>
        <v>2.4747517759773762E-6</v>
      </c>
      <c r="AA113">
        <f>IF(OR(Y113/Inputs!B3&gt;=Inputs!B23,Z113&gt;=Inputs!B24),1,0)</f>
        <v>0</v>
      </c>
      <c r="AB113">
        <f t="shared" si="21"/>
        <v>0</v>
      </c>
    </row>
    <row r="114" spans="1:28" x14ac:dyDescent="0.2">
      <c r="A114">
        <v>113</v>
      </c>
      <c r="B114">
        <f t="shared" si="22"/>
        <v>0</v>
      </c>
      <c r="C114">
        <f t="shared" si="23"/>
        <v>26137.480723571105</v>
      </c>
      <c r="D114">
        <f t="shared" si="24"/>
        <v>25395.05519077789</v>
      </c>
      <c r="E114">
        <f t="shared" si="25"/>
        <v>198.10774929853454</v>
      </c>
      <c r="F114">
        <f t="shared" si="26"/>
        <v>544.31778349467822</v>
      </c>
      <c r="G114">
        <f>MAX(Inputs!B7-A114+1,0)</f>
        <v>188</v>
      </c>
      <c r="H114">
        <f>IF(AND(A114&lt;=Inputs!B7,D114&gt;0),-PMT(Inputs!B6/12,G114,D114),0)</f>
        <v>205.23840144250525</v>
      </c>
      <c r="I114">
        <f>IF(AND(A114&lt;=Inputs!B7,D114&gt;0),D114*Inputs!B6/12,0)</f>
        <v>121.68463945581072</v>
      </c>
      <c r="J114">
        <f t="shared" si="14"/>
        <v>83.553761986694525</v>
      </c>
      <c r="K114">
        <f>MAX((D114-J114)*Inputs!B32,0)</f>
        <v>2024.9201143032956</v>
      </c>
      <c r="L114">
        <f>MAX((D114-J114-K114)*Inputs!B33,0)</f>
        <v>79.082468964920494</v>
      </c>
      <c r="M114">
        <f>MIN(E114*Inputs!B29,E114)</f>
        <v>69.337712254487087</v>
      </c>
      <c r="N114">
        <f>MIN((E114-M114)*Inputs!B30,E114-M114)</f>
        <v>25.754007408809493</v>
      </c>
      <c r="O114">
        <f>MIN(F114*Inputs!B31,F114)</f>
        <v>65.318134019361381</v>
      </c>
      <c r="P114">
        <f>MIN((F114-O114)*Inputs!B34,F114-O114)</f>
        <v>4.1872285831493192</v>
      </c>
      <c r="Q114">
        <f>P114*Inputs!B35</f>
        <v>1.0468071457873298</v>
      </c>
      <c r="R114">
        <f>C114*Inputs!B8/12</f>
        <v>10.890616968154626</v>
      </c>
      <c r="S114">
        <f t="shared" si="15"/>
        <v>110.79402248765609</v>
      </c>
      <c r="T114">
        <f t="shared" si="16"/>
        <v>2111.6142977273521</v>
      </c>
      <c r="U114">
        <f t="shared" si="17"/>
        <v>23342.15469179683</v>
      </c>
      <c r="V114">
        <f t="shared" si="18"/>
        <v>182.09849860015845</v>
      </c>
      <c r="W114">
        <f t="shared" si="19"/>
        <v>500.56642830097707</v>
      </c>
      <c r="X114">
        <f t="shared" si="20"/>
        <v>24024.819618697962</v>
      </c>
      <c r="Y114">
        <f t="shared" si="27"/>
        <v>81606.533611928811</v>
      </c>
      <c r="Z114">
        <f>IF(Inputs!B3&gt;0,(V114+W114)/Inputs!B3,0)</f>
        <v>2.2755497563371184E-6</v>
      </c>
      <c r="AA114">
        <f>IF(OR(Y114/Inputs!B3&gt;=Inputs!B23,Z114&gt;=Inputs!B24),1,0)</f>
        <v>0</v>
      </c>
      <c r="AB114">
        <f t="shared" si="21"/>
        <v>0</v>
      </c>
    </row>
    <row r="115" spans="1:28" x14ac:dyDescent="0.2">
      <c r="A115">
        <v>114</v>
      </c>
      <c r="B115">
        <f t="shared" si="22"/>
        <v>0</v>
      </c>
      <c r="C115">
        <f t="shared" si="23"/>
        <v>24024.819618697962</v>
      </c>
      <c r="D115">
        <f t="shared" si="24"/>
        <v>23342.15469179683</v>
      </c>
      <c r="E115">
        <f t="shared" si="25"/>
        <v>182.09849860015845</v>
      </c>
      <c r="F115">
        <f t="shared" si="26"/>
        <v>500.56642830097707</v>
      </c>
      <c r="G115">
        <f>MAX(Inputs!B7-A115+1,0)</f>
        <v>187</v>
      </c>
      <c r="H115">
        <f>IF(AND(A115&lt;=Inputs!B7,D115&gt;0),-PMT(Inputs!B6/12,G115,D115),0)</f>
        <v>189.26994625924269</v>
      </c>
      <c r="I115">
        <f>IF(AND(A115&lt;=Inputs!B7,D115&gt;0),D115*Inputs!B6/12,0)</f>
        <v>111.84782456485982</v>
      </c>
      <c r="J115">
        <f t="shared" si="14"/>
        <v>77.422121694382867</v>
      </c>
      <c r="K115">
        <f>MAX((D115-J115)*Inputs!B32,0)</f>
        <v>1861.1786056081958</v>
      </c>
      <c r="L115">
        <f>MAX((D115-J115-K115)*Inputs!B33,0)</f>
        <v>72.687607909325308</v>
      </c>
      <c r="M115">
        <f>MIN(E115*Inputs!B29,E115)</f>
        <v>63.734474510055456</v>
      </c>
      <c r="N115">
        <f>MIN((E115-M115)*Inputs!B30,E115-M115)</f>
        <v>23.672804818020598</v>
      </c>
      <c r="O115">
        <f>MIN(F115*Inputs!B31,F115)</f>
        <v>60.067971396117244</v>
      </c>
      <c r="P115">
        <f>MIN((F115-O115)*Inputs!B34,F115-O115)</f>
        <v>3.8506661364065242</v>
      </c>
      <c r="Q115">
        <f>P115*Inputs!B35</f>
        <v>0.96266653410163106</v>
      </c>
      <c r="R115">
        <f>C115*Inputs!B8/12</f>
        <v>10.010341507790818</v>
      </c>
      <c r="S115">
        <f t="shared" si="15"/>
        <v>101.83748305706901</v>
      </c>
      <c r="T115">
        <f t="shared" si="16"/>
        <v>1941.4887269048836</v>
      </c>
      <c r="U115">
        <f t="shared" si="17"/>
        <v>21454.668802491102</v>
      </c>
      <c r="V115">
        <f t="shared" si="18"/>
        <v>167.3788271814077</v>
      </c>
      <c r="W115">
        <f t="shared" si="19"/>
        <v>460.32059558647393</v>
      </c>
      <c r="X115">
        <f t="shared" si="20"/>
        <v>22082.368225258982</v>
      </c>
      <c r="Y115">
        <f t="shared" si="27"/>
        <v>81607.496278462917</v>
      </c>
      <c r="Z115">
        <f>IF(Inputs!B3&gt;0,(V115+W115)/Inputs!B3,0)</f>
        <v>2.0923314092262719E-6</v>
      </c>
      <c r="AA115">
        <f>IF(OR(Y115/Inputs!B3&gt;=Inputs!B23,Z115&gt;=Inputs!B24),1,0)</f>
        <v>0</v>
      </c>
      <c r="AB115">
        <f t="shared" si="21"/>
        <v>0</v>
      </c>
    </row>
    <row r="116" spans="1:28" x14ac:dyDescent="0.2">
      <c r="A116">
        <v>115</v>
      </c>
      <c r="B116">
        <f t="shared" si="22"/>
        <v>0</v>
      </c>
      <c r="C116">
        <f t="shared" si="23"/>
        <v>22082.368225258982</v>
      </c>
      <c r="D116">
        <f t="shared" si="24"/>
        <v>21454.668802491102</v>
      </c>
      <c r="E116">
        <f t="shared" si="25"/>
        <v>167.3788271814077</v>
      </c>
      <c r="F116">
        <f t="shared" si="26"/>
        <v>460.32059558647393</v>
      </c>
      <c r="G116">
        <f>MAX(Inputs!B7-A116+1,0)</f>
        <v>186</v>
      </c>
      <c r="H116">
        <f>IF(AND(A116&lt;=Inputs!B7,D116&gt;0),-PMT(Inputs!B6/12,G116,D116),0)</f>
        <v>174.54419469561347</v>
      </c>
      <c r="I116">
        <f>IF(AND(A116&lt;=Inputs!B7,D116&gt;0),D116*Inputs!B6/12,0)</f>
        <v>102.80362134526986</v>
      </c>
      <c r="J116">
        <f t="shared" si="14"/>
        <v>71.74057335034361</v>
      </c>
      <c r="K116">
        <f>MAX((D116-J116)*Inputs!B32,0)</f>
        <v>1710.6342583312608</v>
      </c>
      <c r="L116">
        <f>MAX((D116-J116-K116)*Inputs!B33,0)</f>
        <v>66.808156869614194</v>
      </c>
      <c r="M116">
        <f>MIN(E116*Inputs!B29,E116)</f>
        <v>58.582589513492692</v>
      </c>
      <c r="N116">
        <f>MIN((E116-M116)*Inputs!B30,E116-M116)</f>
        <v>21.759247533583004</v>
      </c>
      <c r="O116">
        <f>MIN(F116*Inputs!B31,F116)</f>
        <v>55.238471470376872</v>
      </c>
      <c r="P116">
        <f>MIN((F116-O116)*Inputs!B34,F116-O116)</f>
        <v>3.5410703337250911</v>
      </c>
      <c r="Q116">
        <f>P116*Inputs!B35</f>
        <v>0.88526758343127276</v>
      </c>
      <c r="R116">
        <f>C116*Inputs!B8/12</f>
        <v>9.200986760524577</v>
      </c>
      <c r="S116">
        <f t="shared" si="15"/>
        <v>93.602634584745289</v>
      </c>
      <c r="T116">
        <f t="shared" si="16"/>
        <v>1785.0306344318983</v>
      </c>
      <c r="U116">
        <f t="shared" si="17"/>
        <v>19719.30687492375</v>
      </c>
      <c r="V116">
        <f t="shared" si="18"/>
        <v>153.84514700394618</v>
      </c>
      <c r="W116">
        <f t="shared" si="19"/>
        <v>423.30030131595498</v>
      </c>
      <c r="X116">
        <f t="shared" si="20"/>
        <v>20296.452323243651</v>
      </c>
      <c r="Y116">
        <f t="shared" si="27"/>
        <v>81608.381546046352</v>
      </c>
      <c r="Z116">
        <f>IF(Inputs!B3&gt;0,(V116+W116)/Inputs!B3,0)</f>
        <v>1.9238181610663369E-6</v>
      </c>
      <c r="AA116">
        <f>IF(OR(Y116/Inputs!B3&gt;=Inputs!B23,Z116&gt;=Inputs!B24),1,0)</f>
        <v>0</v>
      </c>
      <c r="AB116">
        <f t="shared" si="21"/>
        <v>0</v>
      </c>
    </row>
    <row r="117" spans="1:28" x14ac:dyDescent="0.2">
      <c r="A117">
        <v>116</v>
      </c>
      <c r="B117">
        <f t="shared" si="22"/>
        <v>0</v>
      </c>
      <c r="C117">
        <f t="shared" si="23"/>
        <v>20296.452323243651</v>
      </c>
      <c r="D117">
        <f t="shared" si="24"/>
        <v>19719.30687492375</v>
      </c>
      <c r="E117">
        <f t="shared" si="25"/>
        <v>153.84514700394618</v>
      </c>
      <c r="F117">
        <f t="shared" si="26"/>
        <v>423.30030131595498</v>
      </c>
      <c r="G117">
        <f>MAX(Inputs!B7-A117+1,0)</f>
        <v>185</v>
      </c>
      <c r="H117">
        <f>IF(AND(A117&lt;=Inputs!B7,D117&gt;0),-PMT(Inputs!B6/12,G117,D117),0)</f>
        <v>160.96441523610488</v>
      </c>
      <c r="I117">
        <f>IF(AND(A117&lt;=Inputs!B7,D117&gt;0),D117*Inputs!B6/12,0)</f>
        <v>94.488345442342975</v>
      </c>
      <c r="J117">
        <f t="shared" si="14"/>
        <v>66.476069793761908</v>
      </c>
      <c r="K117">
        <f>MAX((D117-J117)*Inputs!B32,0)</f>
        <v>1572.2264644103989</v>
      </c>
      <c r="L117">
        <f>MAX((D117-J117-K117)*Inputs!B33,0)</f>
        <v>61.402694209663458</v>
      </c>
      <c r="M117">
        <f>MIN(E117*Inputs!B29,E117)</f>
        <v>53.845801451381163</v>
      </c>
      <c r="N117">
        <f>MIN((E117-M117)*Inputs!B30,E117-M117)</f>
        <v>19.999869110513004</v>
      </c>
      <c r="O117">
        <f>MIN(F117*Inputs!B31,F117)</f>
        <v>50.796036157914592</v>
      </c>
      <c r="P117">
        <f>MIN((F117-O117)*Inputs!B34,F117-O117)</f>
        <v>3.2562873649767781</v>
      </c>
      <c r="Q117">
        <f>P117*Inputs!B35</f>
        <v>0.81407184124419452</v>
      </c>
      <c r="R117">
        <f>C117*Inputs!B8/12</f>
        <v>8.4568551346848544</v>
      </c>
      <c r="S117">
        <f t="shared" si="15"/>
        <v>86.031490307658117</v>
      </c>
      <c r="T117">
        <f t="shared" si="16"/>
        <v>1641.1447497278934</v>
      </c>
      <c r="U117">
        <f t="shared" si="17"/>
        <v>18123.843484119217</v>
      </c>
      <c r="V117">
        <f t="shared" si="18"/>
        <v>141.40217065171547</v>
      </c>
      <c r="W117">
        <f t="shared" si="19"/>
        <v>389.2478469035766</v>
      </c>
      <c r="X117">
        <f t="shared" si="20"/>
        <v>18654.493501674511</v>
      </c>
      <c r="Y117">
        <f t="shared" si="27"/>
        <v>81609.195617887599</v>
      </c>
      <c r="Z117">
        <f>IF(Inputs!B3&gt;0,(V117+W117)/Inputs!B3,0)</f>
        <v>1.7688333918509736E-6</v>
      </c>
      <c r="AA117">
        <f>IF(OR(Y117/Inputs!B3&gt;=Inputs!B23,Z117&gt;=Inputs!B24),1,0)</f>
        <v>0</v>
      </c>
      <c r="AB117">
        <f t="shared" si="21"/>
        <v>0</v>
      </c>
    </row>
    <row r="118" spans="1:28" x14ac:dyDescent="0.2">
      <c r="A118">
        <v>117</v>
      </c>
      <c r="B118">
        <f t="shared" si="22"/>
        <v>0</v>
      </c>
      <c r="C118">
        <f t="shared" si="23"/>
        <v>18654.493501674511</v>
      </c>
      <c r="D118">
        <f t="shared" si="24"/>
        <v>18123.843484119217</v>
      </c>
      <c r="E118">
        <f t="shared" si="25"/>
        <v>141.40217065171547</v>
      </c>
      <c r="F118">
        <f t="shared" si="26"/>
        <v>389.2478469035766</v>
      </c>
      <c r="G118">
        <f>MAX(Inputs!B7-A118+1,0)</f>
        <v>184</v>
      </c>
      <c r="H118">
        <f>IF(AND(A118&lt;=Inputs!B7,D118&gt;0),-PMT(Inputs!B6/12,G118,D118),0)</f>
        <v>148.44140761087891</v>
      </c>
      <c r="I118">
        <f>IF(AND(A118&lt;=Inputs!B7,D118&gt;0),D118*Inputs!B6/12,0)</f>
        <v>86.843416694737925</v>
      </c>
      <c r="J118">
        <f t="shared" si="14"/>
        <v>61.597990916140986</v>
      </c>
      <c r="K118">
        <f>MAX((D118-J118)*Inputs!B32,0)</f>
        <v>1444.9796394562463</v>
      </c>
      <c r="L118">
        <f>MAX((D118-J118-K118)*Inputs!B33,0)</f>
        <v>56.433118859880445</v>
      </c>
      <c r="M118">
        <f>MIN(E118*Inputs!B29,E118)</f>
        <v>49.490759728100407</v>
      </c>
      <c r="N118">
        <f>MIN((E118-M118)*Inputs!B30,E118-M118)</f>
        <v>18.38228218472301</v>
      </c>
      <c r="O118">
        <f>MIN(F118*Inputs!B31,F118)</f>
        <v>46.709741628429192</v>
      </c>
      <c r="P118">
        <f>MIN((F118-O118)*Inputs!B34,F118-O118)</f>
        <v>2.9943348534742875</v>
      </c>
      <c r="Q118">
        <f>P118*Inputs!B35</f>
        <v>0.74858371336857188</v>
      </c>
      <c r="R118">
        <f>C118*Inputs!B8/12</f>
        <v>7.7727056256977134</v>
      </c>
      <c r="S118">
        <f t="shared" si="15"/>
        <v>79.070711069040215</v>
      </c>
      <c r="T118">
        <f t="shared" si="16"/>
        <v>1508.8233815124931</v>
      </c>
      <c r="U118">
        <f t="shared" si="17"/>
        <v>16657.033236243482</v>
      </c>
      <c r="V118">
        <f t="shared" si="18"/>
        <v>129.96224759877248</v>
      </c>
      <c r="W118">
        <f t="shared" si="19"/>
        <v>357.92605260639613</v>
      </c>
      <c r="X118">
        <f t="shared" si="20"/>
        <v>17144.921536448648</v>
      </c>
      <c r="Y118">
        <f t="shared" si="27"/>
        <v>81609.944201600971</v>
      </c>
      <c r="Z118">
        <f>IF(Inputs!B3&gt;0,(V118+W118)/Inputs!B3,0)</f>
        <v>1.6262943340172286E-6</v>
      </c>
      <c r="AA118">
        <f>IF(OR(Y118/Inputs!B3&gt;=Inputs!B23,Z118&gt;=Inputs!B24),1,0)</f>
        <v>0</v>
      </c>
      <c r="AB118">
        <f t="shared" si="21"/>
        <v>0</v>
      </c>
    </row>
    <row r="119" spans="1:28" x14ac:dyDescent="0.2">
      <c r="A119">
        <v>118</v>
      </c>
      <c r="B119">
        <f t="shared" si="22"/>
        <v>0</v>
      </c>
      <c r="C119">
        <f t="shared" si="23"/>
        <v>17144.921536448648</v>
      </c>
      <c r="D119">
        <f t="shared" si="24"/>
        <v>16657.033236243482</v>
      </c>
      <c r="E119">
        <f t="shared" si="25"/>
        <v>129.96224759877248</v>
      </c>
      <c r="F119">
        <f t="shared" si="26"/>
        <v>357.92605260639613</v>
      </c>
      <c r="G119">
        <f>MAX(Inputs!B7-A119+1,0)</f>
        <v>183</v>
      </c>
      <c r="H119">
        <f>IF(AND(A119&lt;=Inputs!B7,D119&gt;0),-PMT(Inputs!B6/12,G119,D119),0)</f>
        <v>136.89291628439148</v>
      </c>
      <c r="I119">
        <f>IF(AND(A119&lt;=Inputs!B7,D119&gt;0),D119*Inputs!B6/12,0)</f>
        <v>79.814950923666686</v>
      </c>
      <c r="J119">
        <f t="shared" si="14"/>
        <v>57.077965360724789</v>
      </c>
      <c r="K119">
        <f>MAX((D119-J119)*Inputs!B32,0)</f>
        <v>1327.9964216706207</v>
      </c>
      <c r="L119">
        <f>MAX((D119-J119-K119)*Inputs!B33,0)</f>
        <v>51.864384703604202</v>
      </c>
      <c r="M119">
        <f>MIN(E119*Inputs!B29,E119)</f>
        <v>45.486786659570363</v>
      </c>
      <c r="N119">
        <f>MIN((E119-M119)*Inputs!B30,E119-M119)</f>
        <v>16.895092187840426</v>
      </c>
      <c r="O119">
        <f>MIN(F119*Inputs!B31,F119)</f>
        <v>42.951126312767535</v>
      </c>
      <c r="P119">
        <f>MIN((F119-O119)*Inputs!B34,F119-O119)</f>
        <v>2.7533882661431761</v>
      </c>
      <c r="Q119">
        <f>P119*Inputs!B35</f>
        <v>0.68834706653579403</v>
      </c>
      <c r="R119">
        <f>C119*Inputs!B8/12</f>
        <v>7.1437173068536035</v>
      </c>
      <c r="S119">
        <f t="shared" si="15"/>
        <v>72.671233616813083</v>
      </c>
      <c r="T119">
        <f t="shared" si="16"/>
        <v>1387.1394282309532</v>
      </c>
      <c r="U119">
        <f t="shared" si="17"/>
        <v>15308.532377480871</v>
      </c>
      <c r="V119">
        <f t="shared" si="18"/>
        <v>119.44475345496591</v>
      </c>
      <c r="W119">
        <f t="shared" si="19"/>
        <v>329.11663021532581</v>
      </c>
      <c r="X119">
        <f t="shared" si="20"/>
        <v>15757.093761151162</v>
      </c>
      <c r="Y119">
        <f t="shared" si="27"/>
        <v>81610.632548667505</v>
      </c>
      <c r="Z119">
        <f>IF(Inputs!B3&gt;0,(V119+W119)/Inputs!B3,0)</f>
        <v>1.4952046122343057E-6</v>
      </c>
      <c r="AA119">
        <f>IF(OR(Y119/Inputs!B3&gt;=Inputs!B23,Z119&gt;=Inputs!B24),1,0)</f>
        <v>0</v>
      </c>
      <c r="AB119">
        <f t="shared" si="21"/>
        <v>0</v>
      </c>
    </row>
    <row r="120" spans="1:28" x14ac:dyDescent="0.2">
      <c r="A120">
        <v>119</v>
      </c>
      <c r="B120">
        <f t="shared" si="22"/>
        <v>0</v>
      </c>
      <c r="C120">
        <f t="shared" si="23"/>
        <v>15757.093761151162</v>
      </c>
      <c r="D120">
        <f t="shared" si="24"/>
        <v>15308.532377480871</v>
      </c>
      <c r="E120">
        <f t="shared" si="25"/>
        <v>119.44475345496591</v>
      </c>
      <c r="F120">
        <f t="shared" si="26"/>
        <v>329.11663021532581</v>
      </c>
      <c r="G120">
        <f>MAX(Inputs!B7-A120+1,0)</f>
        <v>182</v>
      </c>
      <c r="H120">
        <f>IF(AND(A120&lt;=Inputs!B7,D120&gt;0),-PMT(Inputs!B6/12,G120,D120),0)</f>
        <v>126.24308963429777</v>
      </c>
      <c r="I120">
        <f>IF(AND(A120&lt;=Inputs!B7,D120&gt;0),D120*Inputs!B6/12,0)</f>
        <v>73.353384308762514</v>
      </c>
      <c r="J120">
        <f t="shared" si="14"/>
        <v>52.88970532553526</v>
      </c>
      <c r="K120">
        <f>MAX((D120-J120)*Inputs!B32,0)</f>
        <v>1220.451413772427</v>
      </c>
      <c r="L120">
        <f>MAX((D120-J120-K120)*Inputs!B33,0)</f>
        <v>47.66425617045104</v>
      </c>
      <c r="M120">
        <f>MIN(E120*Inputs!B29,E120)</f>
        <v>41.805663709238061</v>
      </c>
      <c r="N120">
        <f>MIN((E120-M120)*Inputs!B30,E120-M120)</f>
        <v>15.52781794914557</v>
      </c>
      <c r="O120">
        <f>MIN(F120*Inputs!B31,F120)</f>
        <v>39.493995625839098</v>
      </c>
      <c r="P120">
        <f>MIN((F120-O120)*Inputs!B34,F120-O120)</f>
        <v>2.5317683952555825</v>
      </c>
      <c r="Q120">
        <f>P120*Inputs!B35</f>
        <v>0.63294209881389563</v>
      </c>
      <c r="R120">
        <f>C120*Inputs!B8/12</f>
        <v>6.5654557338129846</v>
      </c>
      <c r="S120">
        <f t="shared" si="15"/>
        <v>66.787928574949532</v>
      </c>
      <c r="T120">
        <f t="shared" si="16"/>
        <v>1275.239945394404</v>
      </c>
      <c r="U120">
        <f t="shared" si="17"/>
        <v>14068.826661547535</v>
      </c>
      <c r="V120">
        <f t="shared" si="18"/>
        <v>109.77552796703331</v>
      </c>
      <c r="W120">
        <f t="shared" si="19"/>
        <v>302.6186841433767</v>
      </c>
      <c r="X120">
        <f t="shared" si="20"/>
        <v>14481.220873657945</v>
      </c>
      <c r="Y120">
        <f t="shared" si="27"/>
        <v>81611.265490766324</v>
      </c>
      <c r="Z120">
        <f>IF(Inputs!B3&gt;0,(V120+W120)/Inputs!B3,0)</f>
        <v>1.3746473737013667E-6</v>
      </c>
      <c r="AA120">
        <f>IF(OR(Y120/Inputs!B3&gt;=Inputs!B23,Z120&gt;=Inputs!B24),1,0)</f>
        <v>0</v>
      </c>
      <c r="AB120">
        <f t="shared" si="21"/>
        <v>0</v>
      </c>
    </row>
    <row r="121" spans="1:28" x14ac:dyDescent="0.2">
      <c r="A121">
        <v>120</v>
      </c>
      <c r="B121">
        <f t="shared" si="22"/>
        <v>0</v>
      </c>
      <c r="C121">
        <f t="shared" si="23"/>
        <v>14481.220873657945</v>
      </c>
      <c r="D121">
        <f t="shared" si="24"/>
        <v>14068.826661547535</v>
      </c>
      <c r="E121">
        <f t="shared" si="25"/>
        <v>109.77552796703331</v>
      </c>
      <c r="F121">
        <f t="shared" si="26"/>
        <v>302.6186841433767</v>
      </c>
      <c r="G121">
        <f>MAX(Inputs!B7-A121+1,0)</f>
        <v>181</v>
      </c>
      <c r="H121">
        <f>IF(AND(A121&lt;=Inputs!B7,D121&gt;0),-PMT(Inputs!B6/12,G121,D121),0)</f>
        <v>116.42198125975216</v>
      </c>
      <c r="I121">
        <f>IF(AND(A121&lt;=Inputs!B7,D121&gt;0),D121*Inputs!B6/12,0)</f>
        <v>67.413127753248617</v>
      </c>
      <c r="J121">
        <f t="shared" si="14"/>
        <v>49.008853506503542</v>
      </c>
      <c r="K121">
        <f>MAX((D121-J121)*Inputs!B32,0)</f>
        <v>1121.5854246432825</v>
      </c>
      <c r="L121">
        <f>MAX((D121-J121-K121)*Inputs!B33,0)</f>
        <v>43.803083346019974</v>
      </c>
      <c r="M121">
        <f>MIN(E121*Inputs!B29,E121)</f>
        <v>38.42143478846166</v>
      </c>
      <c r="N121">
        <f>MIN((E121-M121)*Inputs!B30,E121-M121)</f>
        <v>14.270818635714329</v>
      </c>
      <c r="O121">
        <f>MIN(F121*Inputs!B31,F121)</f>
        <v>36.314242097205202</v>
      </c>
      <c r="P121">
        <f>MIN((F121-O121)*Inputs!B34,F121-O121)</f>
        <v>2.3279298278752112</v>
      </c>
      <c r="Q121">
        <f>P121*Inputs!B35</f>
        <v>0.5819824569688028</v>
      </c>
      <c r="R121">
        <f>C121*Inputs!B8/12</f>
        <v>6.0338420306908107</v>
      </c>
      <c r="S121">
        <f t="shared" si="15"/>
        <v>61.379285722557803</v>
      </c>
      <c r="T121">
        <f t="shared" si="16"/>
        <v>1172.3402255206927</v>
      </c>
      <c r="U121">
        <f t="shared" si="17"/>
        <v>12929.164976937394</v>
      </c>
      <c r="V121">
        <f t="shared" si="18"/>
        <v>100.88635788887728</v>
      </c>
      <c r="W121">
        <f t="shared" si="19"/>
        <v>278.24733085401061</v>
      </c>
      <c r="X121">
        <f t="shared" si="20"/>
        <v>13308.298665680282</v>
      </c>
      <c r="Y121">
        <f t="shared" si="27"/>
        <v>81611.847473223286</v>
      </c>
      <c r="Z121">
        <f>IF(Inputs!B3&gt;0,(V121+W121)/Inputs!B3,0)</f>
        <v>1.263778962476293E-6</v>
      </c>
      <c r="AA121">
        <f>IF(OR(Y121/Inputs!B3&gt;=Inputs!B23,Z121&gt;=Inputs!B24),1,0)</f>
        <v>0</v>
      </c>
      <c r="AB121">
        <f t="shared" si="21"/>
        <v>0</v>
      </c>
    </row>
    <row r="122" spans="1:28" x14ac:dyDescent="0.2">
      <c r="A122">
        <v>121</v>
      </c>
      <c r="B122">
        <f t="shared" si="22"/>
        <v>0</v>
      </c>
      <c r="C122">
        <f t="shared" si="23"/>
        <v>13308.298665680282</v>
      </c>
      <c r="D122">
        <f t="shared" si="24"/>
        <v>12929.164976937394</v>
      </c>
      <c r="E122">
        <f t="shared" si="25"/>
        <v>100.88635788887728</v>
      </c>
      <c r="F122">
        <f t="shared" si="26"/>
        <v>278.24733085401061</v>
      </c>
      <c r="G122">
        <f>MAX(Inputs!B7-A122+1,0)</f>
        <v>180</v>
      </c>
      <c r="H122">
        <f>IF(AND(A122&lt;=Inputs!B7,D122&gt;0),-PMT(Inputs!B6/12,G122,D122),0)</f>
        <v>107.36509013590199</v>
      </c>
      <c r="I122">
        <f>IF(AND(A122&lt;=Inputs!B7,D122&gt;0),D122*Inputs!B6/12,0)</f>
        <v>61.952248847825018</v>
      </c>
      <c r="J122">
        <f t="shared" si="14"/>
        <v>45.412841288076976</v>
      </c>
      <c r="K122">
        <f>MAX((D122-J122)*Inputs!B32,0)</f>
        <v>1030.7001708519454</v>
      </c>
      <c r="L122">
        <f>MAX((D122-J122-K122)*Inputs!B33,0)</f>
        <v>40.253595041986173</v>
      </c>
      <c r="M122">
        <f>MIN(E122*Inputs!B29,E122)</f>
        <v>35.31022526110705</v>
      </c>
      <c r="N122">
        <f>MIN((E122-M122)*Inputs!B30,E122-M122)</f>
        <v>13.115226525554048</v>
      </c>
      <c r="O122">
        <f>MIN(F122*Inputs!B31,F122)</f>
        <v>33.389679702481274</v>
      </c>
      <c r="P122">
        <f>MIN((F122-O122)*Inputs!B34,F122-O122)</f>
        <v>2.1404503256475174</v>
      </c>
      <c r="Q122">
        <f>P122*Inputs!B35</f>
        <v>0.53511258141187934</v>
      </c>
      <c r="R122">
        <f>C122*Inputs!B8/12</f>
        <v>5.5451244440334513</v>
      </c>
      <c r="S122">
        <f t="shared" si="15"/>
        <v>56.40712440379157</v>
      </c>
      <c r="T122">
        <f t="shared" si="16"/>
        <v>1077.718349884258</v>
      </c>
      <c r="U122">
        <f t="shared" si="17"/>
        <v>11881.498274718975</v>
      </c>
      <c r="V122">
        <f t="shared" si="18"/>
        <v>92.714501144202359</v>
      </c>
      <c r="W122">
        <f t="shared" si="19"/>
        <v>255.83242735143588</v>
      </c>
      <c r="X122">
        <f t="shared" si="20"/>
        <v>12230.045203214613</v>
      </c>
      <c r="Y122">
        <f t="shared" si="27"/>
        <v>81612.382585804691</v>
      </c>
      <c r="Z122">
        <f>IF(Inputs!B3&gt;0,(V122+W122)/Inputs!B3,0)</f>
        <v>1.1618230949854607E-6</v>
      </c>
      <c r="AA122">
        <f>IF(OR(Y122/Inputs!B3&gt;=Inputs!B23,Z122&gt;=Inputs!B24),1,0)</f>
        <v>0</v>
      </c>
      <c r="AB122">
        <f t="shared" si="21"/>
        <v>0</v>
      </c>
    </row>
    <row r="123" spans="1:28" x14ac:dyDescent="0.2">
      <c r="A123">
        <v>122</v>
      </c>
      <c r="B123">
        <f t="shared" si="22"/>
        <v>0</v>
      </c>
      <c r="C123">
        <f t="shared" si="23"/>
        <v>12230.045203214613</v>
      </c>
      <c r="D123">
        <f t="shared" si="24"/>
        <v>11881.498274718975</v>
      </c>
      <c r="E123">
        <f t="shared" si="25"/>
        <v>92.714501144202359</v>
      </c>
      <c r="F123">
        <f t="shared" si="26"/>
        <v>255.83242735143588</v>
      </c>
      <c r="G123">
        <f>MAX(Inputs!B7-A123+1,0)</f>
        <v>179</v>
      </c>
      <c r="H123">
        <f>IF(AND(A123&lt;=Inputs!B7,D123&gt;0),-PMT(Inputs!B6/12,G123,D123),0)</f>
        <v>99.012936587395473</v>
      </c>
      <c r="I123">
        <f>IF(AND(A123&lt;=Inputs!B7,D123&gt;0),D123*Inputs!B6/12,0)</f>
        <v>56.932179233028421</v>
      </c>
      <c r="J123">
        <f t="shared" si="14"/>
        <v>42.080757354367051</v>
      </c>
      <c r="K123">
        <f>MAX((D123-J123)*Inputs!B32,0)</f>
        <v>947.15340138916861</v>
      </c>
      <c r="L123">
        <f>MAX((D123-J123-K123)*Inputs!B33,0)</f>
        <v>36.990708394513327</v>
      </c>
      <c r="M123">
        <f>MIN(E123*Inputs!B29,E123)</f>
        <v>32.450075400470823</v>
      </c>
      <c r="N123">
        <f>MIN((E123-M123)*Inputs!B30,E123-M123)</f>
        <v>12.052885148746308</v>
      </c>
      <c r="O123">
        <f>MIN(F123*Inputs!B31,F123)</f>
        <v>30.699891282172306</v>
      </c>
      <c r="P123">
        <f>MIN((F123-O123)*Inputs!B34,F123-O123)</f>
        <v>1.9680210435617294</v>
      </c>
      <c r="Q123">
        <f>P123*Inputs!B35</f>
        <v>0.49200526089043234</v>
      </c>
      <c r="R123">
        <f>C123*Inputs!B8/12</f>
        <v>5.0958521680060889</v>
      </c>
      <c r="S123">
        <f t="shared" si="15"/>
        <v>51.836327065022331</v>
      </c>
      <c r="T123">
        <f t="shared" si="16"/>
        <v>990.71017452620697</v>
      </c>
      <c r="U123">
        <f t="shared" si="17"/>
        <v>10918.42337426357</v>
      </c>
      <c r="V123">
        <f t="shared" si="18"/>
        <v>85.202248989498557</v>
      </c>
      <c r="W123">
        <f t="shared" si="19"/>
        <v>235.21740017444816</v>
      </c>
      <c r="X123">
        <f t="shared" si="20"/>
        <v>11238.843023427517</v>
      </c>
      <c r="Y123">
        <f t="shared" si="27"/>
        <v>81612.874591065585</v>
      </c>
      <c r="Z123">
        <f>IF(Inputs!B3&gt;0,(V123+W123)/Inputs!B3,0)</f>
        <v>1.0680654972131557E-6</v>
      </c>
      <c r="AA123">
        <f>IF(OR(Y123/Inputs!B3&gt;=Inputs!B23,Z123&gt;=Inputs!B24),1,0)</f>
        <v>0</v>
      </c>
      <c r="AB123">
        <f t="shared" si="21"/>
        <v>0</v>
      </c>
    </row>
    <row r="124" spans="1:28" x14ac:dyDescent="0.2">
      <c r="A124">
        <v>123</v>
      </c>
      <c r="B124">
        <f t="shared" si="22"/>
        <v>0</v>
      </c>
      <c r="C124">
        <f t="shared" si="23"/>
        <v>11238.843023427517</v>
      </c>
      <c r="D124">
        <f t="shared" si="24"/>
        <v>10918.42337426357</v>
      </c>
      <c r="E124">
        <f t="shared" si="25"/>
        <v>85.202248989498557</v>
      </c>
      <c r="F124">
        <f t="shared" si="26"/>
        <v>235.21740017444816</v>
      </c>
      <c r="G124">
        <f>MAX(Inputs!B7-A124+1,0)</f>
        <v>178</v>
      </c>
      <c r="H124">
        <f>IF(AND(A124&lt;=Inputs!B7,D124&gt;0),-PMT(Inputs!B6/12,G124,D124),0)</f>
        <v>91.310671289759071</v>
      </c>
      <c r="I124">
        <f>IF(AND(A124&lt;=Inputs!B7,D124&gt;0),D124*Inputs!B6/12,0)</f>
        <v>52.317445335012941</v>
      </c>
      <c r="J124">
        <f t="shared" si="14"/>
        <v>38.99322595474613</v>
      </c>
      <c r="K124">
        <f>MAX((D124-J124)*Inputs!B32,0)</f>
        <v>870.35441186470598</v>
      </c>
      <c r="L124">
        <f>MAX((D124-J124-K124)*Inputs!B33,0)</f>
        <v>33.991353672959171</v>
      </c>
      <c r="M124">
        <f>MIN(E124*Inputs!B29,E124)</f>
        <v>29.820787146324491</v>
      </c>
      <c r="N124">
        <f>MIN((E124-M124)*Inputs!B30,E124-M124)</f>
        <v>11.076292368634814</v>
      </c>
      <c r="O124">
        <f>MIN(F124*Inputs!B31,F124)</f>
        <v>28.226088020933776</v>
      </c>
      <c r="P124">
        <f>MIN((F124-O124)*Inputs!B34,F124-O124)</f>
        <v>1.8094375218482097</v>
      </c>
      <c r="Q124">
        <f>P124*Inputs!B35</f>
        <v>0.45235938046205243</v>
      </c>
      <c r="R124">
        <f>C124*Inputs!B8/12</f>
        <v>4.6828512597614651</v>
      </c>
      <c r="S124">
        <f t="shared" si="15"/>
        <v>47.634594075251478</v>
      </c>
      <c r="T124">
        <f t="shared" si="16"/>
        <v>910.70471596083814</v>
      </c>
      <c r="U124">
        <f t="shared" si="17"/>
        <v>10033.131257938416</v>
      </c>
      <c r="V124">
        <f t="shared" si="18"/>
        <v>78.296523147498419</v>
      </c>
      <c r="W124">
        <f t="shared" si="19"/>
        <v>216.258167000301</v>
      </c>
      <c r="X124">
        <f t="shared" si="20"/>
        <v>10327.685948086215</v>
      </c>
      <c r="Y124">
        <f t="shared" si="27"/>
        <v>81613.326950446048</v>
      </c>
      <c r="Z124">
        <f>IF(Inputs!B3&gt;0,(V124+W124)/Inputs!B3,0)</f>
        <v>9.8184896715933148E-7</v>
      </c>
      <c r="AA124">
        <f>IF(OR(Y124/Inputs!B3&gt;=Inputs!B23,Z124&gt;=Inputs!B24),1,0)</f>
        <v>0</v>
      </c>
      <c r="AB124">
        <f t="shared" si="21"/>
        <v>0</v>
      </c>
    </row>
    <row r="125" spans="1:28" x14ac:dyDescent="0.2">
      <c r="A125">
        <v>124</v>
      </c>
      <c r="B125">
        <f t="shared" si="22"/>
        <v>0</v>
      </c>
      <c r="C125">
        <f t="shared" si="23"/>
        <v>10327.685948086215</v>
      </c>
      <c r="D125">
        <f t="shared" si="24"/>
        <v>10033.131257938416</v>
      </c>
      <c r="E125">
        <f t="shared" si="25"/>
        <v>78.296523147498419</v>
      </c>
      <c r="F125">
        <f t="shared" si="26"/>
        <v>216.258167000301</v>
      </c>
      <c r="G125">
        <f>MAX(Inputs!B7-A125+1,0)</f>
        <v>177</v>
      </c>
      <c r="H125">
        <f>IF(AND(A125&lt;=Inputs!B7,D125&gt;0),-PMT(Inputs!B6/12,G125,D125),0)</f>
        <v>84.207714725116531</v>
      </c>
      <c r="I125">
        <f>IF(AND(A125&lt;=Inputs!B7,D125&gt;0),D125*Inputs!B6/12,0)</f>
        <v>48.075420610954914</v>
      </c>
      <c r="J125">
        <f t="shared" si="14"/>
        <v>36.132294114161617</v>
      </c>
      <c r="K125">
        <f>MAX((D125-J125)*Inputs!B32,0)</f>
        <v>799.7599171059403</v>
      </c>
      <c r="L125">
        <f>MAX((D125-J125-K125)*Inputs!B33,0)</f>
        <v>31.234313085817206</v>
      </c>
      <c r="M125">
        <f>MIN(E125*Inputs!B29,E125)</f>
        <v>27.403783101624445</v>
      </c>
      <c r="N125">
        <f>MIN((E125-M125)*Inputs!B30,E125-M125)</f>
        <v>10.178548009174797</v>
      </c>
      <c r="O125">
        <f>MIN(F125*Inputs!B31,F125)</f>
        <v>25.950980040036118</v>
      </c>
      <c r="P125">
        <f>MIN((F125-O125)*Inputs!B34,F125-O125)</f>
        <v>1.6635913902893686</v>
      </c>
      <c r="Q125">
        <f>P125*Inputs!B35</f>
        <v>0.41589784757234216</v>
      </c>
      <c r="R125">
        <f>C125*Inputs!B8/12</f>
        <v>4.3032024783692568</v>
      </c>
      <c r="S125">
        <f t="shared" si="15"/>
        <v>43.772218132585657</v>
      </c>
      <c r="T125">
        <f t="shared" si="16"/>
        <v>837.13990476281901</v>
      </c>
      <c r="U125">
        <f t="shared" si="17"/>
        <v>9219.3594967741556</v>
      </c>
      <c r="V125">
        <f t="shared" si="18"/>
        <v>71.948505122516394</v>
      </c>
      <c r="W125">
        <f t="shared" si="19"/>
        <v>198.82214357915032</v>
      </c>
      <c r="X125">
        <f t="shared" si="20"/>
        <v>9490.1301454758232</v>
      </c>
      <c r="Y125">
        <f t="shared" si="27"/>
        <v>81613.742848293623</v>
      </c>
      <c r="Z125">
        <f>IF(Inputs!B3&gt;0,(V125+W125)/Inputs!B3,0)</f>
        <v>9.0256882900555564E-7</v>
      </c>
      <c r="AA125">
        <f>IF(OR(Y125/Inputs!B3&gt;=Inputs!B23,Z125&gt;=Inputs!B24),1,0)</f>
        <v>0</v>
      </c>
      <c r="AB125">
        <f t="shared" si="21"/>
        <v>0</v>
      </c>
    </row>
    <row r="126" spans="1:28" x14ac:dyDescent="0.2">
      <c r="A126">
        <v>125</v>
      </c>
      <c r="B126">
        <f t="shared" si="22"/>
        <v>0</v>
      </c>
      <c r="C126">
        <f t="shared" si="23"/>
        <v>9490.1301454758232</v>
      </c>
      <c r="D126">
        <f t="shared" si="24"/>
        <v>9219.3594967741556</v>
      </c>
      <c r="E126">
        <f t="shared" si="25"/>
        <v>71.948505122516394</v>
      </c>
      <c r="F126">
        <f t="shared" si="26"/>
        <v>198.82214357915032</v>
      </c>
      <c r="G126">
        <f>MAX(Inputs!B7-A126+1,0)</f>
        <v>176</v>
      </c>
      <c r="H126">
        <f>IF(AND(A126&lt;=Inputs!B7,D126&gt;0),-PMT(Inputs!B6/12,G126,D126),0)</f>
        <v>77.657424719355006</v>
      </c>
      <c r="I126">
        <f>IF(AND(A126&lt;=Inputs!B7,D126&gt;0),D126*Inputs!B6/12,0)</f>
        <v>44.176097588709496</v>
      </c>
      <c r="J126">
        <f t="shared" si="14"/>
        <v>33.481327130645511</v>
      </c>
      <c r="K126">
        <f>MAX((D126-J126)*Inputs!B32,0)</f>
        <v>734.87025357148093</v>
      </c>
      <c r="L126">
        <f>MAX((D126-J126-K126)*Inputs!B33,0)</f>
        <v>28.700072467454035</v>
      </c>
      <c r="M126">
        <f>MIN(E126*Inputs!B29,E126)</f>
        <v>25.181976792880736</v>
      </c>
      <c r="N126">
        <f>MIN((E126-M126)*Inputs!B30,E126-M126)</f>
        <v>9.3533056659271328</v>
      </c>
      <c r="O126">
        <f>MIN(F126*Inputs!B31,F126)</f>
        <v>23.858657229498039</v>
      </c>
      <c r="P126">
        <f>MIN((F126-O126)*Inputs!B34,F126-O126)</f>
        <v>1.5294627289460505</v>
      </c>
      <c r="Q126">
        <f>P126*Inputs!B35</f>
        <v>0.38236568223651263</v>
      </c>
      <c r="R126">
        <f>C126*Inputs!B8/12</f>
        <v>3.9542208939482602</v>
      </c>
      <c r="S126">
        <f t="shared" si="15"/>
        <v>40.221876694761235</v>
      </c>
      <c r="T126">
        <f t="shared" si="16"/>
        <v>769.49867774883603</v>
      </c>
      <c r="U126">
        <f t="shared" si="17"/>
        <v>8471.3484776269561</v>
      </c>
      <c r="V126">
        <f t="shared" si="18"/>
        <v>66.113295131162573</v>
      </c>
      <c r="W126">
        <f t="shared" si="19"/>
        <v>182.78732928663337</v>
      </c>
      <c r="X126">
        <f t="shared" si="20"/>
        <v>8720.2491020447524</v>
      </c>
      <c r="Y126">
        <f t="shared" si="27"/>
        <v>81614.125213975858</v>
      </c>
      <c r="Z126">
        <f>IF(Inputs!B3&gt;0,(V126+W126)/Inputs!B3,0)</f>
        <v>8.2966874805931984E-7</v>
      </c>
      <c r="AA126">
        <f>IF(OR(Y126/Inputs!B3&gt;=Inputs!B23,Z126&gt;=Inputs!B24),1,0)</f>
        <v>0</v>
      </c>
      <c r="AB126">
        <f t="shared" si="21"/>
        <v>0</v>
      </c>
    </row>
    <row r="127" spans="1:28" x14ac:dyDescent="0.2">
      <c r="A127">
        <v>126</v>
      </c>
      <c r="B127">
        <f t="shared" si="22"/>
        <v>0</v>
      </c>
      <c r="C127">
        <f t="shared" si="23"/>
        <v>8720.2491020447524</v>
      </c>
      <c r="D127">
        <f t="shared" si="24"/>
        <v>8471.3484776269561</v>
      </c>
      <c r="E127">
        <f t="shared" si="25"/>
        <v>66.113295131162573</v>
      </c>
      <c r="F127">
        <f t="shared" si="26"/>
        <v>182.78732928663337</v>
      </c>
      <c r="G127">
        <f>MAX(Inputs!B7-A127+1,0)</f>
        <v>175</v>
      </c>
      <c r="H127">
        <f>IF(AND(A127&lt;=Inputs!B7,D127&gt;0),-PMT(Inputs!B6/12,G127,D127),0)</f>
        <v>71.616789872825905</v>
      </c>
      <c r="I127">
        <f>IF(AND(A127&lt;=Inputs!B7,D127&gt;0),D127*Inputs!B6/12,0)</f>
        <v>40.591878121962502</v>
      </c>
      <c r="J127">
        <f t="shared" si="14"/>
        <v>31.024911750863403</v>
      </c>
      <c r="K127">
        <f>MAX((D127-J127)*Inputs!B32,0)</f>
        <v>675.22588527008747</v>
      </c>
      <c r="L127">
        <f>MAX((D127-J127-K127)*Inputs!B33,0)</f>
        <v>26.370684818129345</v>
      </c>
      <c r="M127">
        <f>MIN(E127*Inputs!B29,E127)</f>
        <v>23.1396532959069</v>
      </c>
      <c r="N127">
        <f>MIN((E127-M127)*Inputs!B30,E127-M127)</f>
        <v>8.5947283670511361</v>
      </c>
      <c r="O127">
        <f>MIN(F127*Inputs!B31,F127)</f>
        <v>21.934479514396003</v>
      </c>
      <c r="P127">
        <f>MIN((F127-O127)*Inputs!B34,F127-O127)</f>
        <v>1.4061130336631762</v>
      </c>
      <c r="Q127">
        <f>P127*Inputs!B35</f>
        <v>0.35152825841579405</v>
      </c>
      <c r="R127">
        <f>C127*Inputs!B8/12</f>
        <v>3.6334371258519802</v>
      </c>
      <c r="S127">
        <f t="shared" si="15"/>
        <v>36.958440996110525</v>
      </c>
      <c r="T127">
        <f t="shared" si="16"/>
        <v>707.30538179619828</v>
      </c>
      <c r="U127">
        <f t="shared" si="17"/>
        <v>7783.8011285981802</v>
      </c>
      <c r="V127">
        <f t="shared" si="18"/>
        <v>60.749598286333892</v>
      </c>
      <c r="W127">
        <f t="shared" si="19"/>
        <v>168.04146510562532</v>
      </c>
      <c r="X127">
        <f t="shared" si="20"/>
        <v>8012.5921919901393</v>
      </c>
      <c r="Y127">
        <f t="shared" si="27"/>
        <v>81614.47674223427</v>
      </c>
      <c r="Z127">
        <f>IF(Inputs!B3&gt;0,(V127+W127)/Inputs!B3,0)</f>
        <v>7.6263687797319729E-7</v>
      </c>
      <c r="AA127">
        <f>IF(OR(Y127/Inputs!B3&gt;=Inputs!B23,Z127&gt;=Inputs!B24),1,0)</f>
        <v>0</v>
      </c>
      <c r="AB127">
        <f t="shared" si="21"/>
        <v>0</v>
      </c>
    </row>
    <row r="128" spans="1:28" x14ac:dyDescent="0.2">
      <c r="A128">
        <v>127</v>
      </c>
      <c r="B128">
        <f t="shared" si="22"/>
        <v>0</v>
      </c>
      <c r="C128">
        <f t="shared" si="23"/>
        <v>8012.5921919901393</v>
      </c>
      <c r="D128">
        <f t="shared" si="24"/>
        <v>7783.8011285981802</v>
      </c>
      <c r="E128">
        <f t="shared" si="25"/>
        <v>60.749598286333892</v>
      </c>
      <c r="F128">
        <f t="shared" si="26"/>
        <v>168.04146510562532</v>
      </c>
      <c r="G128">
        <f>MAX(Inputs!B7-A128+1,0)</f>
        <v>174</v>
      </c>
      <c r="H128">
        <f>IF(AND(A128&lt;=Inputs!B7,D128&gt;0),-PMT(Inputs!B6/12,G128,D128),0)</f>
        <v>66.046146867216521</v>
      </c>
      <c r="I128">
        <f>IF(AND(A128&lt;=Inputs!B7,D128&gt;0),D128*Inputs!B6/12,0)</f>
        <v>37.297380407866278</v>
      </c>
      <c r="J128">
        <f t="shared" si="14"/>
        <v>28.748766459350243</v>
      </c>
      <c r="K128">
        <f>MAX((D128-J128)*Inputs!B32,0)</f>
        <v>620.40418897110646</v>
      </c>
      <c r="L128">
        <f>MAX((D128-J128-K128)*Inputs!B33,0)</f>
        <v>24.229644751637569</v>
      </c>
      <c r="M128">
        <f>MIN(E128*Inputs!B29,E128)</f>
        <v>21.262359400216862</v>
      </c>
      <c r="N128">
        <f>MIN((E128-M128)*Inputs!B30,E128-M128)</f>
        <v>7.8974477772234053</v>
      </c>
      <c r="O128">
        <f>MIN(F128*Inputs!B31,F128)</f>
        <v>20.164975812675038</v>
      </c>
      <c r="P128">
        <f>MIN((F128-O128)*Inputs!B34,F128-O128)</f>
        <v>1.2926787387453467</v>
      </c>
      <c r="Q128">
        <f>P128*Inputs!B35</f>
        <v>0.32316968468633667</v>
      </c>
      <c r="R128">
        <f>C128*Inputs!B8/12</f>
        <v>3.3385800799958916</v>
      </c>
      <c r="S128">
        <f t="shared" si="15"/>
        <v>33.958800327870385</v>
      </c>
      <c r="T128">
        <f t="shared" si="16"/>
        <v>650.12246448451572</v>
      </c>
      <c r="U128">
        <f t="shared" si="17"/>
        <v>7151.8458636289788</v>
      </c>
      <c r="V128">
        <f t="shared" si="18"/>
        <v>55.819435860531186</v>
      </c>
      <c r="W128">
        <f t="shared" si="19"/>
        <v>154.48125833142836</v>
      </c>
      <c r="X128">
        <f t="shared" si="20"/>
        <v>7362.1465578209391</v>
      </c>
      <c r="Y128">
        <f t="shared" si="27"/>
        <v>81614.799911918963</v>
      </c>
      <c r="Z128">
        <f>IF(Inputs!B3&gt;0,(V128+W128)/Inputs!B3,0)</f>
        <v>7.0100231397319857E-7</v>
      </c>
      <c r="AA128">
        <f>IF(OR(Y128/Inputs!B3&gt;=Inputs!B23,Z128&gt;=Inputs!B24),1,0)</f>
        <v>0</v>
      </c>
      <c r="AB128">
        <f t="shared" si="21"/>
        <v>0</v>
      </c>
    </row>
    <row r="129" spans="1:28" x14ac:dyDescent="0.2">
      <c r="A129">
        <v>128</v>
      </c>
      <c r="B129">
        <f t="shared" si="22"/>
        <v>0</v>
      </c>
      <c r="C129">
        <f t="shared" si="23"/>
        <v>7362.1465578209391</v>
      </c>
      <c r="D129">
        <f t="shared" si="24"/>
        <v>7151.8458636289788</v>
      </c>
      <c r="E129">
        <f t="shared" si="25"/>
        <v>55.819435860531186</v>
      </c>
      <c r="F129">
        <f t="shared" si="26"/>
        <v>154.48125833142836</v>
      </c>
      <c r="G129">
        <f>MAX(Inputs!B7-A129+1,0)</f>
        <v>173</v>
      </c>
      <c r="H129">
        <f>IF(AND(A129&lt;=Inputs!B7,D129&gt;0),-PMT(Inputs!B6/12,G129,D129),0)</f>
        <v>60.908919788474606</v>
      </c>
      <c r="I129">
        <f>IF(AND(A129&lt;=Inputs!B7,D129&gt;0),D129*Inputs!B6/12,0)</f>
        <v>34.269261429888857</v>
      </c>
      <c r="J129">
        <f t="shared" si="14"/>
        <v>26.639658358585748</v>
      </c>
      <c r="K129">
        <f>MAX((D129-J129)*Inputs!B32,0)</f>
        <v>570.01649642163147</v>
      </c>
      <c r="L129">
        <f>MAX((D129-J129-K129)*Inputs!B33,0)</f>
        <v>22.261772980247301</v>
      </c>
      <c r="M129">
        <f>MIN(E129*Inputs!B29,E129)</f>
        <v>19.536802551185914</v>
      </c>
      <c r="N129">
        <f>MIN((E129-M129)*Inputs!B30,E129-M129)</f>
        <v>7.2565266618690547</v>
      </c>
      <c r="O129">
        <f>MIN(F129*Inputs!B31,F129)</f>
        <v>18.537750999771404</v>
      </c>
      <c r="P129">
        <f>MIN((F129-O129)*Inputs!B34,F129-O129)</f>
        <v>1.1883652529103066</v>
      </c>
      <c r="Q129">
        <f>P129*Inputs!B35</f>
        <v>0.29709131322757665</v>
      </c>
      <c r="R129">
        <f>C129*Inputs!B8/12</f>
        <v>3.0675610657587247</v>
      </c>
      <c r="S129">
        <f t="shared" si="15"/>
        <v>31.201700364130133</v>
      </c>
      <c r="T129">
        <f t="shared" si="16"/>
        <v>597.54742871989993</v>
      </c>
      <c r="U129">
        <f t="shared" si="17"/>
        <v>6571.002489419473</v>
      </c>
      <c r="V129">
        <f t="shared" si="18"/>
        <v>51.28787962772352</v>
      </c>
      <c r="W129">
        <f t="shared" si="19"/>
        <v>142.01166874061573</v>
      </c>
      <c r="X129">
        <f t="shared" si="20"/>
        <v>6764.3020377878129</v>
      </c>
      <c r="Y129">
        <f t="shared" si="27"/>
        <v>81615.097003232193</v>
      </c>
      <c r="Z129">
        <f>IF(Inputs!B3&gt;0,(V129+W129)/Inputs!B3,0)</f>
        <v>6.4433182789446421E-7</v>
      </c>
      <c r="AA129">
        <f>IF(OR(Y129/Inputs!B3&gt;=Inputs!B23,Z129&gt;=Inputs!B24),1,0)</f>
        <v>0</v>
      </c>
      <c r="AB129">
        <f t="shared" si="21"/>
        <v>0</v>
      </c>
    </row>
    <row r="130" spans="1:28" x14ac:dyDescent="0.2">
      <c r="A130">
        <v>129</v>
      </c>
      <c r="B130">
        <f t="shared" si="22"/>
        <v>0</v>
      </c>
      <c r="C130">
        <f t="shared" si="23"/>
        <v>6764.3020377878129</v>
      </c>
      <c r="D130">
        <f t="shared" si="24"/>
        <v>6571.002489419473</v>
      </c>
      <c r="E130">
        <f t="shared" si="25"/>
        <v>51.28787962772352</v>
      </c>
      <c r="F130">
        <f t="shared" si="26"/>
        <v>142.01166874061573</v>
      </c>
      <c r="G130">
        <f>MAX(Inputs!B7-A130+1,0)</f>
        <v>172</v>
      </c>
      <c r="H130">
        <f>IF(AND(A130&lt;=Inputs!B7,D130&gt;0),-PMT(Inputs!B6/12,G130,D130),0)</f>
        <v>56.171379750648114</v>
      </c>
      <c r="I130">
        <f>IF(AND(A130&lt;=Inputs!B7,D130&gt;0),D130*Inputs!B6/12,0)</f>
        <v>31.486053595134976</v>
      </c>
      <c r="J130">
        <f t="shared" ref="J130:J193" si="28">MAX(H130-I130,0)</f>
        <v>24.685326155513138</v>
      </c>
      <c r="K130">
        <f>MAX((D130-J130)*Inputs!B32,0)</f>
        <v>523.7053730611168</v>
      </c>
      <c r="L130">
        <f>MAX((D130-J130-K130)*Inputs!B33,0)</f>
        <v>20.453110035956971</v>
      </c>
      <c r="M130">
        <f>MIN(E130*Inputs!B29,E130)</f>
        <v>17.950757869703232</v>
      </c>
      <c r="N130">
        <f>MIN((E130-M130)*Inputs!B30,E130-M130)</f>
        <v>6.6674243516040583</v>
      </c>
      <c r="O130">
        <f>MIN(F130*Inputs!B31,F130)</f>
        <v>17.041400248873888</v>
      </c>
      <c r="P130">
        <f>MIN((F130-O130)*Inputs!B34,F130-O130)</f>
        <v>1.092441468058801</v>
      </c>
      <c r="Q130">
        <f>P130*Inputs!B35</f>
        <v>0.27311036701470026</v>
      </c>
      <c r="R130">
        <f>C130*Inputs!B8/12</f>
        <v>2.8184591824115888</v>
      </c>
      <c r="S130">
        <f t="shared" ref="S130:S193" si="29">MAX(I130-R130,0)</f>
        <v>28.667594412723389</v>
      </c>
      <c r="T130">
        <f t="shared" ref="T130:T193" si="30">MAX(J130+K130+P130-Q130,0)</f>
        <v>549.21003031767407</v>
      </c>
      <c r="U130">
        <f t="shared" ref="U130:U193" si="31">MAX(D130-J130-K130-L130+M130+O130,0)</f>
        <v>6037.1508382854627</v>
      </c>
      <c r="V130">
        <f t="shared" ref="V130:V193" si="32">MAX(E130-M130-N130+L130,0)</f>
        <v>47.122807442373201</v>
      </c>
      <c r="W130">
        <f t="shared" ref="W130:W193" si="33">MAX(F130-O130-P130+N130,0)</f>
        <v>130.54525137528711</v>
      </c>
      <c r="X130">
        <f t="shared" ref="X130:X193" si="34">U130+V130+W130</f>
        <v>6214.8188971031232</v>
      </c>
      <c r="Y130">
        <f t="shared" si="27"/>
        <v>81615.370113599201</v>
      </c>
      <c r="Z130">
        <f>IF(Inputs!B3&gt;0,(V130+W130)/Inputs!B3,0)</f>
        <v>5.9222686272553438E-7</v>
      </c>
      <c r="AA130">
        <f>IF(OR(Y130/Inputs!B3&gt;=Inputs!B23,Z130&gt;=Inputs!B24),1,0)</f>
        <v>0</v>
      </c>
      <c r="AB130">
        <f t="shared" ref="AB130:AB193" si="35">MAX(C130-J130-K130-P130,0)-X130</f>
        <v>0</v>
      </c>
    </row>
    <row r="131" spans="1:28" x14ac:dyDescent="0.2">
      <c r="A131">
        <v>130</v>
      </c>
      <c r="B131">
        <f t="shared" ref="B131:B194" si="36">MAX(B130,AA131)</f>
        <v>0</v>
      </c>
      <c r="C131">
        <f t="shared" ref="C131:C194" si="37">X130</f>
        <v>6214.8188971031232</v>
      </c>
      <c r="D131">
        <f t="shared" ref="D131:D194" si="38">U130</f>
        <v>6037.1508382854627</v>
      </c>
      <c r="E131">
        <f t="shared" ref="E131:E194" si="39">V130</f>
        <v>47.122807442373201</v>
      </c>
      <c r="F131">
        <f t="shared" ref="F131:F194" si="40">W130</f>
        <v>130.54525137528711</v>
      </c>
      <c r="G131">
        <f>MAX(Inputs!B7-A131+1,0)</f>
        <v>171</v>
      </c>
      <c r="H131">
        <f>IF(AND(A131&lt;=Inputs!B7,D131&gt;0),-PMT(Inputs!B6/12,G131,D131),0)</f>
        <v>51.802423239175184</v>
      </c>
      <c r="I131">
        <f>IF(AND(A131&lt;=Inputs!B7,D131&gt;0),D131*Inputs!B6/12,0)</f>
        <v>28.928014433451178</v>
      </c>
      <c r="J131">
        <f t="shared" si="28"/>
        <v>22.874408805724006</v>
      </c>
      <c r="K131">
        <f>MAX((D131-J131)*Inputs!B32,0)</f>
        <v>481.1421143583791</v>
      </c>
      <c r="L131">
        <f>MAX((D131-J131-K131)*Inputs!B33,0)</f>
        <v>18.790818490908411</v>
      </c>
      <c r="M131">
        <f>MIN(E131*Inputs!B29,E131)</f>
        <v>16.492982604830619</v>
      </c>
      <c r="N131">
        <f>MIN((E131-M131)*Inputs!B30,E131-M131)</f>
        <v>6.1259649675085166</v>
      </c>
      <c r="O131">
        <f>MIN(F131*Inputs!B31,F131)</f>
        <v>15.665430165034453</v>
      </c>
      <c r="P131">
        <f>MIN((F131-O131)*Inputs!B34,F131-O131)</f>
        <v>1.0042347035651453</v>
      </c>
      <c r="Q131">
        <f>P131*Inputs!B35</f>
        <v>0.25105867589128633</v>
      </c>
      <c r="R131">
        <f>C131*Inputs!B8/12</f>
        <v>2.589507873792968</v>
      </c>
      <c r="S131">
        <f t="shared" si="29"/>
        <v>26.33850655965821</v>
      </c>
      <c r="T131">
        <f t="shared" si="30"/>
        <v>504.76969919177697</v>
      </c>
      <c r="U131">
        <f t="shared" si="31"/>
        <v>5546.5019094003164</v>
      </c>
      <c r="V131">
        <f t="shared" si="32"/>
        <v>43.294678360942477</v>
      </c>
      <c r="W131">
        <f t="shared" si="33"/>
        <v>120.00155147419603</v>
      </c>
      <c r="X131">
        <f t="shared" si="34"/>
        <v>5709.798139235455</v>
      </c>
      <c r="Y131">
        <f t="shared" ref="Y131:Y194" si="41">Y130+Q131</f>
        <v>81615.621172275089</v>
      </c>
      <c r="Z131">
        <f>IF(Inputs!B3&gt;0,(V131+W131)/Inputs!B3,0)</f>
        <v>5.4432076611712842E-7</v>
      </c>
      <c r="AA131">
        <f>IF(OR(Y131/Inputs!B3&gt;=Inputs!B23,Z131&gt;=Inputs!B24),1,0)</f>
        <v>0</v>
      </c>
      <c r="AB131">
        <f t="shared" si="35"/>
        <v>0</v>
      </c>
    </row>
    <row r="132" spans="1:28" x14ac:dyDescent="0.2">
      <c r="A132">
        <v>131</v>
      </c>
      <c r="B132">
        <f t="shared" si="36"/>
        <v>0</v>
      </c>
      <c r="C132">
        <f t="shared" si="37"/>
        <v>5709.798139235455</v>
      </c>
      <c r="D132">
        <f t="shared" si="38"/>
        <v>5546.5019094003164</v>
      </c>
      <c r="E132">
        <f t="shared" si="39"/>
        <v>43.294678360942477</v>
      </c>
      <c r="F132">
        <f t="shared" si="40"/>
        <v>120.00155147419603</v>
      </c>
      <c r="G132">
        <f>MAX(Inputs!B7-A132+1,0)</f>
        <v>170</v>
      </c>
      <c r="H132">
        <f>IF(AND(A132&lt;=Inputs!B7,D132&gt;0),-PMT(Inputs!B6/12,G132,D132),0)</f>
        <v>47.773367715408305</v>
      </c>
      <c r="I132">
        <f>IF(AND(A132&lt;=Inputs!B7,D132&gt;0),D132*Inputs!B6/12,0)</f>
        <v>26.57698831587652</v>
      </c>
      <c r="J132">
        <f t="shared" si="28"/>
        <v>21.196379399531786</v>
      </c>
      <c r="K132">
        <f>MAX((D132-J132)*Inputs!B32,0)</f>
        <v>442.02444240006275</v>
      </c>
      <c r="L132">
        <f>MAX((D132-J132-K132)*Inputs!B33,0)</f>
        <v>17.263092998543559</v>
      </c>
      <c r="M132">
        <f>MIN(E132*Inputs!B29,E132)</f>
        <v>15.153137426329867</v>
      </c>
      <c r="N132">
        <f>MIN((E132-M132)*Inputs!B30,E132-M132)</f>
        <v>5.6283081869225224</v>
      </c>
      <c r="O132">
        <f>MIN(F132*Inputs!B31,F132)</f>
        <v>14.400186176903524</v>
      </c>
      <c r="P132">
        <f>MIN((F132-O132)*Inputs!B34,F132-O132)</f>
        <v>0.92312605171374251</v>
      </c>
      <c r="Q132">
        <f>P132*Inputs!B35</f>
        <v>0.23078151292843563</v>
      </c>
      <c r="R132">
        <f>C132*Inputs!B8/12</f>
        <v>2.379082558014773</v>
      </c>
      <c r="S132">
        <f t="shared" si="29"/>
        <v>24.197905757861747</v>
      </c>
      <c r="T132">
        <f t="shared" si="30"/>
        <v>463.91316633837982</v>
      </c>
      <c r="U132">
        <f t="shared" si="31"/>
        <v>5095.5713182054114</v>
      </c>
      <c r="V132">
        <f t="shared" si="32"/>
        <v>39.776325746233653</v>
      </c>
      <c r="W132">
        <f t="shared" si="33"/>
        <v>110.3065474325013</v>
      </c>
      <c r="X132">
        <f t="shared" si="34"/>
        <v>5245.6541913841465</v>
      </c>
      <c r="Y132">
        <f t="shared" si="41"/>
        <v>81615.85195378802</v>
      </c>
      <c r="Z132">
        <f>IF(Inputs!B3&gt;0,(V132+W132)/Inputs!B3,0)</f>
        <v>5.0027624392911648E-7</v>
      </c>
      <c r="AA132">
        <f>IF(OR(Y132/Inputs!B3&gt;=Inputs!B23,Z132&gt;=Inputs!B24),1,0)</f>
        <v>0</v>
      </c>
      <c r="AB132">
        <f t="shared" si="35"/>
        <v>0</v>
      </c>
    </row>
    <row r="133" spans="1:28" x14ac:dyDescent="0.2">
      <c r="A133">
        <v>132</v>
      </c>
      <c r="B133">
        <f t="shared" si="36"/>
        <v>0</v>
      </c>
      <c r="C133">
        <f t="shared" si="37"/>
        <v>5245.6541913841465</v>
      </c>
      <c r="D133">
        <f t="shared" si="38"/>
        <v>5095.5713182054114</v>
      </c>
      <c r="E133">
        <f t="shared" si="39"/>
        <v>39.776325746233653</v>
      </c>
      <c r="F133">
        <f t="shared" si="40"/>
        <v>110.3065474325013</v>
      </c>
      <c r="G133">
        <f>MAX(Inputs!B7-A133+1,0)</f>
        <v>169</v>
      </c>
      <c r="H133">
        <f>IF(AND(A133&lt;=Inputs!B7,D133&gt;0),-PMT(Inputs!B6/12,G133,D133),0)</f>
        <v>44.057763137793465</v>
      </c>
      <c r="I133">
        <f>IF(AND(A133&lt;=Inputs!B7,D133&gt;0),D133*Inputs!B6/12,0)</f>
        <v>24.416279233067598</v>
      </c>
      <c r="J133">
        <f t="shared" si="28"/>
        <v>19.641483904725867</v>
      </c>
      <c r="K133">
        <f>MAX((D133-J133)*Inputs!B32,0)</f>
        <v>406.07438674405489</v>
      </c>
      <c r="L133">
        <f>MAX((D133-J133-K133)*Inputs!B33,0)</f>
        <v>15.859077531157284</v>
      </c>
      <c r="M133">
        <f>MIN(E133*Inputs!B29,E133)</f>
        <v>13.921714011181777</v>
      </c>
      <c r="N133">
        <f>MIN((E133-M133)*Inputs!B30,E133-M133)</f>
        <v>5.1709223470103751</v>
      </c>
      <c r="O133">
        <f>MIN(F133*Inputs!B31,F133)</f>
        <v>13.236785691900156</v>
      </c>
      <c r="P133">
        <f>MIN((F133-O133)*Inputs!B34,F133-O133)</f>
        <v>0.84854609260143976</v>
      </c>
      <c r="Q133">
        <f>P133*Inputs!B35</f>
        <v>0.21213652315035994</v>
      </c>
      <c r="R133">
        <f>C133*Inputs!B8/12</f>
        <v>2.1856892464100612</v>
      </c>
      <c r="S133">
        <f t="shared" si="29"/>
        <v>22.230589986657538</v>
      </c>
      <c r="T133">
        <f t="shared" si="30"/>
        <v>426.35228021823184</v>
      </c>
      <c r="U133">
        <f t="shared" si="31"/>
        <v>4681.1548697285543</v>
      </c>
      <c r="V133">
        <f t="shared" si="32"/>
        <v>36.542766919198783</v>
      </c>
      <c r="W133">
        <f t="shared" si="33"/>
        <v>101.39213799501009</v>
      </c>
      <c r="X133">
        <f t="shared" si="34"/>
        <v>4819.0897746427627</v>
      </c>
      <c r="Y133">
        <f t="shared" si="41"/>
        <v>81616.064090311163</v>
      </c>
      <c r="Z133">
        <f>IF(Inputs!B3&gt;0,(V133+W133)/Inputs!B3,0)</f>
        <v>4.5978301638069619E-7</v>
      </c>
      <c r="AA133">
        <f>IF(OR(Y133/Inputs!B3&gt;=Inputs!B23,Z133&gt;=Inputs!B24),1,0)</f>
        <v>0</v>
      </c>
      <c r="AB133">
        <f t="shared" si="35"/>
        <v>0</v>
      </c>
    </row>
    <row r="134" spans="1:28" x14ac:dyDescent="0.2">
      <c r="A134">
        <v>133</v>
      </c>
      <c r="B134">
        <f t="shared" si="36"/>
        <v>0</v>
      </c>
      <c r="C134">
        <f t="shared" si="37"/>
        <v>4819.0897746427627</v>
      </c>
      <c r="D134">
        <f t="shared" si="38"/>
        <v>4681.1548697285543</v>
      </c>
      <c r="E134">
        <f t="shared" si="39"/>
        <v>36.542766919198783</v>
      </c>
      <c r="F134">
        <f t="shared" si="40"/>
        <v>101.39213799501009</v>
      </c>
      <c r="G134">
        <f>MAX(Inputs!B7-A134+1,0)</f>
        <v>168</v>
      </c>
      <c r="H134">
        <f>IF(AND(A134&lt;=Inputs!B7,D134&gt;0),-PMT(Inputs!B6/12,G134,D134),0)</f>
        <v>40.631218159902531</v>
      </c>
      <c r="I134">
        <f>IF(AND(A134&lt;=Inputs!B7,D134&gt;0),D134*Inputs!B6/12,0)</f>
        <v>22.430533750782658</v>
      </c>
      <c r="J134">
        <f t="shared" si="28"/>
        <v>18.200684409119873</v>
      </c>
      <c r="K134">
        <f>MAX((D134-J134)*Inputs!B32,0)</f>
        <v>373.03633482555472</v>
      </c>
      <c r="L134">
        <f>MAX((D134-J134-K134)*Inputs!B33,0)</f>
        <v>14.568789239263277</v>
      </c>
      <c r="M134">
        <f>MIN(E134*Inputs!B29,E134)</f>
        <v>12.789968421719573</v>
      </c>
      <c r="N134">
        <f>MIN((E134-M134)*Inputs!B30,E134-M134)</f>
        <v>4.7505596994958426</v>
      </c>
      <c r="O134">
        <f>MIN(F134*Inputs!B31,F134)</f>
        <v>12.16705655940121</v>
      </c>
      <c r="P134">
        <f>MIN((F134-O134)*Inputs!B34,F134-O134)</f>
        <v>0.77997094931122557</v>
      </c>
      <c r="Q134">
        <f>P134*Inputs!B35</f>
        <v>0.19499273732780639</v>
      </c>
      <c r="R134">
        <f>C134*Inputs!B8/12</f>
        <v>2.0079540727678178</v>
      </c>
      <c r="S134">
        <f t="shared" si="29"/>
        <v>20.422579678014841</v>
      </c>
      <c r="T134">
        <f t="shared" si="30"/>
        <v>391.82199744665797</v>
      </c>
      <c r="U134">
        <f t="shared" si="31"/>
        <v>4300.306086235737</v>
      </c>
      <c r="V134">
        <f t="shared" si="32"/>
        <v>33.571028037246649</v>
      </c>
      <c r="W134">
        <f t="shared" si="33"/>
        <v>93.195670185793489</v>
      </c>
      <c r="X134">
        <f t="shared" si="34"/>
        <v>4427.0727844587773</v>
      </c>
      <c r="Y134">
        <f t="shared" si="41"/>
        <v>81616.259083048484</v>
      </c>
      <c r="Z134">
        <f>IF(Inputs!B3&gt;0,(V134+W134)/Inputs!B3,0)</f>
        <v>4.225556607434671E-7</v>
      </c>
      <c r="AA134">
        <f>IF(OR(Y134/Inputs!B3&gt;=Inputs!B23,Z134&gt;=Inputs!B24),1,0)</f>
        <v>0</v>
      </c>
      <c r="AB134">
        <f t="shared" si="35"/>
        <v>0</v>
      </c>
    </row>
    <row r="135" spans="1:28" x14ac:dyDescent="0.2">
      <c r="A135">
        <v>134</v>
      </c>
      <c r="B135">
        <f t="shared" si="36"/>
        <v>0</v>
      </c>
      <c r="C135">
        <f t="shared" si="37"/>
        <v>4427.0727844587773</v>
      </c>
      <c r="D135">
        <f t="shared" si="38"/>
        <v>4300.306086235737</v>
      </c>
      <c r="E135">
        <f t="shared" si="39"/>
        <v>33.571028037246649</v>
      </c>
      <c r="F135">
        <f t="shared" si="40"/>
        <v>93.195670185793489</v>
      </c>
      <c r="G135">
        <f>MAX(Inputs!B7-A135+1,0)</f>
        <v>167</v>
      </c>
      <c r="H135">
        <f>IF(AND(A135&lt;=Inputs!B7,D135&gt;0),-PMT(Inputs!B6/12,G135,D135),0)</f>
        <v>37.471239862124278</v>
      </c>
      <c r="I135">
        <f>IF(AND(A135&lt;=Inputs!B7,D135&gt;0),D135*Inputs!B6/12,0)</f>
        <v>20.605633329879574</v>
      </c>
      <c r="J135">
        <f t="shared" si="28"/>
        <v>16.865606532244705</v>
      </c>
      <c r="K135">
        <f>MAX((D135-J135)*Inputs!B32,0)</f>
        <v>342.67523837627937</v>
      </c>
      <c r="L135">
        <f>MAX((D135-J135-K135)*Inputs!B33,0)</f>
        <v>13.383048403992406</v>
      </c>
      <c r="M135">
        <f>MIN(E135*Inputs!B29,E135)</f>
        <v>11.749859813036327</v>
      </c>
      <c r="N135">
        <f>MIN((E135-M135)*Inputs!B30,E135-M135)</f>
        <v>4.3642336448420647</v>
      </c>
      <c r="O135">
        <f>MIN(F135*Inputs!B31,F135)</f>
        <v>11.183480422295219</v>
      </c>
      <c r="P135">
        <f>MIN((F135-O135)*Inputs!B34,F135-O135)</f>
        <v>0.71691865645526276</v>
      </c>
      <c r="Q135">
        <f>P135*Inputs!B35</f>
        <v>0.17922966411381569</v>
      </c>
      <c r="R135">
        <f>C135*Inputs!B8/12</f>
        <v>1.8446136601911574</v>
      </c>
      <c r="S135">
        <f t="shared" si="29"/>
        <v>18.761019669688416</v>
      </c>
      <c r="T135">
        <f t="shared" si="30"/>
        <v>360.07853390086558</v>
      </c>
      <c r="U135">
        <f t="shared" si="31"/>
        <v>3950.3155331585522</v>
      </c>
      <c r="V135">
        <f t="shared" si="32"/>
        <v>30.839982983360663</v>
      </c>
      <c r="W135">
        <f t="shared" si="33"/>
        <v>85.659504751885066</v>
      </c>
      <c r="X135">
        <f t="shared" si="34"/>
        <v>4066.8150208937977</v>
      </c>
      <c r="Y135">
        <f t="shared" si="41"/>
        <v>81616.438312712591</v>
      </c>
      <c r="Z135">
        <f>IF(Inputs!B3&gt;0,(V135+W135)/Inputs!B3,0)</f>
        <v>3.8833162578415245E-7</v>
      </c>
      <c r="AA135">
        <f>IF(OR(Y135/Inputs!B3&gt;=Inputs!B23,Z135&gt;=Inputs!B24),1,0)</f>
        <v>0</v>
      </c>
      <c r="AB135">
        <f t="shared" si="35"/>
        <v>0</v>
      </c>
    </row>
    <row r="136" spans="1:28" x14ac:dyDescent="0.2">
      <c r="A136">
        <v>135</v>
      </c>
      <c r="B136">
        <f t="shared" si="36"/>
        <v>0</v>
      </c>
      <c r="C136">
        <f t="shared" si="37"/>
        <v>4066.8150208937977</v>
      </c>
      <c r="D136">
        <f t="shared" si="38"/>
        <v>3950.3155331585522</v>
      </c>
      <c r="E136">
        <f t="shared" si="39"/>
        <v>30.839982983360663</v>
      </c>
      <c r="F136">
        <f t="shared" si="40"/>
        <v>85.659504751885066</v>
      </c>
      <c r="G136">
        <f>MAX(Inputs!B7-A136+1,0)</f>
        <v>166</v>
      </c>
      <c r="H136">
        <f>IF(AND(A136&lt;=Inputs!B7,D136&gt;0),-PMT(Inputs!B6/12,G136,D136),0)</f>
        <v>34.5570859628954</v>
      </c>
      <c r="I136">
        <f>IF(AND(A136&lt;=Inputs!B7,D136&gt;0),D136*Inputs!B6/12,0)</f>
        <v>18.928595263051395</v>
      </c>
      <c r="J136">
        <f t="shared" si="28"/>
        <v>15.628490699844004</v>
      </c>
      <c r="K136">
        <f>MAX((D136-J136)*Inputs!B32,0)</f>
        <v>314.77496339669665</v>
      </c>
      <c r="L136">
        <f>MAX((D136-J136-K136)*Inputs!B33,0)</f>
        <v>12.293413995898858</v>
      </c>
      <c r="M136">
        <f>MIN(E136*Inputs!B29,E136)</f>
        <v>10.793994044176232</v>
      </c>
      <c r="N136">
        <f>MIN((E136-M136)*Inputs!B30,E136-M136)</f>
        <v>4.0091977878368867</v>
      </c>
      <c r="O136">
        <f>MIN(F136*Inputs!B31,F136)</f>
        <v>10.279140570226208</v>
      </c>
      <c r="P136">
        <f>MIN((F136-O136)*Inputs!B34,F136-O136)</f>
        <v>0.65894581729941748</v>
      </c>
      <c r="Q136">
        <f>P136*Inputs!B35</f>
        <v>0.16473645432485437</v>
      </c>
      <c r="R136">
        <f>C136*Inputs!B8/12</f>
        <v>1.6945062587057491</v>
      </c>
      <c r="S136">
        <f t="shared" si="29"/>
        <v>17.234089004345645</v>
      </c>
      <c r="T136">
        <f t="shared" si="30"/>
        <v>330.89766345951523</v>
      </c>
      <c r="U136">
        <f t="shared" si="31"/>
        <v>3628.691799680515</v>
      </c>
      <c r="V136">
        <f t="shared" si="32"/>
        <v>28.330205147246403</v>
      </c>
      <c r="W136">
        <f t="shared" si="33"/>
        <v>78.730616152196333</v>
      </c>
      <c r="X136">
        <f t="shared" si="34"/>
        <v>3735.752620979958</v>
      </c>
      <c r="Y136">
        <f t="shared" si="41"/>
        <v>81616.603049166923</v>
      </c>
      <c r="Z136">
        <f>IF(Inputs!B3&gt;0,(V136+W136)/Inputs!B3,0)</f>
        <v>3.5686940433147581E-7</v>
      </c>
      <c r="AA136">
        <f>IF(OR(Y136/Inputs!B3&gt;=Inputs!B23,Z136&gt;=Inputs!B24),1,0)</f>
        <v>0</v>
      </c>
      <c r="AB136">
        <f t="shared" si="35"/>
        <v>0</v>
      </c>
    </row>
    <row r="137" spans="1:28" x14ac:dyDescent="0.2">
      <c r="A137">
        <v>136</v>
      </c>
      <c r="B137">
        <f t="shared" si="36"/>
        <v>0</v>
      </c>
      <c r="C137">
        <f t="shared" si="37"/>
        <v>3735.752620979958</v>
      </c>
      <c r="D137">
        <f t="shared" si="38"/>
        <v>3628.691799680515</v>
      </c>
      <c r="E137">
        <f t="shared" si="39"/>
        <v>28.330205147246403</v>
      </c>
      <c r="F137">
        <f t="shared" si="40"/>
        <v>78.730616152196333</v>
      </c>
      <c r="G137">
        <f>MAX(Inputs!B7-A137+1,0)</f>
        <v>165</v>
      </c>
      <c r="H137">
        <f>IF(AND(A137&lt;=Inputs!B7,D137&gt;0),-PMT(Inputs!B6/12,G137,D137),0)</f>
        <v>31.869628537484662</v>
      </c>
      <c r="I137">
        <f>IF(AND(A137&lt;=Inputs!B7,D137&gt;0),D137*Inputs!B6/12,0)</f>
        <v>17.387481540135802</v>
      </c>
      <c r="J137">
        <f t="shared" si="28"/>
        <v>14.48214699734886</v>
      </c>
      <c r="K137">
        <f>MAX((D137-J137)*Inputs!B32,0)</f>
        <v>289.13677221465326</v>
      </c>
      <c r="L137">
        <f>MAX((D137-J137-K137)*Inputs!B33,0)</f>
        <v>11.292124392349114</v>
      </c>
      <c r="M137">
        <f>MIN(E137*Inputs!B29,E137)</f>
        <v>9.91557180153624</v>
      </c>
      <c r="N137">
        <f>MIN((E137-M137)*Inputs!B30,E137-M137)</f>
        <v>3.682926669142033</v>
      </c>
      <c r="O137">
        <f>MIN(F137*Inputs!B31,F137)</f>
        <v>9.4476739382635593</v>
      </c>
      <c r="P137">
        <f>MIN((F137-O137)*Inputs!B34,F137-O137)</f>
        <v>0.6056445266309346</v>
      </c>
      <c r="Q137">
        <f>P137*Inputs!B35</f>
        <v>0.15141113165773365</v>
      </c>
      <c r="R137">
        <f>C137*Inputs!B8/12</f>
        <v>1.5565635920749825</v>
      </c>
      <c r="S137">
        <f t="shared" si="29"/>
        <v>15.830917948060819</v>
      </c>
      <c r="T137">
        <f t="shared" si="30"/>
        <v>304.07315260697538</v>
      </c>
      <c r="U137">
        <f t="shared" si="31"/>
        <v>3333.1440018159633</v>
      </c>
      <c r="V137">
        <f t="shared" si="32"/>
        <v>26.023831068917247</v>
      </c>
      <c r="W137">
        <f t="shared" si="33"/>
        <v>72.360224356443865</v>
      </c>
      <c r="X137">
        <f t="shared" si="34"/>
        <v>3431.5280572413244</v>
      </c>
      <c r="Y137">
        <f t="shared" si="41"/>
        <v>81616.754460298587</v>
      </c>
      <c r="Z137">
        <f>IF(Inputs!B3&gt;0,(V137+W137)/Inputs!B3,0)</f>
        <v>3.279468514178704E-7</v>
      </c>
      <c r="AA137">
        <f>IF(OR(Y137/Inputs!B3&gt;=Inputs!B23,Z137&gt;=Inputs!B24),1,0)</f>
        <v>0</v>
      </c>
      <c r="AB137">
        <f t="shared" si="35"/>
        <v>0</v>
      </c>
    </row>
    <row r="138" spans="1:28" x14ac:dyDescent="0.2">
      <c r="A138">
        <v>137</v>
      </c>
      <c r="B138">
        <f t="shared" si="36"/>
        <v>0</v>
      </c>
      <c r="C138">
        <f t="shared" si="37"/>
        <v>3431.5280572413244</v>
      </c>
      <c r="D138">
        <f t="shared" si="38"/>
        <v>3333.1440018159633</v>
      </c>
      <c r="E138">
        <f t="shared" si="39"/>
        <v>26.023831068917247</v>
      </c>
      <c r="F138">
        <f t="shared" si="40"/>
        <v>72.360224356443865</v>
      </c>
      <c r="G138">
        <f>MAX(Inputs!B7-A138+1,0)</f>
        <v>164</v>
      </c>
      <c r="H138">
        <f>IF(AND(A138&lt;=Inputs!B7,D138&gt;0),-PMT(Inputs!B6/12,G138,D138),0)</f>
        <v>29.391228348072804</v>
      </c>
      <c r="I138">
        <f>IF(AND(A138&lt;=Inputs!B7,D138&gt;0),D138*Inputs!B6/12,0)</f>
        <v>15.97131500870149</v>
      </c>
      <c r="J138">
        <f t="shared" si="28"/>
        <v>13.419913339371314</v>
      </c>
      <c r="K138">
        <f>MAX((D138-J138)*Inputs!B32,0)</f>
        <v>265.57792707812735</v>
      </c>
      <c r="L138">
        <f>MAX((D138-J138-K138)*Inputs!B33,0)</f>
        <v>10.37204284137904</v>
      </c>
      <c r="M138">
        <f>MIN(E138*Inputs!B29,E138)</f>
        <v>9.1083408741210352</v>
      </c>
      <c r="N138">
        <f>MIN((E138-M138)*Inputs!B30,E138-M138)</f>
        <v>3.3830980389592429</v>
      </c>
      <c r="O138">
        <f>MIN(F138*Inputs!B31,F138)</f>
        <v>8.6832269227732635</v>
      </c>
      <c r="P138">
        <f>MIN((F138-O138)*Inputs!B34,F138-O138)</f>
        <v>0.55663953832836988</v>
      </c>
      <c r="Q138">
        <f>P138*Inputs!B35</f>
        <v>0.13915988458209247</v>
      </c>
      <c r="R138">
        <f>C138*Inputs!B8/12</f>
        <v>1.4298033571838851</v>
      </c>
      <c r="S138">
        <f t="shared" si="29"/>
        <v>14.541511651517604</v>
      </c>
      <c r="T138">
        <f t="shared" si="30"/>
        <v>279.41532007124493</v>
      </c>
      <c r="U138">
        <f t="shared" si="31"/>
        <v>3061.5656863539803</v>
      </c>
      <c r="V138">
        <f t="shared" si="32"/>
        <v>23.904434997216008</v>
      </c>
      <c r="W138">
        <f t="shared" si="33"/>
        <v>66.503455934301471</v>
      </c>
      <c r="X138">
        <f t="shared" si="34"/>
        <v>3151.9735772854979</v>
      </c>
      <c r="Y138">
        <f t="shared" si="41"/>
        <v>81616.893620183168</v>
      </c>
      <c r="Z138">
        <f>IF(Inputs!B3&gt;0,(V138+W138)/Inputs!B3,0)</f>
        <v>3.0135963643839159E-7</v>
      </c>
      <c r="AA138">
        <f>IF(OR(Y138/Inputs!B3&gt;=Inputs!B23,Z138&gt;=Inputs!B24),1,0)</f>
        <v>0</v>
      </c>
      <c r="AB138">
        <f t="shared" si="35"/>
        <v>0</v>
      </c>
    </row>
    <row r="139" spans="1:28" x14ac:dyDescent="0.2">
      <c r="A139">
        <v>138</v>
      </c>
      <c r="B139">
        <f t="shared" si="36"/>
        <v>0</v>
      </c>
      <c r="C139">
        <f t="shared" si="37"/>
        <v>3151.9735772854979</v>
      </c>
      <c r="D139">
        <f t="shared" si="38"/>
        <v>3061.5656863539803</v>
      </c>
      <c r="E139">
        <f t="shared" si="39"/>
        <v>23.904434997216008</v>
      </c>
      <c r="F139">
        <f t="shared" si="40"/>
        <v>66.503455934301471</v>
      </c>
      <c r="G139">
        <f>MAX(Inputs!B7-A139+1,0)</f>
        <v>163</v>
      </c>
      <c r="H139">
        <f>IF(AND(A139&lt;=Inputs!B7,D139&gt;0),-PMT(Inputs!B6/12,G139,D139),0)</f>
        <v>27.105618958696954</v>
      </c>
      <c r="I139">
        <f>IF(AND(A139&lt;=Inputs!B7,D139&gt;0),D139*Inputs!B6/12,0)</f>
        <v>14.670002247112821</v>
      </c>
      <c r="J139">
        <f t="shared" si="28"/>
        <v>12.435616711584133</v>
      </c>
      <c r="K139">
        <f>MAX((D139-J139)*Inputs!B32,0)</f>
        <v>243.93040557139167</v>
      </c>
      <c r="L139">
        <f>MAX((D139-J139-K139)*Inputs!B33,0)</f>
        <v>9.5266072927707963</v>
      </c>
      <c r="M139">
        <f>MIN(E139*Inputs!B29,E139)</f>
        <v>8.3665522490256024</v>
      </c>
      <c r="N139">
        <f>MIN((E139-M139)*Inputs!B30,E139-M139)</f>
        <v>3.1075765496380812</v>
      </c>
      <c r="O139">
        <f>MIN(F139*Inputs!B31,F139)</f>
        <v>7.9804147121161764</v>
      </c>
      <c r="P139">
        <f>MIN((F139-O139)*Inputs!B34,F139-O139)</f>
        <v>0.51158565825002278</v>
      </c>
      <c r="Q139">
        <f>P139*Inputs!B35</f>
        <v>0.12789641456250569</v>
      </c>
      <c r="R139">
        <f>C139*Inputs!B8/12</f>
        <v>1.3133223238689575</v>
      </c>
      <c r="S139">
        <f t="shared" si="29"/>
        <v>13.356679923243863</v>
      </c>
      <c r="T139">
        <f t="shared" si="30"/>
        <v>256.7497115266633</v>
      </c>
      <c r="U139">
        <f t="shared" si="31"/>
        <v>2812.0200237393756</v>
      </c>
      <c r="V139">
        <f t="shared" si="32"/>
        <v>21.956913491323121</v>
      </c>
      <c r="W139">
        <f t="shared" si="33"/>
        <v>61.119032113573354</v>
      </c>
      <c r="X139">
        <f t="shared" si="34"/>
        <v>2895.0959693442719</v>
      </c>
      <c r="Y139">
        <f t="shared" si="41"/>
        <v>81617.021516597728</v>
      </c>
      <c r="Z139">
        <f>IF(Inputs!B3&gt;0,(V139+W139)/Inputs!B3,0)</f>
        <v>2.7691981868298823E-7</v>
      </c>
      <c r="AA139">
        <f>IF(OR(Y139/Inputs!B3&gt;=Inputs!B23,Z139&gt;=Inputs!B24),1,0)</f>
        <v>0</v>
      </c>
      <c r="AB139">
        <f t="shared" si="35"/>
        <v>0</v>
      </c>
    </row>
    <row r="140" spans="1:28" x14ac:dyDescent="0.2">
      <c r="A140">
        <v>139</v>
      </c>
      <c r="B140">
        <f t="shared" si="36"/>
        <v>0</v>
      </c>
      <c r="C140">
        <f t="shared" si="37"/>
        <v>2895.0959693442719</v>
      </c>
      <c r="D140">
        <f t="shared" si="38"/>
        <v>2812.0200237393756</v>
      </c>
      <c r="E140">
        <f t="shared" si="39"/>
        <v>21.956913491323121</v>
      </c>
      <c r="F140">
        <f t="shared" si="40"/>
        <v>61.119032113573354</v>
      </c>
      <c r="G140">
        <f>MAX(Inputs!B7-A140+1,0)</f>
        <v>162</v>
      </c>
      <c r="H140">
        <f>IF(AND(A140&lt;=Inputs!B7,D140&gt;0),-PMT(Inputs!B6/12,G140,D140),0)</f>
        <v>24.997799873012568</v>
      </c>
      <c r="I140">
        <f>IF(AND(A140&lt;=Inputs!B7,D140&gt;0),D140*Inputs!B6/12,0)</f>
        <v>13.474262613751174</v>
      </c>
      <c r="J140">
        <f t="shared" si="28"/>
        <v>11.523537259261394</v>
      </c>
      <c r="K140">
        <f>MAX((D140-J140)*Inputs!B32,0)</f>
        <v>224.03971891840914</v>
      </c>
      <c r="L140">
        <f>MAX((D140-J140-K140)*Inputs!B33,0)</f>
        <v>8.7497842473507212</v>
      </c>
      <c r="M140">
        <f>MIN(E140*Inputs!B29,E140)</f>
        <v>7.6849197219630918</v>
      </c>
      <c r="N140">
        <f>MIN((E140-M140)*Inputs!B30,E140-M140)</f>
        <v>2.8543987538720064</v>
      </c>
      <c r="O140">
        <f>MIN(F140*Inputs!B31,F140)</f>
        <v>7.3342838536288024</v>
      </c>
      <c r="P140">
        <f>MIN((F140-O140)*Inputs!B34,F140-O140)</f>
        <v>0.47016534458473669</v>
      </c>
      <c r="Q140">
        <f>P140*Inputs!B35</f>
        <v>0.11754133614618417</v>
      </c>
      <c r="R140">
        <f>C140*Inputs!B8/12</f>
        <v>1.20628998722678</v>
      </c>
      <c r="S140">
        <f t="shared" si="29"/>
        <v>12.267972626524394</v>
      </c>
      <c r="T140">
        <f t="shared" si="30"/>
        <v>235.91588018610906</v>
      </c>
      <c r="U140">
        <f t="shared" si="31"/>
        <v>2582.7261868899459</v>
      </c>
      <c r="V140">
        <f t="shared" si="32"/>
        <v>20.167379262838743</v>
      </c>
      <c r="W140">
        <f t="shared" si="33"/>
        <v>56.168981669231819</v>
      </c>
      <c r="X140">
        <f t="shared" si="34"/>
        <v>2659.0625478220168</v>
      </c>
      <c r="Y140">
        <f t="shared" si="41"/>
        <v>81617.139057933877</v>
      </c>
      <c r="Z140">
        <f>IF(Inputs!B3&gt;0,(V140+W140)/Inputs!B3,0)</f>
        <v>2.5445453644023521E-7</v>
      </c>
      <c r="AA140">
        <f>IF(OR(Y140/Inputs!B3&gt;=Inputs!B23,Z140&gt;=Inputs!B24),1,0)</f>
        <v>0</v>
      </c>
      <c r="AB140">
        <f t="shared" si="35"/>
        <v>0</v>
      </c>
    </row>
    <row r="141" spans="1:28" x14ac:dyDescent="0.2">
      <c r="A141">
        <v>140</v>
      </c>
      <c r="B141">
        <f t="shared" si="36"/>
        <v>0</v>
      </c>
      <c r="C141">
        <f t="shared" si="37"/>
        <v>2659.0625478220168</v>
      </c>
      <c r="D141">
        <f t="shared" si="38"/>
        <v>2582.7261868899459</v>
      </c>
      <c r="E141">
        <f t="shared" si="39"/>
        <v>20.167379262838743</v>
      </c>
      <c r="F141">
        <f t="shared" si="40"/>
        <v>56.168981669231819</v>
      </c>
      <c r="G141">
        <f>MAX(Inputs!B7-A141+1,0)</f>
        <v>161</v>
      </c>
      <c r="H141">
        <f>IF(AND(A141&lt;=Inputs!B7,D141&gt;0),-PMT(Inputs!B6/12,G141,D141),0)</f>
        <v>23.053937992191859</v>
      </c>
      <c r="I141">
        <f>IF(AND(A141&lt;=Inputs!B7,D141&gt;0),D141*Inputs!B6/12,0)</f>
        <v>12.375562978847659</v>
      </c>
      <c r="J141">
        <f t="shared" si="28"/>
        <v>10.678375013344199</v>
      </c>
      <c r="K141">
        <f>MAX((D141-J141)*Inputs!B32,0)</f>
        <v>205.76382495012814</v>
      </c>
      <c r="L141">
        <f>MAX((D141-J141-K141)*Inputs!B33,0)</f>
        <v>8.0360263033490451</v>
      </c>
      <c r="M141">
        <f>MIN(E141*Inputs!B29,E141)</f>
        <v>7.0585827419935594</v>
      </c>
      <c r="N141">
        <f>MIN((E141-M141)*Inputs!B30,E141-M141)</f>
        <v>2.621759304169037</v>
      </c>
      <c r="O141">
        <f>MIN(F141*Inputs!B31,F141)</f>
        <v>6.7402778003078181</v>
      </c>
      <c r="P141">
        <f>MIN((F141-O141)*Inputs!B34,F141-O141)</f>
        <v>0.43208649921704628</v>
      </c>
      <c r="Q141">
        <f>P141*Inputs!B35</f>
        <v>0.10802162480426157</v>
      </c>
      <c r="R141">
        <f>C141*Inputs!B8/12</f>
        <v>1.1079427282591736</v>
      </c>
      <c r="S141">
        <f t="shared" si="29"/>
        <v>11.267620250588486</v>
      </c>
      <c r="T141">
        <f t="shared" si="30"/>
        <v>216.76626483788513</v>
      </c>
      <c r="U141">
        <f t="shared" si="31"/>
        <v>2372.0468211654261</v>
      </c>
      <c r="V141">
        <f t="shared" si="32"/>
        <v>18.52306352002519</v>
      </c>
      <c r="W141">
        <f t="shared" si="33"/>
        <v>51.618376673876</v>
      </c>
      <c r="X141">
        <f t="shared" si="34"/>
        <v>2442.188261359327</v>
      </c>
      <c r="Y141">
        <f t="shared" si="41"/>
        <v>81617.247079558685</v>
      </c>
      <c r="Z141">
        <f>IF(Inputs!B3&gt;0,(V141+W141)/Inputs!B3,0)</f>
        <v>2.3380480064633729E-7</v>
      </c>
      <c r="AA141">
        <f>IF(OR(Y141/Inputs!B3&gt;=Inputs!B23,Z141&gt;=Inputs!B24),1,0)</f>
        <v>0</v>
      </c>
      <c r="AB141">
        <f t="shared" si="35"/>
        <v>0</v>
      </c>
    </row>
    <row r="142" spans="1:28" x14ac:dyDescent="0.2">
      <c r="A142">
        <v>141</v>
      </c>
      <c r="B142">
        <f t="shared" si="36"/>
        <v>0</v>
      </c>
      <c r="C142">
        <f t="shared" si="37"/>
        <v>2442.188261359327</v>
      </c>
      <c r="D142">
        <f t="shared" si="38"/>
        <v>2372.0468211654261</v>
      </c>
      <c r="E142">
        <f t="shared" si="39"/>
        <v>18.52306352002519</v>
      </c>
      <c r="F142">
        <f t="shared" si="40"/>
        <v>51.618376673876</v>
      </c>
      <c r="G142">
        <f>MAX(Inputs!B7-A142+1,0)</f>
        <v>160</v>
      </c>
      <c r="H142">
        <f>IF(AND(A142&lt;=Inputs!B7,D142&gt;0),-PMT(Inputs!B6/12,G142,D142),0)</f>
        <v>21.261276745016879</v>
      </c>
      <c r="I142">
        <f>IF(AND(A142&lt;=Inputs!B7,D142&gt;0),D142*Inputs!B6/12,0)</f>
        <v>11.366057684751</v>
      </c>
      <c r="J142">
        <f t="shared" si="28"/>
        <v>9.8952190602658785</v>
      </c>
      <c r="K142">
        <f>MAX((D142-J142)*Inputs!B32,0)</f>
        <v>188.97212816841281</v>
      </c>
      <c r="L142">
        <f>MAX((D142-J142-K142)*Inputs!B33,0)</f>
        <v>7.3802331042848692</v>
      </c>
      <c r="M142">
        <f>MIN(E142*Inputs!B29,E142)</f>
        <v>6.4830722320088157</v>
      </c>
      <c r="N142">
        <f>MIN((E142-M142)*Inputs!B30,E142-M142)</f>
        <v>2.4079982576032748</v>
      </c>
      <c r="O142">
        <f>MIN(F142*Inputs!B31,F142)</f>
        <v>6.1942052008651194</v>
      </c>
      <c r="P142">
        <f>MIN((F142-O142)*Inputs!B34,F142-O142)</f>
        <v>0.3970804349564942</v>
      </c>
      <c r="Q142">
        <f>P142*Inputs!B35</f>
        <v>9.927010873912355E-2</v>
      </c>
      <c r="R142">
        <f>C142*Inputs!B8/12</f>
        <v>1.0175784422330529</v>
      </c>
      <c r="S142">
        <f t="shared" si="29"/>
        <v>10.348479242517948</v>
      </c>
      <c r="T142">
        <f t="shared" si="30"/>
        <v>199.16515755489607</v>
      </c>
      <c r="U142">
        <f t="shared" si="31"/>
        <v>2178.4765182653368</v>
      </c>
      <c r="V142">
        <f t="shared" si="32"/>
        <v>17.012226134697968</v>
      </c>
      <c r="W142">
        <f t="shared" si="33"/>
        <v>47.435089295657662</v>
      </c>
      <c r="X142">
        <f t="shared" si="34"/>
        <v>2242.9238336956923</v>
      </c>
      <c r="Y142">
        <f t="shared" si="41"/>
        <v>81617.346349667423</v>
      </c>
      <c r="Z142">
        <f>IF(Inputs!B3&gt;0,(V142+W142)/Inputs!B3,0)</f>
        <v>2.148243847678521E-7</v>
      </c>
      <c r="AA142">
        <f>IF(OR(Y142/Inputs!B3&gt;=Inputs!B23,Z142&gt;=Inputs!B24),1,0)</f>
        <v>0</v>
      </c>
      <c r="AB142">
        <f t="shared" si="35"/>
        <v>0</v>
      </c>
    </row>
    <row r="143" spans="1:28" x14ac:dyDescent="0.2">
      <c r="A143">
        <v>142</v>
      </c>
      <c r="B143">
        <f t="shared" si="36"/>
        <v>0</v>
      </c>
      <c r="C143">
        <f t="shared" si="37"/>
        <v>2242.9238336956923</v>
      </c>
      <c r="D143">
        <f t="shared" si="38"/>
        <v>2178.4765182653368</v>
      </c>
      <c r="E143">
        <f t="shared" si="39"/>
        <v>17.012226134697968</v>
      </c>
      <c r="F143">
        <f t="shared" si="40"/>
        <v>47.435089295657662</v>
      </c>
      <c r="G143">
        <f>MAX(Inputs!B7-A143+1,0)</f>
        <v>159</v>
      </c>
      <c r="H143">
        <f>IF(AND(A143&lt;=Inputs!B7,D143&gt;0),-PMT(Inputs!B6/12,G143,D143),0)</f>
        <v>19.608052292698765</v>
      </c>
      <c r="I143">
        <f>IF(AND(A143&lt;=Inputs!B7,D143&gt;0),D143*Inputs!B6/12,0)</f>
        <v>10.438533316688073</v>
      </c>
      <c r="J143">
        <f t="shared" si="28"/>
        <v>9.1695189760106928</v>
      </c>
      <c r="K143">
        <f>MAX((D143-J143)*Inputs!B32,0)</f>
        <v>173.54455994314608</v>
      </c>
      <c r="L143">
        <f>MAX((D143-J143-K143)*Inputs!B33,0)</f>
        <v>6.7777154164211053</v>
      </c>
      <c r="M143">
        <f>MIN(E143*Inputs!B29,E143)</f>
        <v>5.9542791471442884</v>
      </c>
      <c r="N143">
        <f>MIN((E143-M143)*Inputs!B30,E143-M143)</f>
        <v>2.2115893975107364</v>
      </c>
      <c r="O143">
        <f>MIN(F143*Inputs!B31,F143)</f>
        <v>5.692210715478919</v>
      </c>
      <c r="P143">
        <f>MIN((F143-O143)*Inputs!B34,F143-O143)</f>
        <v>0.36490000467706557</v>
      </c>
      <c r="Q143">
        <f>P143*Inputs!B35</f>
        <v>9.1225001169266393E-2</v>
      </c>
      <c r="R143">
        <f>C143*Inputs!B8/12</f>
        <v>0.93455159737320515</v>
      </c>
      <c r="S143">
        <f t="shared" si="29"/>
        <v>9.5039817193148668</v>
      </c>
      <c r="T143">
        <f t="shared" si="30"/>
        <v>182.98775392266455</v>
      </c>
      <c r="U143">
        <f t="shared" si="31"/>
        <v>2000.6312137923819</v>
      </c>
      <c r="V143">
        <f t="shared" si="32"/>
        <v>15.624073006464052</v>
      </c>
      <c r="W143">
        <f t="shared" si="33"/>
        <v>43.589567973012407</v>
      </c>
      <c r="X143">
        <f t="shared" si="34"/>
        <v>2059.8448547718581</v>
      </c>
      <c r="Y143">
        <f t="shared" si="41"/>
        <v>81617.437574668598</v>
      </c>
      <c r="Z143">
        <f>IF(Inputs!B3&gt;0,(V143+W143)/Inputs!B3,0)</f>
        <v>1.9737880326492153E-7</v>
      </c>
      <c r="AA143">
        <f>IF(OR(Y143/Inputs!B3&gt;=Inputs!B23,Z143&gt;=Inputs!B24),1,0)</f>
        <v>0</v>
      </c>
      <c r="AB143">
        <f t="shared" si="35"/>
        <v>0</v>
      </c>
    </row>
    <row r="144" spans="1:28" x14ac:dyDescent="0.2">
      <c r="A144">
        <v>143</v>
      </c>
      <c r="B144">
        <f t="shared" si="36"/>
        <v>0</v>
      </c>
      <c r="C144">
        <f t="shared" si="37"/>
        <v>2059.8448547718581</v>
      </c>
      <c r="D144">
        <f t="shared" si="38"/>
        <v>2000.6312137923819</v>
      </c>
      <c r="E144">
        <f t="shared" si="39"/>
        <v>15.624073006464052</v>
      </c>
      <c r="F144">
        <f t="shared" si="40"/>
        <v>43.589567973012407</v>
      </c>
      <c r="G144">
        <f>MAX(Inputs!B7-A144+1,0)</f>
        <v>158</v>
      </c>
      <c r="H144">
        <f>IF(AND(A144&lt;=Inputs!B7,D144&gt;0),-PMT(Inputs!B6/12,G144,D144),0)</f>
        <v>18.08341625749506</v>
      </c>
      <c r="I144">
        <f>IF(AND(A144&lt;=Inputs!B7,D144&gt;0),D144*Inputs!B6/12,0)</f>
        <v>9.5863578994218308</v>
      </c>
      <c r="J144">
        <f t="shared" si="28"/>
        <v>8.4970583580732288</v>
      </c>
      <c r="K144">
        <f>MAX((D144-J144)*Inputs!B32,0)</f>
        <v>159.3707324347447</v>
      </c>
      <c r="L144">
        <f>MAX((D144-J144-K144)*Inputs!B33,0)</f>
        <v>6.224162085536765</v>
      </c>
      <c r="M144">
        <f>MIN(E144*Inputs!B29,E144)</f>
        <v>5.4684255522624179</v>
      </c>
      <c r="N144">
        <f>MIN((E144-M144)*Inputs!B30,E144-M144)</f>
        <v>2.031129490840327</v>
      </c>
      <c r="O144">
        <f>MIN(F144*Inputs!B31,F144)</f>
        <v>5.2307481567614884</v>
      </c>
      <c r="P144">
        <f>MIN((F144-O144)*Inputs!B34,F144-O144)</f>
        <v>0.33531787951497671</v>
      </c>
      <c r="Q144">
        <f>P144*Inputs!B35</f>
        <v>8.3829469878744178E-2</v>
      </c>
      <c r="R144">
        <f>C144*Inputs!B8/12</f>
        <v>0.85826868948827428</v>
      </c>
      <c r="S144">
        <f t="shared" si="29"/>
        <v>8.7280892099335574</v>
      </c>
      <c r="T144">
        <f t="shared" si="30"/>
        <v>168.11927920245415</v>
      </c>
      <c r="U144">
        <f t="shared" si="31"/>
        <v>1837.2384346230513</v>
      </c>
      <c r="V144">
        <f t="shared" si="32"/>
        <v>14.348680048898073</v>
      </c>
      <c r="W144">
        <f t="shared" si="33"/>
        <v>40.054631427576275</v>
      </c>
      <c r="X144">
        <f t="shared" si="34"/>
        <v>1891.6417460995256</v>
      </c>
      <c r="Y144">
        <f t="shared" si="41"/>
        <v>81617.521404138475</v>
      </c>
      <c r="Z144">
        <f>IF(Inputs!B3&gt;0,(V144+W144)/Inputs!B3,0)</f>
        <v>1.8134437158824785E-7</v>
      </c>
      <c r="AA144">
        <f>IF(OR(Y144/Inputs!B3&gt;=Inputs!B23,Z144&gt;=Inputs!B24),1,0)</f>
        <v>0</v>
      </c>
      <c r="AB144">
        <f t="shared" si="35"/>
        <v>0</v>
      </c>
    </row>
    <row r="145" spans="1:28" x14ac:dyDescent="0.2">
      <c r="A145">
        <v>144</v>
      </c>
      <c r="B145">
        <f t="shared" si="36"/>
        <v>0</v>
      </c>
      <c r="C145">
        <f t="shared" si="37"/>
        <v>1891.6417460995256</v>
      </c>
      <c r="D145">
        <f t="shared" si="38"/>
        <v>1837.2384346230513</v>
      </c>
      <c r="E145">
        <f t="shared" si="39"/>
        <v>14.348680048898073</v>
      </c>
      <c r="F145">
        <f t="shared" si="40"/>
        <v>40.054631427576275</v>
      </c>
      <c r="G145">
        <f>MAX(Inputs!B7-A145+1,0)</f>
        <v>157</v>
      </c>
      <c r="H145">
        <f>IF(AND(A145&lt;=Inputs!B7,D145&gt;0),-PMT(Inputs!B6/12,G145,D145),0)</f>
        <v>16.677364467110468</v>
      </c>
      <c r="I145">
        <f>IF(AND(A145&lt;=Inputs!B7,D145&gt;0),D145*Inputs!B6/12,0)</f>
        <v>8.8034341659021216</v>
      </c>
      <c r="J145">
        <f t="shared" si="28"/>
        <v>7.8739303012083468</v>
      </c>
      <c r="K145">
        <f>MAX((D145-J145)*Inputs!B32,0)</f>
        <v>146.34916034574744</v>
      </c>
      <c r="L145">
        <f>MAX((D145-J145-K145)*Inputs!B33,0)</f>
        <v>5.7156096427373555</v>
      </c>
      <c r="M145">
        <f>MIN(E145*Inputs!B29,E145)</f>
        <v>5.0220380171143253</v>
      </c>
      <c r="N145">
        <f>MIN((E145-M145)*Inputs!B30,E145-M145)</f>
        <v>1.8653284063567499</v>
      </c>
      <c r="O145">
        <f>MIN(F145*Inputs!B31,F145)</f>
        <v>4.8065557713091529</v>
      </c>
      <c r="P145">
        <f>MIN((F145-O145)*Inputs!B34,F145-O145)</f>
        <v>0.30812496428880348</v>
      </c>
      <c r="Q145">
        <f>P145*Inputs!B35</f>
        <v>7.7031241072200871E-2</v>
      </c>
      <c r="R145">
        <f>C145*Inputs!B8/12</f>
        <v>0.78818406087480231</v>
      </c>
      <c r="S145">
        <f t="shared" si="29"/>
        <v>8.0152501050273202</v>
      </c>
      <c r="T145">
        <f t="shared" si="30"/>
        <v>154.45418437017236</v>
      </c>
      <c r="U145">
        <f t="shared" si="31"/>
        <v>1687.1283281217818</v>
      </c>
      <c r="V145">
        <f t="shared" si="32"/>
        <v>13.176923268164355</v>
      </c>
      <c r="W145">
        <f t="shared" si="33"/>
        <v>36.80527909833507</v>
      </c>
      <c r="X145">
        <f t="shared" si="34"/>
        <v>1737.1105304882813</v>
      </c>
      <c r="Y145">
        <f t="shared" si="41"/>
        <v>81617.59843537955</v>
      </c>
      <c r="Z145">
        <f>IF(Inputs!B3&gt;0,(V145+W145)/Inputs!B3,0)</f>
        <v>1.6660734122166473E-7</v>
      </c>
      <c r="AA145">
        <f>IF(OR(Y145/Inputs!B3&gt;=Inputs!B23,Z145&gt;=Inputs!B24),1,0)</f>
        <v>0</v>
      </c>
      <c r="AB145">
        <f t="shared" si="35"/>
        <v>0</v>
      </c>
    </row>
    <row r="146" spans="1:28" x14ac:dyDescent="0.2">
      <c r="A146">
        <v>145</v>
      </c>
      <c r="B146">
        <f t="shared" si="36"/>
        <v>0</v>
      </c>
      <c r="C146">
        <f t="shared" si="37"/>
        <v>1737.1105304882813</v>
      </c>
      <c r="D146">
        <f t="shared" si="38"/>
        <v>1687.1283281217818</v>
      </c>
      <c r="E146">
        <f t="shared" si="39"/>
        <v>13.176923268164355</v>
      </c>
      <c r="F146">
        <f t="shared" si="40"/>
        <v>36.80527909833507</v>
      </c>
      <c r="G146">
        <f>MAX(Inputs!B7-A146+1,0)</f>
        <v>156</v>
      </c>
      <c r="H146">
        <f>IF(AND(A146&lt;=Inputs!B7,D146&gt;0),-PMT(Inputs!B6/12,G146,D146),0)</f>
        <v>15.380671246436044</v>
      </c>
      <c r="I146">
        <f>IF(AND(A146&lt;=Inputs!B7,D146&gt;0),D146*Inputs!B6/12,0)</f>
        <v>8.0841565722502047</v>
      </c>
      <c r="J146">
        <f t="shared" si="28"/>
        <v>7.2965146741858398</v>
      </c>
      <c r="K146">
        <f>MAX((D146-J146)*Inputs!B32,0)</f>
        <v>134.38654507580767</v>
      </c>
      <c r="L146">
        <f>MAX((D146-J146-K146)*Inputs!B33,0)</f>
        <v>5.2484143474060172</v>
      </c>
      <c r="M146">
        <f>MIN(E146*Inputs!B29,E146)</f>
        <v>4.6119231438575241</v>
      </c>
      <c r="N146">
        <f>MIN((E146-M146)*Inputs!B30,E146-M146)</f>
        <v>1.7130000248613664</v>
      </c>
      <c r="O146">
        <f>MIN(F146*Inputs!B31,F146)</f>
        <v>4.4166334918002086</v>
      </c>
      <c r="P146">
        <f>MIN((F146-O146)*Inputs!B34,F146-O146)</f>
        <v>0.28312893924187499</v>
      </c>
      <c r="Q146">
        <f>P146*Inputs!B35</f>
        <v>7.0782234810468747E-2</v>
      </c>
      <c r="R146">
        <f>C146*Inputs!B8/12</f>
        <v>0.72379605437011729</v>
      </c>
      <c r="S146">
        <f t="shared" si="29"/>
        <v>7.3603605178800873</v>
      </c>
      <c r="T146">
        <f t="shared" si="30"/>
        <v>141.89540645442489</v>
      </c>
      <c r="U146">
        <f t="shared" si="31"/>
        <v>1549.2254106600401</v>
      </c>
      <c r="V146">
        <f t="shared" si="32"/>
        <v>12.100414446851481</v>
      </c>
      <c r="W146">
        <f t="shared" si="33"/>
        <v>33.818516692154354</v>
      </c>
      <c r="X146">
        <f t="shared" si="34"/>
        <v>1595.1443417990461</v>
      </c>
      <c r="Y146">
        <f t="shared" si="41"/>
        <v>81617.669217614355</v>
      </c>
      <c r="Z146">
        <f>IF(Inputs!B3&gt;0,(V146+W146)/Inputs!B3,0)</f>
        <v>1.530631037966861E-7</v>
      </c>
      <c r="AA146">
        <f>IF(OR(Y146/Inputs!B3&gt;=Inputs!B23,Z146&gt;=Inputs!B24),1,0)</f>
        <v>0</v>
      </c>
      <c r="AB146">
        <f t="shared" si="35"/>
        <v>0</v>
      </c>
    </row>
    <row r="147" spans="1:28" x14ac:dyDescent="0.2">
      <c r="A147">
        <v>146</v>
      </c>
      <c r="B147">
        <f t="shared" si="36"/>
        <v>0</v>
      </c>
      <c r="C147">
        <f t="shared" si="37"/>
        <v>1595.1443417990461</v>
      </c>
      <c r="D147">
        <f t="shared" si="38"/>
        <v>1549.2254106600401</v>
      </c>
      <c r="E147">
        <f t="shared" si="39"/>
        <v>12.100414446851481</v>
      </c>
      <c r="F147">
        <f t="shared" si="40"/>
        <v>33.818516692154354</v>
      </c>
      <c r="G147">
        <f>MAX(Inputs!B7-A147+1,0)</f>
        <v>155</v>
      </c>
      <c r="H147">
        <f>IF(AND(A147&lt;=Inputs!B7,D147&gt;0),-PMT(Inputs!B6/12,G147,D147),0)</f>
        <v>14.184828824668697</v>
      </c>
      <c r="I147">
        <f>IF(AND(A147&lt;=Inputs!B7,D147&gt;0),D147*Inputs!B6/12,0)</f>
        <v>7.4233717594126922</v>
      </c>
      <c r="J147">
        <f t="shared" si="28"/>
        <v>6.7614570652560051</v>
      </c>
      <c r="K147">
        <f>MAX((D147-J147)*Inputs!B32,0)</f>
        <v>123.39711628758272</v>
      </c>
      <c r="L147">
        <f>MAX((D147-J147-K147)*Inputs!B33,0)</f>
        <v>4.8192264723149441</v>
      </c>
      <c r="M147">
        <f>MIN(E147*Inputs!B29,E147)</f>
        <v>4.235145056398018</v>
      </c>
      <c r="N147">
        <f>MIN((E147-M147)*Inputs!B30,E147-M147)</f>
        <v>1.5730538780906926</v>
      </c>
      <c r="O147">
        <f>MIN(F147*Inputs!B31,F147)</f>
        <v>4.0582220030585221</v>
      </c>
      <c r="P147">
        <f>MIN((F147-O147)*Inputs!B34,F147-O147)</f>
        <v>0.26015291806920277</v>
      </c>
      <c r="Q147">
        <f>P147*Inputs!B35</f>
        <v>6.5038229517300691E-2</v>
      </c>
      <c r="R147">
        <f>C147*Inputs!B8/12</f>
        <v>0.66464347574960259</v>
      </c>
      <c r="S147">
        <f t="shared" si="29"/>
        <v>6.75872828366309</v>
      </c>
      <c r="T147">
        <f t="shared" si="30"/>
        <v>130.3536880413906</v>
      </c>
      <c r="U147">
        <f t="shared" si="31"/>
        <v>1422.5409778943429</v>
      </c>
      <c r="V147">
        <f t="shared" si="32"/>
        <v>11.111441984677715</v>
      </c>
      <c r="W147">
        <f t="shared" si="33"/>
        <v>31.073195649117324</v>
      </c>
      <c r="X147">
        <f t="shared" si="34"/>
        <v>1464.7256155281377</v>
      </c>
      <c r="Y147">
        <f t="shared" si="41"/>
        <v>81617.734255843869</v>
      </c>
      <c r="Z147">
        <f>IF(Inputs!B3&gt;0,(V147+W147)/Inputs!B3,0)</f>
        <v>1.4061545877931678E-7</v>
      </c>
      <c r="AA147">
        <f>IF(OR(Y147/Inputs!B3&gt;=Inputs!B23,Z147&gt;=Inputs!B24),1,0)</f>
        <v>0</v>
      </c>
      <c r="AB147">
        <f t="shared" si="35"/>
        <v>0</v>
      </c>
    </row>
    <row r="148" spans="1:28" x14ac:dyDescent="0.2">
      <c r="A148">
        <v>147</v>
      </c>
      <c r="B148">
        <f t="shared" si="36"/>
        <v>0</v>
      </c>
      <c r="C148">
        <f t="shared" si="37"/>
        <v>1464.7256155281377</v>
      </c>
      <c r="D148">
        <f t="shared" si="38"/>
        <v>1422.5409778943429</v>
      </c>
      <c r="E148">
        <f t="shared" si="39"/>
        <v>11.111441984677715</v>
      </c>
      <c r="F148">
        <f t="shared" si="40"/>
        <v>31.073195649117324</v>
      </c>
      <c r="G148">
        <f>MAX(Inputs!B7-A148+1,0)</f>
        <v>154</v>
      </c>
      <c r="H148">
        <f>IF(AND(A148&lt;=Inputs!B7,D148&gt;0),-PMT(Inputs!B6/12,G148,D148),0)</f>
        <v>13.081991459496436</v>
      </c>
      <c r="I148">
        <f>IF(AND(A148&lt;=Inputs!B7,D148&gt;0),D148*Inputs!B6/12,0)</f>
        <v>6.8163421857437259</v>
      </c>
      <c r="J148">
        <f t="shared" si="28"/>
        <v>6.2656492737527101</v>
      </c>
      <c r="K148">
        <f>MAX((D148-J148)*Inputs!B32,0)</f>
        <v>113.30202628964722</v>
      </c>
      <c r="L148">
        <f>MAX((D148-J148-K148)*Inputs!B33,0)</f>
        <v>4.4249666514851747</v>
      </c>
      <c r="M148">
        <f>MIN(E148*Inputs!B29,E148)</f>
        <v>3.8890046946371997</v>
      </c>
      <c r="N148">
        <f>MIN((E148-M148)*Inputs!B30,E148-M148)</f>
        <v>1.4444874580081031</v>
      </c>
      <c r="O148">
        <f>MIN(F148*Inputs!B31,F148)</f>
        <v>3.7287834778940785</v>
      </c>
      <c r="P148">
        <f>MIN((F148-O148)*Inputs!B34,F148-O148)</f>
        <v>0.23903421298570746</v>
      </c>
      <c r="Q148">
        <f>P148*Inputs!B35</f>
        <v>5.9758553246426864E-2</v>
      </c>
      <c r="R148">
        <f>C148*Inputs!B8/12</f>
        <v>0.61030233980339077</v>
      </c>
      <c r="S148">
        <f t="shared" si="29"/>
        <v>6.2060398459403352</v>
      </c>
      <c r="T148">
        <f t="shared" si="30"/>
        <v>119.74695122313921</v>
      </c>
      <c r="U148">
        <f t="shared" si="31"/>
        <v>1306.1661238519889</v>
      </c>
      <c r="V148">
        <f t="shared" si="32"/>
        <v>10.202916483517587</v>
      </c>
      <c r="W148">
        <f t="shared" si="33"/>
        <v>28.549865416245638</v>
      </c>
      <c r="X148">
        <f t="shared" si="34"/>
        <v>1344.9189057517522</v>
      </c>
      <c r="Y148">
        <f t="shared" si="41"/>
        <v>81617.794014397121</v>
      </c>
      <c r="Z148">
        <f>IF(Inputs!B3&gt;0,(V148+W148)/Inputs!B3,0)</f>
        <v>1.2917593966587741E-7</v>
      </c>
      <c r="AA148">
        <f>IF(OR(Y148/Inputs!B3&gt;=Inputs!B23,Z148&gt;=Inputs!B24),1,0)</f>
        <v>0</v>
      </c>
      <c r="AB148">
        <f t="shared" si="35"/>
        <v>0</v>
      </c>
    </row>
    <row r="149" spans="1:28" x14ac:dyDescent="0.2">
      <c r="A149">
        <v>148</v>
      </c>
      <c r="B149">
        <f t="shared" si="36"/>
        <v>0</v>
      </c>
      <c r="C149">
        <f t="shared" si="37"/>
        <v>1344.9189057517522</v>
      </c>
      <c r="D149">
        <f t="shared" si="38"/>
        <v>1306.1661238519889</v>
      </c>
      <c r="E149">
        <f t="shared" si="39"/>
        <v>10.202916483517587</v>
      </c>
      <c r="F149">
        <f t="shared" si="40"/>
        <v>28.549865416245638</v>
      </c>
      <c r="G149">
        <f>MAX(Inputs!B7-A149+1,0)</f>
        <v>153</v>
      </c>
      <c r="H149">
        <f>IF(AND(A149&lt;=Inputs!B7,D149&gt;0),-PMT(Inputs!B6/12,G149,D149),0)</f>
        <v>12.064923911057434</v>
      </c>
      <c r="I149">
        <f>IF(AND(A149&lt;=Inputs!B7,D149&gt;0),D149*Inputs!B6/12,0)</f>
        <v>6.2587126767907799</v>
      </c>
      <c r="J149">
        <f t="shared" si="28"/>
        <v>5.8062112342666543</v>
      </c>
      <c r="K149">
        <f>MAX((D149-J149)*Inputs!B32,0)</f>
        <v>104.02879300941778</v>
      </c>
      <c r="L149">
        <f>MAX((D149-J149-K149)*Inputs!B33,0)</f>
        <v>4.0628041257104073</v>
      </c>
      <c r="M149">
        <f>MIN(E149*Inputs!B29,E149)</f>
        <v>3.5710207692311551</v>
      </c>
      <c r="N149">
        <f>MIN((E149-M149)*Inputs!B30,E149-M149)</f>
        <v>1.3263791428572864</v>
      </c>
      <c r="O149">
        <f>MIN(F149*Inputs!B31,F149)</f>
        <v>3.4259838499494766</v>
      </c>
      <c r="P149">
        <f>MIN((F149-O149)*Inputs!B34,F149-O149)</f>
        <v>0.21962319832443755</v>
      </c>
      <c r="Q149">
        <f>P149*Inputs!B35</f>
        <v>5.4905799581109388E-2</v>
      </c>
      <c r="R149">
        <f>C149*Inputs!B8/12</f>
        <v>0.56038287739656345</v>
      </c>
      <c r="S149">
        <f t="shared" si="29"/>
        <v>5.6983297993942168</v>
      </c>
      <c r="T149">
        <f t="shared" si="30"/>
        <v>109.99972164242777</v>
      </c>
      <c r="U149">
        <f t="shared" si="31"/>
        <v>1199.2653201017747</v>
      </c>
      <c r="V149">
        <f t="shared" si="32"/>
        <v>9.3683206971395521</v>
      </c>
      <c r="W149">
        <f t="shared" si="33"/>
        <v>26.230637510829013</v>
      </c>
      <c r="X149">
        <f t="shared" si="34"/>
        <v>1234.8642783097432</v>
      </c>
      <c r="Y149">
        <f t="shared" si="41"/>
        <v>81617.848920196702</v>
      </c>
      <c r="Z149">
        <f>IF(Inputs!B3&gt;0,(V149+W149)/Inputs!B3,0)</f>
        <v>1.1866319402656188E-7</v>
      </c>
      <c r="AA149">
        <f>IF(OR(Y149/Inputs!B3&gt;=Inputs!B23,Z149&gt;=Inputs!B24),1,0)</f>
        <v>0</v>
      </c>
      <c r="AB149">
        <f t="shared" si="35"/>
        <v>0</v>
      </c>
    </row>
    <row r="150" spans="1:28" x14ac:dyDescent="0.2">
      <c r="A150">
        <v>149</v>
      </c>
      <c r="B150">
        <f t="shared" si="36"/>
        <v>0</v>
      </c>
      <c r="C150">
        <f t="shared" si="37"/>
        <v>1234.8642783097432</v>
      </c>
      <c r="D150">
        <f t="shared" si="38"/>
        <v>1199.2653201017747</v>
      </c>
      <c r="E150">
        <f t="shared" si="39"/>
        <v>9.3683206971395521</v>
      </c>
      <c r="F150">
        <f t="shared" si="40"/>
        <v>26.230637510829013</v>
      </c>
      <c r="G150">
        <f>MAX(Inputs!B7-A150+1,0)</f>
        <v>152</v>
      </c>
      <c r="H150">
        <f>IF(AND(A150&lt;=Inputs!B7,D150&gt;0),-PMT(Inputs!B6/12,G150,D150),0)</f>
        <v>11.126953926986703</v>
      </c>
      <c r="I150">
        <f>IF(AND(A150&lt;=Inputs!B7,D150&gt;0),D150*Inputs!B6/12,0)</f>
        <v>5.7464796588210048</v>
      </c>
      <c r="J150">
        <f t="shared" si="28"/>
        <v>5.3804742681656981</v>
      </c>
      <c r="K150">
        <f>MAX((D150-J150)*Inputs!B32,0)</f>
        <v>95.510787666688728</v>
      </c>
      <c r="L150">
        <f>MAX((D150-J150-K150)*Inputs!B33,0)</f>
        <v>3.7301367338458311</v>
      </c>
      <c r="M150">
        <f>MIN(E150*Inputs!B29,E150)</f>
        <v>3.278912243998843</v>
      </c>
      <c r="N150">
        <f>MIN((E150-M150)*Inputs!B30,E150-M150)</f>
        <v>1.217881690628142</v>
      </c>
      <c r="O150">
        <f>MIN(F150*Inputs!B31,F150)</f>
        <v>3.1476765012994812</v>
      </c>
      <c r="P150">
        <f>MIN((F150-O150)*Inputs!B34,F150-O150)</f>
        <v>0.20178226482774064</v>
      </c>
      <c r="Q150">
        <f>P150*Inputs!B35</f>
        <v>5.0445566206935161E-2</v>
      </c>
      <c r="R150">
        <f>C150*Inputs!B8/12</f>
        <v>0.51452678262905971</v>
      </c>
      <c r="S150">
        <f t="shared" si="29"/>
        <v>5.2319528761919454</v>
      </c>
      <c r="T150">
        <f t="shared" si="30"/>
        <v>101.04259863347524</v>
      </c>
      <c r="U150">
        <f t="shared" si="31"/>
        <v>1101.0705101783726</v>
      </c>
      <c r="V150">
        <f t="shared" si="32"/>
        <v>8.6016634963583982</v>
      </c>
      <c r="W150">
        <f t="shared" si="33"/>
        <v>24.099060435329932</v>
      </c>
      <c r="X150">
        <f t="shared" si="34"/>
        <v>1133.771234110061</v>
      </c>
      <c r="Y150">
        <f t="shared" si="41"/>
        <v>81617.899365762903</v>
      </c>
      <c r="Z150">
        <f>IF(Inputs!B3&gt;0,(V150+W150)/Inputs!B3,0)</f>
        <v>1.0900241310562776E-7</v>
      </c>
      <c r="AA150">
        <f>IF(OR(Y150/Inputs!B3&gt;=Inputs!B23,Z150&gt;=Inputs!B24),1,0)</f>
        <v>0</v>
      </c>
      <c r="AB150">
        <f t="shared" si="35"/>
        <v>0</v>
      </c>
    </row>
    <row r="151" spans="1:28" x14ac:dyDescent="0.2">
      <c r="A151">
        <v>150</v>
      </c>
      <c r="B151">
        <f t="shared" si="36"/>
        <v>0</v>
      </c>
      <c r="C151">
        <f t="shared" si="37"/>
        <v>1133.771234110061</v>
      </c>
      <c r="D151">
        <f t="shared" si="38"/>
        <v>1101.0705101783726</v>
      </c>
      <c r="E151">
        <f t="shared" si="39"/>
        <v>8.6016634963583982</v>
      </c>
      <c r="F151">
        <f t="shared" si="40"/>
        <v>24.099060435329932</v>
      </c>
      <c r="G151">
        <f>MAX(Inputs!B7-A151+1,0)</f>
        <v>151</v>
      </c>
      <c r="H151">
        <f>IF(AND(A151&lt;=Inputs!B7,D151&gt;0),-PMT(Inputs!B6/12,G151,D151),0)</f>
        <v>10.261928426241191</v>
      </c>
      <c r="I151">
        <f>IF(AND(A151&lt;=Inputs!B7,D151&gt;0),D151*Inputs!B6/12,0)</f>
        <v>5.2759628612713696</v>
      </c>
      <c r="J151">
        <f t="shared" si="28"/>
        <v>4.9859655649698214</v>
      </c>
      <c r="K151">
        <f>MAX((D151-J151)*Inputs!B32,0)</f>
        <v>87.686763569072227</v>
      </c>
      <c r="L151">
        <f>MAX((D151-J151-K151)*Inputs!B33,0)</f>
        <v>3.4245725100969673</v>
      </c>
      <c r="M151">
        <f>MIN(E151*Inputs!B29,E151)</f>
        <v>3.0105822237254394</v>
      </c>
      <c r="N151">
        <f>MIN((E151-M151)*Inputs!B30,E151-M151)</f>
        <v>1.1182162545265919</v>
      </c>
      <c r="O151">
        <f>MIN(F151*Inputs!B31,F151)</f>
        <v>2.8918872522395915</v>
      </c>
      <c r="P151">
        <f>MIN((F151-O151)*Inputs!B34,F151-O151)</f>
        <v>0.18538485741545305</v>
      </c>
      <c r="Q151">
        <f>P151*Inputs!B35</f>
        <v>4.6346214353863262E-2</v>
      </c>
      <c r="R151">
        <f>C151*Inputs!B8/12</f>
        <v>0.47240468087919213</v>
      </c>
      <c r="S151">
        <f t="shared" si="29"/>
        <v>4.8035581803921774</v>
      </c>
      <c r="T151">
        <f t="shared" si="30"/>
        <v>92.81176777710364</v>
      </c>
      <c r="U151">
        <f t="shared" si="31"/>
        <v>1010.8756780101987</v>
      </c>
      <c r="V151">
        <f t="shared" si="32"/>
        <v>7.8974375282033336</v>
      </c>
      <c r="W151">
        <f t="shared" si="33"/>
        <v>22.140004580201477</v>
      </c>
      <c r="X151">
        <f t="shared" si="34"/>
        <v>1040.9131201186035</v>
      </c>
      <c r="Y151">
        <f t="shared" si="41"/>
        <v>81617.945711977256</v>
      </c>
      <c r="Z151">
        <f>IF(Inputs!B3&gt;0,(V151+W151)/Inputs!B3,0)</f>
        <v>1.0012480702801603E-7</v>
      </c>
      <c r="AA151">
        <f>IF(OR(Y151/Inputs!B3&gt;=Inputs!B23,Z151&gt;=Inputs!B24),1,0)</f>
        <v>0</v>
      </c>
      <c r="AB151">
        <f t="shared" si="35"/>
        <v>0</v>
      </c>
    </row>
    <row r="152" spans="1:28" x14ac:dyDescent="0.2">
      <c r="A152">
        <v>151</v>
      </c>
      <c r="B152">
        <f t="shared" si="36"/>
        <v>0</v>
      </c>
      <c r="C152">
        <f t="shared" si="37"/>
        <v>1040.9131201186035</v>
      </c>
      <c r="D152">
        <f t="shared" si="38"/>
        <v>1010.8756780101987</v>
      </c>
      <c r="E152">
        <f t="shared" si="39"/>
        <v>7.8974375282033336</v>
      </c>
      <c r="F152">
        <f t="shared" si="40"/>
        <v>22.140004580201477</v>
      </c>
      <c r="G152">
        <f>MAX(Inputs!B7-A152+1,0)</f>
        <v>150</v>
      </c>
      <c r="H152">
        <f>IF(AND(A152&lt;=Inputs!B7,D152&gt;0),-PMT(Inputs!B6/12,G152,D152),0)</f>
        <v>9.4641730937165232</v>
      </c>
      <c r="I152">
        <f>IF(AND(A152&lt;=Inputs!B7,D152&gt;0),D152*Inputs!B6/12,0)</f>
        <v>4.8437792904655357</v>
      </c>
      <c r="J152">
        <f t="shared" si="28"/>
        <v>4.6203938032509875</v>
      </c>
      <c r="K152">
        <f>MAX((D152-J152)*Inputs!B32,0)</f>
        <v>80.500422736555819</v>
      </c>
      <c r="L152">
        <f>MAX((D152-J152-K152)*Inputs!B33,0)</f>
        <v>3.1439127587100062</v>
      </c>
      <c r="M152">
        <f>MIN(E152*Inputs!B29,E152)</f>
        <v>2.7641031348711667</v>
      </c>
      <c r="N152">
        <f>MIN((E152-M152)*Inputs!B30,E152-M152)</f>
        <v>1.0266668786664332</v>
      </c>
      <c r="O152">
        <f>MIN(F152*Inputs!B31,F152)</f>
        <v>2.6568005496241773</v>
      </c>
      <c r="P152">
        <f>MIN((F152-O152)*Inputs!B34,F152-O152)</f>
        <v>0.17031458978628586</v>
      </c>
      <c r="Q152">
        <f>P152*Inputs!B35</f>
        <v>4.2578647446571465E-2</v>
      </c>
      <c r="R152">
        <f>C152*Inputs!B8/12</f>
        <v>0.43371380004941812</v>
      </c>
      <c r="S152">
        <f t="shared" si="29"/>
        <v>4.4100654904161178</v>
      </c>
      <c r="T152">
        <f t="shared" si="30"/>
        <v>85.248552482146522</v>
      </c>
      <c r="U152">
        <f t="shared" si="31"/>
        <v>928.03185239617733</v>
      </c>
      <c r="V152">
        <f t="shared" si="32"/>
        <v>7.2505802733757392</v>
      </c>
      <c r="W152">
        <f t="shared" si="33"/>
        <v>20.339556319457447</v>
      </c>
      <c r="X152">
        <f t="shared" si="34"/>
        <v>955.62198898901045</v>
      </c>
      <c r="Y152">
        <f t="shared" si="41"/>
        <v>81617.988290624708</v>
      </c>
      <c r="Z152">
        <f>IF(Inputs!B3&gt;0,(V152+W152)/Inputs!B3,0)</f>
        <v>9.1967121976110625E-8</v>
      </c>
      <c r="AA152">
        <f>IF(OR(Y152/Inputs!B3&gt;=Inputs!B23,Z152&gt;=Inputs!B24),1,0)</f>
        <v>0</v>
      </c>
      <c r="AB152">
        <f t="shared" si="35"/>
        <v>0</v>
      </c>
    </row>
    <row r="153" spans="1:28" x14ac:dyDescent="0.2">
      <c r="A153">
        <v>152</v>
      </c>
      <c r="B153">
        <f t="shared" si="36"/>
        <v>0</v>
      </c>
      <c r="C153">
        <f t="shared" si="37"/>
        <v>955.62198898901045</v>
      </c>
      <c r="D153">
        <f t="shared" si="38"/>
        <v>928.03185239617733</v>
      </c>
      <c r="E153">
        <f t="shared" si="39"/>
        <v>7.2505802733757392</v>
      </c>
      <c r="F153">
        <f t="shared" si="40"/>
        <v>20.339556319457447</v>
      </c>
      <c r="G153">
        <f>MAX(Inputs!B7-A153+1,0)</f>
        <v>149</v>
      </c>
      <c r="H153">
        <f>IF(AND(A153&lt;=Inputs!B7,D153&gt;0),-PMT(Inputs!B6/12,G153,D153),0)</f>
        <v>8.728455120096017</v>
      </c>
      <c r="I153">
        <f>IF(AND(A153&lt;=Inputs!B7,D153&gt;0),D153*Inputs!B6/12,0)</f>
        <v>4.446819292731683</v>
      </c>
      <c r="J153">
        <f t="shared" si="28"/>
        <v>4.281635827364334</v>
      </c>
      <c r="K153">
        <f>MAX((D153-J153)*Inputs!B32,0)</f>
        <v>73.900017325505047</v>
      </c>
      <c r="L153">
        <f>MAX((D153-J153-K153)*Inputs!B33,0)</f>
        <v>2.886136487740961</v>
      </c>
      <c r="M153">
        <f>MIN(E153*Inputs!B29,E153)</f>
        <v>2.5377030956815085</v>
      </c>
      <c r="N153">
        <f>MIN((E153-M153)*Inputs!B30,E153-M153)</f>
        <v>0.94257543553884615</v>
      </c>
      <c r="O153">
        <f>MIN(F153*Inputs!B31,F153)</f>
        <v>2.4407467583348934</v>
      </c>
      <c r="P153">
        <f>MIN((F153-O153)*Inputs!B34,F153-O153)</f>
        <v>0.15646442973553934</v>
      </c>
      <c r="Q153">
        <f>P153*Inputs!B35</f>
        <v>3.9116107433884835E-2</v>
      </c>
      <c r="R153">
        <f>C153*Inputs!B8/12</f>
        <v>0.39817582874542107</v>
      </c>
      <c r="S153">
        <f t="shared" si="29"/>
        <v>4.0486434639862621</v>
      </c>
      <c r="T153">
        <f t="shared" si="30"/>
        <v>78.299001475171039</v>
      </c>
      <c r="U153">
        <f t="shared" si="31"/>
        <v>851.94251260958345</v>
      </c>
      <c r="V153">
        <f t="shared" si="32"/>
        <v>6.6564382298963451</v>
      </c>
      <c r="W153">
        <f t="shared" si="33"/>
        <v>18.684920566925861</v>
      </c>
      <c r="X153">
        <f t="shared" si="34"/>
        <v>877.28387140640564</v>
      </c>
      <c r="Y153">
        <f t="shared" si="41"/>
        <v>81618.027406732144</v>
      </c>
      <c r="Z153">
        <f>IF(Inputs!B3&gt;0,(V153+W153)/Inputs!B3,0)</f>
        <v>8.4471195989407349E-8</v>
      </c>
      <c r="AA153">
        <f>IF(OR(Y153/Inputs!B3&gt;=Inputs!B23,Z153&gt;=Inputs!B24),1,0)</f>
        <v>0</v>
      </c>
      <c r="AB153">
        <f t="shared" si="35"/>
        <v>0</v>
      </c>
    </row>
    <row r="154" spans="1:28" x14ac:dyDescent="0.2">
      <c r="A154">
        <v>153</v>
      </c>
      <c r="B154">
        <f t="shared" si="36"/>
        <v>0</v>
      </c>
      <c r="C154">
        <f t="shared" si="37"/>
        <v>877.28387140640564</v>
      </c>
      <c r="D154">
        <f t="shared" si="38"/>
        <v>851.94251260958345</v>
      </c>
      <c r="E154">
        <f t="shared" si="39"/>
        <v>6.6564382298963451</v>
      </c>
      <c r="F154">
        <f t="shared" si="40"/>
        <v>18.684920566925861</v>
      </c>
      <c r="G154">
        <f>MAX(Inputs!B7-A154+1,0)</f>
        <v>148</v>
      </c>
      <c r="H154">
        <f>IF(AND(A154&lt;=Inputs!B7,D154&gt;0),-PMT(Inputs!B6/12,G154,D154),0)</f>
        <v>8.0499488420532828</v>
      </c>
      <c r="I154">
        <f>IF(AND(A154&lt;=Inputs!B7,D154&gt;0),D154*Inputs!B6/12,0)</f>
        <v>4.082224539587588</v>
      </c>
      <c r="J154">
        <f t="shared" si="28"/>
        <v>3.9677243024656947</v>
      </c>
      <c r="K154">
        <f>MAX((D154-J154)*Inputs!B32,0)</f>
        <v>67.837983064569414</v>
      </c>
      <c r="L154">
        <f>MAX((D154-J154-K154)*Inputs!B33,0)</f>
        <v>2.6493860930372808</v>
      </c>
      <c r="M154">
        <f>MIN(E154*Inputs!B29,E154)</f>
        <v>2.3297533804637207</v>
      </c>
      <c r="N154">
        <f>MIN((E154-M154)*Inputs!B30,E154-M154)</f>
        <v>0.86533696988652486</v>
      </c>
      <c r="O154">
        <f>MIN(F154*Inputs!B31,F154)</f>
        <v>2.2421904680311031</v>
      </c>
      <c r="P154">
        <f>MIN((F154-O154)*Inputs!B34,F154-O154)</f>
        <v>0.1437359495576199</v>
      </c>
      <c r="Q154">
        <f>P154*Inputs!B35</f>
        <v>3.5933987389404974E-2</v>
      </c>
      <c r="R154">
        <f>C154*Inputs!B8/12</f>
        <v>0.36553494641933565</v>
      </c>
      <c r="S154">
        <f t="shared" si="29"/>
        <v>3.7166895931682524</v>
      </c>
      <c r="T154">
        <f t="shared" si="30"/>
        <v>71.913509329203336</v>
      </c>
      <c r="U154">
        <f t="shared" si="31"/>
        <v>782.05936299800578</v>
      </c>
      <c r="V154">
        <f t="shared" si="32"/>
        <v>6.1107339725833798</v>
      </c>
      <c r="W154">
        <f t="shared" si="33"/>
        <v>17.164331119223661</v>
      </c>
      <c r="X154">
        <f t="shared" si="34"/>
        <v>805.33442808981283</v>
      </c>
      <c r="Y154">
        <f t="shared" si="41"/>
        <v>81618.063340719527</v>
      </c>
      <c r="Z154">
        <f>IF(Inputs!B3&gt;0,(V154+W154)/Inputs!B3,0)</f>
        <v>7.7583550306023472E-8</v>
      </c>
      <c r="AA154">
        <f>IF(OR(Y154/Inputs!B3&gt;=Inputs!B23,Z154&gt;=Inputs!B24),1,0)</f>
        <v>0</v>
      </c>
      <c r="AB154">
        <f t="shared" si="35"/>
        <v>0</v>
      </c>
    </row>
    <row r="155" spans="1:28" x14ac:dyDescent="0.2">
      <c r="A155">
        <v>154</v>
      </c>
      <c r="B155">
        <f t="shared" si="36"/>
        <v>0</v>
      </c>
      <c r="C155">
        <f t="shared" si="37"/>
        <v>805.33442808981283</v>
      </c>
      <c r="D155">
        <f t="shared" si="38"/>
        <v>782.05936299800578</v>
      </c>
      <c r="E155">
        <f t="shared" si="39"/>
        <v>6.1107339725833798</v>
      </c>
      <c r="F155">
        <f t="shared" si="40"/>
        <v>17.164331119223661</v>
      </c>
      <c r="G155">
        <f>MAX(Inputs!B7-A155+1,0)</f>
        <v>147</v>
      </c>
      <c r="H155">
        <f>IF(AND(A155&lt;=Inputs!B7,D155&gt;0),-PMT(Inputs!B6/12,G155,D155),0)</f>
        <v>7.4242040569991783</v>
      </c>
      <c r="I155">
        <f>IF(AND(A155&lt;=Inputs!B7,D155&gt;0),D155*Inputs!B6/12,0)</f>
        <v>3.7473677810321111</v>
      </c>
      <c r="J155">
        <f t="shared" si="28"/>
        <v>3.6768362759670672</v>
      </c>
      <c r="K155">
        <f>MAX((D155-J155)*Inputs!B32,0)</f>
        <v>62.270602137763099</v>
      </c>
      <c r="L155">
        <f>MAX((D155-J155-K155)*Inputs!B33,0)</f>
        <v>2.431954192267439</v>
      </c>
      <c r="M155">
        <f>MIN(E155*Inputs!B29,E155)</f>
        <v>2.1387568904041827</v>
      </c>
      <c r="N155">
        <f>MIN((E155-M155)*Inputs!B30,E155-M155)</f>
        <v>0.79439541643583944</v>
      </c>
      <c r="O155">
        <f>MIN(F155*Inputs!B31,F155)</f>
        <v>2.0597197343068392</v>
      </c>
      <c r="P155">
        <f>MIN((F155-O155)*Inputs!B34,F155-O155)</f>
        <v>0.13203863634882571</v>
      </c>
      <c r="Q155">
        <f>P155*Inputs!B35</f>
        <v>3.3009659087206426E-2</v>
      </c>
      <c r="R155">
        <f>C155*Inputs!B8/12</f>
        <v>0.33555601170408872</v>
      </c>
      <c r="S155">
        <f t="shared" si="29"/>
        <v>3.4118117693280223</v>
      </c>
      <c r="T155">
        <f t="shared" si="30"/>
        <v>66.046467390991779</v>
      </c>
      <c r="U155">
        <f t="shared" si="31"/>
        <v>717.87844701671929</v>
      </c>
      <c r="V155">
        <f t="shared" si="32"/>
        <v>5.6095358580107968</v>
      </c>
      <c r="W155">
        <f t="shared" si="33"/>
        <v>15.766968165003837</v>
      </c>
      <c r="X155">
        <f t="shared" si="34"/>
        <v>739.2549510397339</v>
      </c>
      <c r="Y155">
        <f t="shared" si="41"/>
        <v>81618.096350378619</v>
      </c>
      <c r="Z155">
        <f>IF(Inputs!B3&gt;0,(V155+W155)/Inputs!B3,0)</f>
        <v>7.1255013410048775E-8</v>
      </c>
      <c r="AA155">
        <f>IF(OR(Y155/Inputs!B3&gt;=Inputs!B23,Z155&gt;=Inputs!B24),1,0)</f>
        <v>0</v>
      </c>
      <c r="AB155">
        <f t="shared" si="35"/>
        <v>0</v>
      </c>
    </row>
    <row r="156" spans="1:28" x14ac:dyDescent="0.2">
      <c r="A156">
        <v>155</v>
      </c>
      <c r="B156">
        <f t="shared" si="36"/>
        <v>0</v>
      </c>
      <c r="C156">
        <f t="shared" si="37"/>
        <v>739.2549510397339</v>
      </c>
      <c r="D156">
        <f t="shared" si="38"/>
        <v>717.87844701671929</v>
      </c>
      <c r="E156">
        <f t="shared" si="39"/>
        <v>5.6095358580107968</v>
      </c>
      <c r="F156">
        <f t="shared" si="40"/>
        <v>15.766968165003837</v>
      </c>
      <c r="G156">
        <f>MAX(Inputs!B7-A156+1,0)</f>
        <v>146</v>
      </c>
      <c r="H156">
        <f>IF(AND(A156&lt;=Inputs!B7,D156&gt;0),-PMT(Inputs!B6/12,G156,D156),0)</f>
        <v>6.8471168041481887</v>
      </c>
      <c r="I156">
        <f>IF(AND(A156&lt;=Inputs!B7,D156&gt;0),D156*Inputs!B6/12,0)</f>
        <v>3.4398342252884468</v>
      </c>
      <c r="J156">
        <f t="shared" si="28"/>
        <v>3.4072825788597418</v>
      </c>
      <c r="K156">
        <f>MAX((D156-J156)*Inputs!B32,0)</f>
        <v>57.157693155028767</v>
      </c>
      <c r="L156">
        <f>MAX((D156-J156-K156)*Inputs!B33,0)</f>
        <v>2.2322715168416623</v>
      </c>
      <c r="M156">
        <f>MIN(E156*Inputs!B29,E156)</f>
        <v>1.9633375503037787</v>
      </c>
      <c r="N156">
        <f>MIN((E156-M156)*Inputs!B30,E156-M156)</f>
        <v>0.72923966154140363</v>
      </c>
      <c r="O156">
        <f>MIN(F156*Inputs!B31,F156)</f>
        <v>1.8920361798004603</v>
      </c>
      <c r="P156">
        <f>MIN((F156-O156)*Inputs!B34,F156-O156)</f>
        <v>0.12128925743752576</v>
      </c>
      <c r="Q156">
        <f>P156*Inputs!B35</f>
        <v>3.0322314359381441E-2</v>
      </c>
      <c r="R156">
        <f>C156*Inputs!B8/12</f>
        <v>0.30802289626655582</v>
      </c>
      <c r="S156">
        <f t="shared" si="29"/>
        <v>3.131811329021891</v>
      </c>
      <c r="T156">
        <f t="shared" si="30"/>
        <v>60.655942676966653</v>
      </c>
      <c r="U156">
        <f t="shared" si="31"/>
        <v>658.93657349609327</v>
      </c>
      <c r="V156">
        <f t="shared" si="32"/>
        <v>5.1492301630072763</v>
      </c>
      <c r="W156">
        <f t="shared" si="33"/>
        <v>14.482882389307253</v>
      </c>
      <c r="X156">
        <f t="shared" si="34"/>
        <v>678.56868604840781</v>
      </c>
      <c r="Y156">
        <f t="shared" si="41"/>
        <v>81618.126672692975</v>
      </c>
      <c r="Z156">
        <f>IF(Inputs!B3&gt;0,(V156+W156)/Inputs!B3,0)</f>
        <v>6.5440375174381776E-8</v>
      </c>
      <c r="AA156">
        <f>IF(OR(Y156/Inputs!B3&gt;=Inputs!B23,Z156&gt;=Inputs!B24),1,0)</f>
        <v>0</v>
      </c>
      <c r="AB156">
        <f t="shared" si="35"/>
        <v>0</v>
      </c>
    </row>
    <row r="157" spans="1:28" x14ac:dyDescent="0.2">
      <c r="A157">
        <v>156</v>
      </c>
      <c r="B157">
        <f t="shared" si="36"/>
        <v>0</v>
      </c>
      <c r="C157">
        <f t="shared" si="37"/>
        <v>678.56868604840781</v>
      </c>
      <c r="D157">
        <f t="shared" si="38"/>
        <v>658.93657349609327</v>
      </c>
      <c r="E157">
        <f t="shared" si="39"/>
        <v>5.1492301630072763</v>
      </c>
      <c r="F157">
        <f t="shared" si="40"/>
        <v>14.482882389307253</v>
      </c>
      <c r="G157">
        <f>MAX(Inputs!B7-A157+1,0)</f>
        <v>145</v>
      </c>
      <c r="H157">
        <f>IF(AND(A157&lt;=Inputs!B7,D157&gt;0),-PMT(Inputs!B6/12,G157,D157),0)</f>
        <v>6.314902419893726</v>
      </c>
      <c r="I157">
        <f>IF(AND(A157&lt;=Inputs!B7,D157&gt;0),D157*Inputs!B6/12,0)</f>
        <v>3.1574044146687803</v>
      </c>
      <c r="J157">
        <f t="shared" si="28"/>
        <v>3.1574980052249457</v>
      </c>
      <c r="K157">
        <f>MAX((D157-J157)*Inputs!B32,0)</f>
        <v>52.462326039269463</v>
      </c>
      <c r="L157">
        <f>MAX((D157-J157-K157)*Inputs!B33,0)</f>
        <v>2.048895776935646</v>
      </c>
      <c r="M157">
        <f>MIN(E157*Inputs!B29,E157)</f>
        <v>1.8022305570525465</v>
      </c>
      <c r="N157">
        <f>MIN((E157-M157)*Inputs!B30,E157-M157)</f>
        <v>0.66939992119094605</v>
      </c>
      <c r="O157">
        <f>MIN(F157*Inputs!B31,F157)</f>
        <v>1.7379458867168702</v>
      </c>
      <c r="P157">
        <f>MIN((F157-O157)*Inputs!B34,F157-O157)</f>
        <v>0.11141127654795821</v>
      </c>
      <c r="Q157">
        <f>P157*Inputs!B35</f>
        <v>2.7852819136989553E-2</v>
      </c>
      <c r="R157">
        <f>C157*Inputs!B8/12</f>
        <v>0.28273695252016989</v>
      </c>
      <c r="S157">
        <f t="shared" si="29"/>
        <v>2.8746674621486106</v>
      </c>
      <c r="T157">
        <f t="shared" si="30"/>
        <v>55.703382501905374</v>
      </c>
      <c r="U157">
        <f t="shared" si="31"/>
        <v>604.80803011843261</v>
      </c>
      <c r="V157">
        <f t="shared" si="32"/>
        <v>4.7264954616994297</v>
      </c>
      <c r="W157">
        <f t="shared" si="33"/>
        <v>13.30292514723337</v>
      </c>
      <c r="X157">
        <f t="shared" si="34"/>
        <v>622.83745072736542</v>
      </c>
      <c r="Y157">
        <f t="shared" si="41"/>
        <v>81618.154525512116</v>
      </c>
      <c r="Z157">
        <f>IF(Inputs!B3&gt;0,(V157+W157)/Inputs!B3,0)</f>
        <v>6.009806869644266E-8</v>
      </c>
      <c r="AA157">
        <f>IF(OR(Y157/Inputs!B3&gt;=Inputs!B23,Z157&gt;=Inputs!B24),1,0)</f>
        <v>0</v>
      </c>
      <c r="AB157">
        <f t="shared" si="35"/>
        <v>0</v>
      </c>
    </row>
    <row r="158" spans="1:28" x14ac:dyDescent="0.2">
      <c r="A158">
        <v>157</v>
      </c>
      <c r="B158">
        <f t="shared" si="36"/>
        <v>0</v>
      </c>
      <c r="C158">
        <f t="shared" si="37"/>
        <v>622.83745072736542</v>
      </c>
      <c r="D158">
        <f t="shared" si="38"/>
        <v>604.80803011843261</v>
      </c>
      <c r="E158">
        <f t="shared" si="39"/>
        <v>4.7264954616994297</v>
      </c>
      <c r="F158">
        <f t="shared" si="40"/>
        <v>13.30292514723337</v>
      </c>
      <c r="G158">
        <f>MAX(Inputs!B7-A158+1,0)</f>
        <v>144</v>
      </c>
      <c r="H158">
        <f>IF(AND(A158&lt;=Inputs!B7,D158&gt;0),-PMT(Inputs!B6/12,G158,D158),0)</f>
        <v>5.8240706904336585</v>
      </c>
      <c r="I158">
        <f>IF(AND(A158&lt;=Inputs!B7,D158&gt;0),D158*Inputs!B6/12,0)</f>
        <v>2.898038477650823</v>
      </c>
      <c r="J158">
        <f t="shared" si="28"/>
        <v>2.9260322127828355</v>
      </c>
      <c r="K158">
        <f>MAX((D158-J158)*Inputs!B32,0)</f>
        <v>48.150559832451982</v>
      </c>
      <c r="L158">
        <f>MAX((D158-J158-K158)*Inputs!B33,0)</f>
        <v>1.8805014216097036</v>
      </c>
      <c r="M158">
        <f>MIN(E158*Inputs!B29,E158)</f>
        <v>1.6542734115948003</v>
      </c>
      <c r="N158">
        <f>MIN((E158-M158)*Inputs!B30,E158-M158)</f>
        <v>0.61444441002092587</v>
      </c>
      <c r="O158">
        <f>MIN(F158*Inputs!B31,F158)</f>
        <v>1.5963510176680045</v>
      </c>
      <c r="P158">
        <f>MIN((F158-O158)*Inputs!B34,F158-O158)</f>
        <v>0.10233431665297785</v>
      </c>
      <c r="Q158">
        <f>P158*Inputs!B35</f>
        <v>2.5583579163244462E-2</v>
      </c>
      <c r="R158">
        <f>C158*Inputs!B8/12</f>
        <v>0.25951560446973559</v>
      </c>
      <c r="S158">
        <f t="shared" si="29"/>
        <v>2.6385228731810875</v>
      </c>
      <c r="T158">
        <f t="shared" si="30"/>
        <v>51.15334278272455</v>
      </c>
      <c r="U158">
        <f t="shared" si="31"/>
        <v>555.10156108085084</v>
      </c>
      <c r="V158">
        <f t="shared" si="32"/>
        <v>4.3382790616934068</v>
      </c>
      <c r="W158">
        <f t="shared" si="33"/>
        <v>12.218684222933314</v>
      </c>
      <c r="X158">
        <f t="shared" si="34"/>
        <v>571.65852436547755</v>
      </c>
      <c r="Y158">
        <f t="shared" si="41"/>
        <v>81618.180109091278</v>
      </c>
      <c r="Z158">
        <f>IF(Inputs!B3&gt;0,(V158+W158)/Inputs!B3,0)</f>
        <v>5.5189877615422406E-8</v>
      </c>
      <c r="AA158">
        <f>IF(OR(Y158/Inputs!B3&gt;=Inputs!B23,Z158&gt;=Inputs!B24),1,0)</f>
        <v>0</v>
      </c>
      <c r="AB158">
        <f t="shared" si="35"/>
        <v>0</v>
      </c>
    </row>
    <row r="159" spans="1:28" x14ac:dyDescent="0.2">
      <c r="A159">
        <v>158</v>
      </c>
      <c r="B159">
        <f t="shared" si="36"/>
        <v>0</v>
      </c>
      <c r="C159">
        <f t="shared" si="37"/>
        <v>571.65852436547755</v>
      </c>
      <c r="D159">
        <f t="shared" si="38"/>
        <v>555.10156108085084</v>
      </c>
      <c r="E159">
        <f t="shared" si="39"/>
        <v>4.3382790616934068</v>
      </c>
      <c r="F159">
        <f t="shared" si="40"/>
        <v>12.218684222933314</v>
      </c>
      <c r="G159">
        <f>MAX(Inputs!B7-A159+1,0)</f>
        <v>143</v>
      </c>
      <c r="H159">
        <f>IF(AND(A159&lt;=Inputs!B7,D159&gt;0),-PMT(Inputs!B6/12,G159,D159),0)</f>
        <v>5.3714029383742199</v>
      </c>
      <c r="I159">
        <f>IF(AND(A159&lt;=Inputs!B7,D159&gt;0),D159*Inputs!B6/12,0)</f>
        <v>2.6598616468457439</v>
      </c>
      <c r="J159">
        <f t="shared" si="28"/>
        <v>2.711541291528476</v>
      </c>
      <c r="K159">
        <f>MAX((D159-J159)*Inputs!B32,0)</f>
        <v>44.191201583145798</v>
      </c>
      <c r="L159">
        <f>MAX((D159-J159-K159)*Inputs!B33,0)</f>
        <v>1.7258702222552091</v>
      </c>
      <c r="M159">
        <f>MIN(E159*Inputs!B29,E159)</f>
        <v>1.5183976715926923</v>
      </c>
      <c r="N159">
        <f>MIN((E159-M159)*Inputs!B30,E159-M159)</f>
        <v>0.56397627802014294</v>
      </c>
      <c r="O159">
        <f>MIN(F159*Inputs!B31,F159)</f>
        <v>1.4662421067519977</v>
      </c>
      <c r="P159">
        <f>MIN((F159-O159)*Inputs!B34,F159-O159)</f>
        <v>9.3993665792552999E-2</v>
      </c>
      <c r="Q159">
        <f>P159*Inputs!B35</f>
        <v>2.349841644813825E-2</v>
      </c>
      <c r="R159">
        <f>C159*Inputs!B8/12</f>
        <v>0.23819105181894898</v>
      </c>
      <c r="S159">
        <f t="shared" si="29"/>
        <v>2.4216705950267947</v>
      </c>
      <c r="T159">
        <f t="shared" si="30"/>
        <v>46.973238124018685</v>
      </c>
      <c r="U159">
        <f t="shared" si="31"/>
        <v>509.45758776226614</v>
      </c>
      <c r="V159">
        <f t="shared" si="32"/>
        <v>3.9817753343357811</v>
      </c>
      <c r="W159">
        <f t="shared" si="33"/>
        <v>11.222424728408907</v>
      </c>
      <c r="X159">
        <f t="shared" si="34"/>
        <v>524.66178782501083</v>
      </c>
      <c r="Y159">
        <f t="shared" si="41"/>
        <v>81618.203607507719</v>
      </c>
      <c r="Z159">
        <f>IF(Inputs!B3&gt;0,(V159+W159)/Inputs!B3,0)</f>
        <v>5.0680666875815625E-8</v>
      </c>
      <c r="AA159">
        <f>IF(OR(Y159/Inputs!B3&gt;=Inputs!B23,Z159&gt;=Inputs!B24),1,0)</f>
        <v>0</v>
      </c>
      <c r="AB159">
        <f t="shared" si="35"/>
        <v>0</v>
      </c>
    </row>
    <row r="160" spans="1:28" x14ac:dyDescent="0.2">
      <c r="A160">
        <v>159</v>
      </c>
      <c r="B160">
        <f t="shared" si="36"/>
        <v>0</v>
      </c>
      <c r="C160">
        <f t="shared" si="37"/>
        <v>524.66178782501083</v>
      </c>
      <c r="D160">
        <f t="shared" si="38"/>
        <v>509.45758776226614</v>
      </c>
      <c r="E160">
        <f t="shared" si="39"/>
        <v>3.9817753343357811</v>
      </c>
      <c r="F160">
        <f t="shared" si="40"/>
        <v>11.222424728408907</v>
      </c>
      <c r="G160">
        <f>MAX(Inputs!B7-A160+1,0)</f>
        <v>142</v>
      </c>
      <c r="H160">
        <f>IF(AND(A160&lt;=Inputs!B7,D160&gt;0),-PMT(Inputs!B6/12,G160,D160),0)</f>
        <v>4.9539308927539283</v>
      </c>
      <c r="I160">
        <f>IF(AND(A160&lt;=Inputs!B7,D160&gt;0),D160*Inputs!B6/12,0)</f>
        <v>2.4411509413608585</v>
      </c>
      <c r="J160">
        <f t="shared" si="28"/>
        <v>2.5127799513930698</v>
      </c>
      <c r="K160">
        <f>MAX((D160-J160)*Inputs!B32,0)</f>
        <v>40.555584624869851</v>
      </c>
      <c r="L160">
        <f>MAX((D160-J160-K160)*Inputs!B33,0)</f>
        <v>1.5838826133415018</v>
      </c>
      <c r="M160">
        <f>MIN(E160*Inputs!B29,E160)</f>
        <v>1.3936213670175233</v>
      </c>
      <c r="N160">
        <f>MIN((E160-M160)*Inputs!B30,E160-M160)</f>
        <v>0.5176307934636516</v>
      </c>
      <c r="O160">
        <f>MIN(F160*Inputs!B31,F160)</f>
        <v>1.3466909674090688</v>
      </c>
      <c r="P160">
        <f>MIN((F160-O160)*Inputs!B34,F160-O160)</f>
        <v>8.6329822430824432E-2</v>
      </c>
      <c r="Q160">
        <f>P160*Inputs!B35</f>
        <v>2.1582455607706108E-2</v>
      </c>
      <c r="R160">
        <f>C160*Inputs!B8/12</f>
        <v>0.2186090782604212</v>
      </c>
      <c r="S160">
        <f t="shared" si="29"/>
        <v>2.2225418631004374</v>
      </c>
      <c r="T160">
        <f t="shared" si="30"/>
        <v>43.133111943086043</v>
      </c>
      <c r="U160">
        <f t="shared" si="31"/>
        <v>467.54565290708837</v>
      </c>
      <c r="V160">
        <f t="shared" si="32"/>
        <v>3.654405787196108</v>
      </c>
      <c r="W160">
        <f t="shared" si="33"/>
        <v>10.307034732032664</v>
      </c>
      <c r="X160">
        <f t="shared" si="34"/>
        <v>481.50709342631711</v>
      </c>
      <c r="Y160">
        <f t="shared" si="41"/>
        <v>81618.225189963327</v>
      </c>
      <c r="Z160">
        <f>IF(Inputs!B3&gt;0,(V160+W160)/Inputs!B3,0)</f>
        <v>4.6538135064095906E-8</v>
      </c>
      <c r="AA160">
        <f>IF(OR(Y160/Inputs!B3&gt;=Inputs!B23,Z160&gt;=Inputs!B24),1,0)</f>
        <v>0</v>
      </c>
      <c r="AB160">
        <f t="shared" si="35"/>
        <v>0</v>
      </c>
    </row>
    <row r="161" spans="1:28" x14ac:dyDescent="0.2">
      <c r="A161">
        <v>160</v>
      </c>
      <c r="B161">
        <f t="shared" si="36"/>
        <v>0</v>
      </c>
      <c r="C161">
        <f t="shared" si="37"/>
        <v>481.50709342631711</v>
      </c>
      <c r="D161">
        <f t="shared" si="38"/>
        <v>467.54565290708837</v>
      </c>
      <c r="E161">
        <f t="shared" si="39"/>
        <v>3.654405787196108</v>
      </c>
      <c r="F161">
        <f t="shared" si="40"/>
        <v>10.307034732032664</v>
      </c>
      <c r="G161">
        <f>MAX(Inputs!B7-A161+1,0)</f>
        <v>141</v>
      </c>
      <c r="H161">
        <f>IF(AND(A161&lt;=Inputs!B7,D161&gt;0),-PMT(Inputs!B6/12,G161,D161),0)</f>
        <v>4.5689172036521493</v>
      </c>
      <c r="I161">
        <f>IF(AND(A161&lt;=Inputs!B7,D161&gt;0),D161*Inputs!B6/12,0)</f>
        <v>2.2403229201797985</v>
      </c>
      <c r="J161">
        <f t="shared" si="28"/>
        <v>2.3285942834723508</v>
      </c>
      <c r="K161">
        <f>MAX((D161-J161)*Inputs!B32,0)</f>
        <v>37.21736468988928</v>
      </c>
      <c r="L161">
        <f>MAX((D161-J161-K161)*Inputs!B33,0)</f>
        <v>1.4535097297193689</v>
      </c>
      <c r="M161">
        <f>MIN(E161*Inputs!B29,E161)</f>
        <v>1.2790420255186377</v>
      </c>
      <c r="N161">
        <f>MIN((E161-M161)*Inputs!B30,E161-M161)</f>
        <v>0.47507275233549412</v>
      </c>
      <c r="O161">
        <f>MIN(F161*Inputs!B31,F161)</f>
        <v>1.2368441678439195</v>
      </c>
      <c r="P161">
        <f>MIN((F161-O161)*Inputs!B34,F161-O161)</f>
        <v>7.9288077197099155E-2</v>
      </c>
      <c r="Q161">
        <f>P161*Inputs!B35</f>
        <v>1.9822019299274789E-2</v>
      </c>
      <c r="R161">
        <f>C161*Inputs!B8/12</f>
        <v>0.2006279555942988</v>
      </c>
      <c r="S161">
        <f t="shared" si="29"/>
        <v>2.0396949645854998</v>
      </c>
      <c r="T161">
        <f t="shared" si="30"/>
        <v>39.60542503125945</v>
      </c>
      <c r="U161">
        <f t="shared" si="31"/>
        <v>429.06207039736995</v>
      </c>
      <c r="V161">
        <f t="shared" si="32"/>
        <v>3.3538007390613451</v>
      </c>
      <c r="W161">
        <f t="shared" si="33"/>
        <v>9.4659752393271397</v>
      </c>
      <c r="X161">
        <f t="shared" si="34"/>
        <v>441.88184637575841</v>
      </c>
      <c r="Y161">
        <f t="shared" si="41"/>
        <v>81618.245011982624</v>
      </c>
      <c r="Z161">
        <f>IF(Inputs!B3&gt;0,(V161+W161)/Inputs!B3,0)</f>
        <v>4.2732586594628283E-8</v>
      </c>
      <c r="AA161">
        <f>IF(OR(Y161/Inputs!B3&gt;=Inputs!B23,Z161&gt;=Inputs!B24),1,0)</f>
        <v>0</v>
      </c>
      <c r="AB161">
        <f t="shared" si="35"/>
        <v>0</v>
      </c>
    </row>
    <row r="162" spans="1:28" x14ac:dyDescent="0.2">
      <c r="A162">
        <v>161</v>
      </c>
      <c r="B162">
        <f t="shared" si="36"/>
        <v>0</v>
      </c>
      <c r="C162">
        <f t="shared" si="37"/>
        <v>441.88184637575841</v>
      </c>
      <c r="D162">
        <f t="shared" si="38"/>
        <v>429.06207039736995</v>
      </c>
      <c r="E162">
        <f t="shared" si="39"/>
        <v>3.3538007390613451</v>
      </c>
      <c r="F162">
        <f t="shared" si="40"/>
        <v>9.4659752393271397</v>
      </c>
      <c r="G162">
        <f>MAX(Inputs!B7-A162+1,0)</f>
        <v>140</v>
      </c>
      <c r="H162">
        <f>IF(AND(A162&lt;=Inputs!B7,D162&gt;0),-PMT(Inputs!B6/12,G162,D162),0)</f>
        <v>4.2138374733570858</v>
      </c>
      <c r="I162">
        <f>IF(AND(A162&lt;=Inputs!B7,D162&gt;0),D162*Inputs!B6/12,0)</f>
        <v>2.0559224206540647</v>
      </c>
      <c r="J162">
        <f t="shared" si="28"/>
        <v>2.1579150527030211</v>
      </c>
      <c r="K162">
        <f>MAX((D162-J162)*Inputs!B32,0)</f>
        <v>34.152332427573356</v>
      </c>
      <c r="L162">
        <f>MAX((D162-J162-K162)*Inputs!B33,0)</f>
        <v>1.3338060845982984</v>
      </c>
      <c r="M162">
        <f>MIN(E162*Inputs!B29,E162)</f>
        <v>1.1738302586714706</v>
      </c>
      <c r="N162">
        <f>MIN((E162-M162)*Inputs!B30,E162-M162)</f>
        <v>0.4359940960779749</v>
      </c>
      <c r="O162">
        <f>MIN(F162*Inputs!B31,F162)</f>
        <v>1.1359170287192568</v>
      </c>
      <c r="P162">
        <f>MIN((F162-O162)*Inputs!B34,F162-O162)</f>
        <v>7.2818128107111232E-2</v>
      </c>
      <c r="Q162">
        <f>P162*Inputs!B35</f>
        <v>1.8204532026777808E-2</v>
      </c>
      <c r="R162">
        <f>C162*Inputs!B8/12</f>
        <v>0.18411743598989935</v>
      </c>
      <c r="S162">
        <f t="shared" si="29"/>
        <v>1.8718049846641653</v>
      </c>
      <c r="T162">
        <f t="shared" si="30"/>
        <v>36.364861076356704</v>
      </c>
      <c r="U162">
        <f t="shared" si="31"/>
        <v>393.72776411988599</v>
      </c>
      <c r="V162">
        <f t="shared" si="32"/>
        <v>3.0777824689101978</v>
      </c>
      <c r="W162">
        <f t="shared" si="33"/>
        <v>8.6932341785787468</v>
      </c>
      <c r="X162">
        <f t="shared" si="34"/>
        <v>405.49878076737491</v>
      </c>
      <c r="Y162">
        <f t="shared" si="41"/>
        <v>81618.26321651465</v>
      </c>
      <c r="Z162">
        <f>IF(Inputs!B3&gt;0,(V162+W162)/Inputs!B3,0)</f>
        <v>3.9236722158296482E-8</v>
      </c>
      <c r="AA162">
        <f>IF(OR(Y162/Inputs!B3&gt;=Inputs!B23,Z162&gt;=Inputs!B24),1,0)</f>
        <v>0</v>
      </c>
      <c r="AB162">
        <f t="shared" si="35"/>
        <v>0</v>
      </c>
    </row>
    <row r="163" spans="1:28" x14ac:dyDescent="0.2">
      <c r="A163">
        <v>162</v>
      </c>
      <c r="B163">
        <f t="shared" si="36"/>
        <v>0</v>
      </c>
      <c r="C163">
        <f t="shared" si="37"/>
        <v>405.49878076737491</v>
      </c>
      <c r="D163">
        <f t="shared" si="38"/>
        <v>393.72776411988599</v>
      </c>
      <c r="E163">
        <f t="shared" si="39"/>
        <v>3.0777824689101978</v>
      </c>
      <c r="F163">
        <f t="shared" si="40"/>
        <v>8.6932341785787468</v>
      </c>
      <c r="G163">
        <f>MAX(Inputs!B7-A163+1,0)</f>
        <v>139</v>
      </c>
      <c r="H163">
        <f>IF(AND(A163&lt;=Inputs!B7,D163&gt;0),-PMT(Inputs!B6/12,G163,D163),0)</f>
        <v>3.8863636860362107</v>
      </c>
      <c r="I163">
        <f>IF(AND(A163&lt;=Inputs!B7,D163&gt;0),D163*Inputs!B6/12,0)</f>
        <v>1.8866122030744537</v>
      </c>
      <c r="J163">
        <f t="shared" si="28"/>
        <v>1.9997514829617571</v>
      </c>
      <c r="K163">
        <f>MAX((D163-J163)*Inputs!B32,0)</f>
        <v>31.33824101095394</v>
      </c>
      <c r="L163">
        <f>MAX((D163-J163-K163)*Inputs!B33,0)</f>
        <v>1.2239028367875451</v>
      </c>
      <c r="M163">
        <f>MIN(E163*Inputs!B29,E163)</f>
        <v>1.0772238641185692</v>
      </c>
      <c r="N163">
        <f>MIN((E163-M163)*Inputs!B30,E163-M163)</f>
        <v>0.40011172095832576</v>
      </c>
      <c r="O163">
        <f>MIN(F163*Inputs!B31,F163)</f>
        <v>1.0431881014294495</v>
      </c>
      <c r="P163">
        <f>MIN((F163-O163)*Inputs!B34,F163-O163)</f>
        <v>6.6873726591942975E-2</v>
      </c>
      <c r="Q163">
        <f>P163*Inputs!B35</f>
        <v>1.6718431647985744E-2</v>
      </c>
      <c r="R163">
        <f>C163*Inputs!B8/12</f>
        <v>0.16895782531973955</v>
      </c>
      <c r="S163">
        <f t="shared" si="29"/>
        <v>1.7176543777547142</v>
      </c>
      <c r="T163">
        <f t="shared" si="30"/>
        <v>33.388147788859655</v>
      </c>
      <c r="U163">
        <f t="shared" si="31"/>
        <v>361.2862807547308</v>
      </c>
      <c r="V163">
        <f t="shared" si="32"/>
        <v>2.8243497206208481</v>
      </c>
      <c r="W163">
        <f t="shared" si="33"/>
        <v>7.9832840715156799</v>
      </c>
      <c r="X163">
        <f t="shared" si="34"/>
        <v>372.09391454686732</v>
      </c>
      <c r="Y163">
        <f t="shared" si="41"/>
        <v>81618.279934946302</v>
      </c>
      <c r="Z163">
        <f>IF(Inputs!B3&gt;0,(V163+W163)/Inputs!B3,0)</f>
        <v>3.602544597378843E-8</v>
      </c>
      <c r="AA163">
        <f>IF(OR(Y163/Inputs!B3&gt;=Inputs!B23,Z163&gt;=Inputs!B24),1,0)</f>
        <v>0</v>
      </c>
      <c r="AB163">
        <f t="shared" si="35"/>
        <v>0</v>
      </c>
    </row>
    <row r="164" spans="1:28" x14ac:dyDescent="0.2">
      <c r="A164">
        <v>163</v>
      </c>
      <c r="B164">
        <f t="shared" si="36"/>
        <v>0</v>
      </c>
      <c r="C164">
        <f t="shared" si="37"/>
        <v>372.09391454686732</v>
      </c>
      <c r="D164">
        <f t="shared" si="38"/>
        <v>361.2862807547308</v>
      </c>
      <c r="E164">
        <f t="shared" si="39"/>
        <v>2.8243497206208481</v>
      </c>
      <c r="F164">
        <f t="shared" si="40"/>
        <v>7.9832840715156799</v>
      </c>
      <c r="G164">
        <f>MAX(Inputs!B7-A164+1,0)</f>
        <v>138</v>
      </c>
      <c r="H164">
        <f>IF(AND(A164&lt;=Inputs!B7,D164&gt;0),-PMT(Inputs!B6/12,G164,D164),0)</f>
        <v>3.5843489270440791</v>
      </c>
      <c r="I164">
        <f>IF(AND(A164&lt;=Inputs!B7,D164&gt;0),D164*Inputs!B6/12,0)</f>
        <v>1.7311634286164184</v>
      </c>
      <c r="J164">
        <f t="shared" si="28"/>
        <v>1.8531854984276608</v>
      </c>
      <c r="K164">
        <f>MAX((D164-J164)*Inputs!B32,0)</f>
        <v>28.754647620504251</v>
      </c>
      <c r="L164">
        <f>MAX((D164-J164-K164)*Inputs!B33,0)</f>
        <v>1.1230015999066474</v>
      </c>
      <c r="M164">
        <f>MIN(E164*Inputs!B29,E164)</f>
        <v>0.98852240221729681</v>
      </c>
      <c r="N164">
        <f>MIN((E164-M164)*Inputs!B30,E164-M164)</f>
        <v>0.36716546368071024</v>
      </c>
      <c r="O164">
        <f>MIN(F164*Inputs!B31,F164)</f>
        <v>0.95799408858188151</v>
      </c>
      <c r="P164">
        <f>MIN((F164-O164)*Inputs!B34,F164-O164)</f>
        <v>6.1412351874735233E-2</v>
      </c>
      <c r="Q164">
        <f>P164*Inputs!B35</f>
        <v>1.5353087968683808E-2</v>
      </c>
      <c r="R164">
        <f>C164*Inputs!B8/12</f>
        <v>0.15503913106119471</v>
      </c>
      <c r="S164">
        <f t="shared" si="29"/>
        <v>1.5761242975552237</v>
      </c>
      <c r="T164">
        <f t="shared" si="30"/>
        <v>30.653892382837963</v>
      </c>
      <c r="U164">
        <f t="shared" si="31"/>
        <v>331.50196252669139</v>
      </c>
      <c r="V164">
        <f t="shared" si="32"/>
        <v>2.5916634546294883</v>
      </c>
      <c r="W164">
        <f t="shared" si="33"/>
        <v>7.3310430947397727</v>
      </c>
      <c r="X164">
        <f t="shared" si="34"/>
        <v>341.42466907606064</v>
      </c>
      <c r="Y164">
        <f t="shared" si="41"/>
        <v>81618.295288034264</v>
      </c>
      <c r="Z164">
        <f>IF(Inputs!B3&gt;0,(V164+W164)/Inputs!B3,0)</f>
        <v>3.3075688497897538E-8</v>
      </c>
      <c r="AA164">
        <f>IF(OR(Y164/Inputs!B3&gt;=Inputs!B23,Z164&gt;=Inputs!B24),1,0)</f>
        <v>0</v>
      </c>
      <c r="AB164">
        <f t="shared" si="35"/>
        <v>0</v>
      </c>
    </row>
    <row r="165" spans="1:28" x14ac:dyDescent="0.2">
      <c r="A165">
        <v>164</v>
      </c>
      <c r="B165">
        <f t="shared" si="36"/>
        <v>0</v>
      </c>
      <c r="C165">
        <f t="shared" si="37"/>
        <v>341.42466907606064</v>
      </c>
      <c r="D165">
        <f t="shared" si="38"/>
        <v>331.50196252669139</v>
      </c>
      <c r="E165">
        <f t="shared" si="39"/>
        <v>2.5916634546294883</v>
      </c>
      <c r="F165">
        <f t="shared" si="40"/>
        <v>7.3310430947397727</v>
      </c>
      <c r="G165">
        <f>MAX(Inputs!B7-A165+1,0)</f>
        <v>137</v>
      </c>
      <c r="H165">
        <f>IF(AND(A165&lt;=Inputs!B7,D165&gt;0),-PMT(Inputs!B6/12,G165,D165),0)</f>
        <v>3.3058132914785232</v>
      </c>
      <c r="I165">
        <f>IF(AND(A165&lt;=Inputs!B7,D165&gt;0),D165*Inputs!B6/12,0)</f>
        <v>1.5884469037737297</v>
      </c>
      <c r="J165">
        <f t="shared" si="28"/>
        <v>1.7173663877047936</v>
      </c>
      <c r="K165">
        <f>MAX((D165-J165)*Inputs!B32,0)</f>
        <v>26.382767691118929</v>
      </c>
      <c r="L165">
        <f>MAX((D165-J165-K165)*Inputs!B33,0)</f>
        <v>1.0303687500578176</v>
      </c>
      <c r="M165">
        <f>MIN(E165*Inputs!B29,E165)</f>
        <v>0.90708220912032089</v>
      </c>
      <c r="N165">
        <f>MIN((E165-M165)*Inputs!B30,E165-M165)</f>
        <v>0.33691624910183349</v>
      </c>
      <c r="O165">
        <f>MIN(F165*Inputs!B31,F165)</f>
        <v>0.87972517136877271</v>
      </c>
      <c r="P165">
        <f>MIN((F165-O165)*Inputs!B34,F165-O165)</f>
        <v>5.6394911431171237E-2</v>
      </c>
      <c r="Q165">
        <f>P165*Inputs!B35</f>
        <v>1.4098727857792809E-2</v>
      </c>
      <c r="R165">
        <f>C165*Inputs!B8/12</f>
        <v>0.14226027878169192</v>
      </c>
      <c r="S165">
        <f t="shared" si="29"/>
        <v>1.4461866249920377</v>
      </c>
      <c r="T165">
        <f t="shared" si="30"/>
        <v>28.142430262397099</v>
      </c>
      <c r="U165">
        <f t="shared" si="31"/>
        <v>304.15826707829899</v>
      </c>
      <c r="V165">
        <f t="shared" si="32"/>
        <v>2.3780337464651513</v>
      </c>
      <c r="W165">
        <f t="shared" si="33"/>
        <v>6.731839261041662</v>
      </c>
      <c r="X165">
        <f t="shared" si="34"/>
        <v>313.26814008580584</v>
      </c>
      <c r="Y165">
        <f t="shared" si="41"/>
        <v>81618.309386762121</v>
      </c>
      <c r="Z165">
        <f>IF(Inputs!B3&gt;0,(V165+W165)/Inputs!B3,0)</f>
        <v>3.0366243358356046E-8</v>
      </c>
      <c r="AA165">
        <f>IF(OR(Y165/Inputs!B3&gt;=Inputs!B23,Z165&gt;=Inputs!B24),1,0)</f>
        <v>0</v>
      </c>
      <c r="AB165">
        <f t="shared" si="35"/>
        <v>0</v>
      </c>
    </row>
    <row r="166" spans="1:28" x14ac:dyDescent="0.2">
      <c r="A166">
        <v>165</v>
      </c>
      <c r="B166">
        <f t="shared" si="36"/>
        <v>0</v>
      </c>
      <c r="C166">
        <f t="shared" si="37"/>
        <v>313.26814008580584</v>
      </c>
      <c r="D166">
        <f t="shared" si="38"/>
        <v>304.15826707829899</v>
      </c>
      <c r="E166">
        <f t="shared" si="39"/>
        <v>2.3780337464651513</v>
      </c>
      <c r="F166">
        <f t="shared" si="40"/>
        <v>6.731839261041662</v>
      </c>
      <c r="G166">
        <f>MAX(Inputs!B7-A166+1,0)</f>
        <v>136</v>
      </c>
      <c r="H166">
        <f>IF(AND(A166&lt;=Inputs!B7,D166&gt;0),-PMT(Inputs!B6/12,G166,D166),0)</f>
        <v>3.0489308894122957</v>
      </c>
      <c r="I166">
        <f>IF(AND(A166&lt;=Inputs!B7,D166&gt;0),D166*Inputs!B6/12,0)</f>
        <v>1.4574250297501827</v>
      </c>
      <c r="J166">
        <f t="shared" si="28"/>
        <v>1.591505859662113</v>
      </c>
      <c r="K166">
        <f>MAX((D166-J166)*Inputs!B32,0)</f>
        <v>24.205340897490952</v>
      </c>
      <c r="L166">
        <f>MAX((D166-J166-K166)*Inputs!B33,0)</f>
        <v>0.94533019193686296</v>
      </c>
      <c r="M166">
        <f>MIN(E166*Inputs!B29,E166)</f>
        <v>0.83231181126280296</v>
      </c>
      <c r="N166">
        <f>MIN((E166-M166)*Inputs!B30,E166-M166)</f>
        <v>0.3091443870404697</v>
      </c>
      <c r="O166">
        <f>MIN(F166*Inputs!B31,F166)</f>
        <v>0.80782071132499944</v>
      </c>
      <c r="P166">
        <f>MIN((F166-O166)*Inputs!B34,F166-O166)</f>
        <v>5.1785465450029759E-2</v>
      </c>
      <c r="Q166">
        <f>P166*Inputs!B35</f>
        <v>1.294636636250744E-2</v>
      </c>
      <c r="R166">
        <f>C166*Inputs!B8/12</f>
        <v>0.13052839170241912</v>
      </c>
      <c r="S166">
        <f t="shared" si="29"/>
        <v>1.3268966380477636</v>
      </c>
      <c r="T166">
        <f t="shared" si="30"/>
        <v>25.835685856240591</v>
      </c>
      <c r="U166">
        <f t="shared" si="31"/>
        <v>279.05622265179687</v>
      </c>
      <c r="V166">
        <f t="shared" si="32"/>
        <v>2.1819077400987417</v>
      </c>
      <c r="W166">
        <f t="shared" si="33"/>
        <v>6.181377471307103</v>
      </c>
      <c r="X166">
        <f t="shared" si="34"/>
        <v>287.41950786320268</v>
      </c>
      <c r="Y166">
        <f t="shared" si="41"/>
        <v>81618.322333128483</v>
      </c>
      <c r="Z166">
        <f>IF(Inputs!B3&gt;0,(V166+W166)/Inputs!B3,0)</f>
        <v>2.7877617371352817E-8</v>
      </c>
      <c r="AA166">
        <f>IF(OR(Y166/Inputs!B3&gt;=Inputs!B23,Z166&gt;=Inputs!B24),1,0)</f>
        <v>0</v>
      </c>
      <c r="AB166">
        <f t="shared" si="35"/>
        <v>0</v>
      </c>
    </row>
    <row r="167" spans="1:28" x14ac:dyDescent="0.2">
      <c r="A167">
        <v>166</v>
      </c>
      <c r="B167">
        <f t="shared" si="36"/>
        <v>0</v>
      </c>
      <c r="C167">
        <f t="shared" si="37"/>
        <v>287.41950786320268</v>
      </c>
      <c r="D167">
        <f t="shared" si="38"/>
        <v>279.05622265179687</v>
      </c>
      <c r="E167">
        <f t="shared" si="39"/>
        <v>2.1819077400987417</v>
      </c>
      <c r="F167">
        <f t="shared" si="40"/>
        <v>6.181377471307103</v>
      </c>
      <c r="G167">
        <f>MAX(Inputs!B7-A167+1,0)</f>
        <v>135</v>
      </c>
      <c r="H167">
        <f>IF(AND(A167&lt;=Inputs!B7,D167&gt;0),-PMT(Inputs!B6/12,G167,D167),0)</f>
        <v>2.8120178624345584</v>
      </c>
      <c r="I167">
        <f>IF(AND(A167&lt;=Inputs!B7,D167&gt;0),D167*Inputs!B6/12,0)</f>
        <v>1.3371444002065267</v>
      </c>
      <c r="J167">
        <f t="shared" si="28"/>
        <v>1.4748734622280317</v>
      </c>
      <c r="K167">
        <f>MAX((D167-J167)*Inputs!B32,0)</f>
        <v>22.206507935165511</v>
      </c>
      <c r="L167">
        <f>MAX((D167-J167-K167)*Inputs!B33,0)</f>
        <v>0.86726654656508029</v>
      </c>
      <c r="M167">
        <f>MIN(E167*Inputs!B29,E167)</f>
        <v>0.76366770903455949</v>
      </c>
      <c r="N167">
        <f>MIN((E167-M167)*Inputs!B30,E167-M167)</f>
        <v>0.28364800621283648</v>
      </c>
      <c r="O167">
        <f>MIN(F167*Inputs!B31,F167)</f>
        <v>0.7417652965568523</v>
      </c>
      <c r="P167">
        <f>MIN((F167-O167)*Inputs!B34,F167-O167)</f>
        <v>4.7550973376098447E-2</v>
      </c>
      <c r="Q167">
        <f>P167*Inputs!B35</f>
        <v>1.1887743344024612E-2</v>
      </c>
      <c r="R167">
        <f>C167*Inputs!B8/12</f>
        <v>0.11975812827633446</v>
      </c>
      <c r="S167">
        <f t="shared" si="29"/>
        <v>1.2173862719301922</v>
      </c>
      <c r="T167">
        <f t="shared" si="30"/>
        <v>23.717044627425615</v>
      </c>
      <c r="U167">
        <f t="shared" si="31"/>
        <v>256.01300771342972</v>
      </c>
      <c r="V167">
        <f t="shared" si="32"/>
        <v>2.0018585714164261</v>
      </c>
      <c r="W167">
        <f t="shared" si="33"/>
        <v>5.6757092075869897</v>
      </c>
      <c r="X167">
        <f t="shared" si="34"/>
        <v>263.69057549243314</v>
      </c>
      <c r="Y167">
        <f t="shared" si="41"/>
        <v>81618.334220871824</v>
      </c>
      <c r="Z167">
        <f>IF(Inputs!B3&gt;0,(V167+W167)/Inputs!B3,0)</f>
        <v>2.5591892596678053E-8</v>
      </c>
      <c r="AA167">
        <f>IF(OR(Y167/Inputs!B3&gt;=Inputs!B23,Z167&gt;=Inputs!B24),1,0)</f>
        <v>0</v>
      </c>
      <c r="AB167">
        <f t="shared" si="35"/>
        <v>0</v>
      </c>
    </row>
    <row r="168" spans="1:28" x14ac:dyDescent="0.2">
      <c r="A168">
        <v>167</v>
      </c>
      <c r="B168">
        <f t="shared" si="36"/>
        <v>0</v>
      </c>
      <c r="C168">
        <f t="shared" si="37"/>
        <v>263.69057549243314</v>
      </c>
      <c r="D168">
        <f t="shared" si="38"/>
        <v>256.01300771342972</v>
      </c>
      <c r="E168">
        <f t="shared" si="39"/>
        <v>2.0018585714164261</v>
      </c>
      <c r="F168">
        <f t="shared" si="40"/>
        <v>5.6757092075869897</v>
      </c>
      <c r="G168">
        <f>MAX(Inputs!B7-A168+1,0)</f>
        <v>134</v>
      </c>
      <c r="H168">
        <f>IF(AND(A168&lt;=Inputs!B7,D168&gt;0),-PMT(Inputs!B6/12,G168,D168),0)</f>
        <v>2.5935213327827364</v>
      </c>
      <c r="I168">
        <f>IF(AND(A168&lt;=Inputs!B7,D168&gt;0),D168*Inputs!B6/12,0)</f>
        <v>1.2267289952935174</v>
      </c>
      <c r="J168">
        <f t="shared" si="28"/>
        <v>1.366792337489219</v>
      </c>
      <c r="K168">
        <f>MAX((D168-J168)*Inputs!B32,0)</f>
        <v>20.371697230075242</v>
      </c>
      <c r="L168">
        <f>MAX((D168-J168-K168)*Inputs!B33,0)</f>
        <v>0.79560872677413552</v>
      </c>
      <c r="M168">
        <f>MIN(E168*Inputs!B29,E168)</f>
        <v>0.70065049999574913</v>
      </c>
      <c r="N168">
        <f>MIN((E168-M168)*Inputs!B30,E168-M168)</f>
        <v>0.26024161428413539</v>
      </c>
      <c r="O168">
        <f>MIN(F168*Inputs!B31,F168)</f>
        <v>0.68108510491043872</v>
      </c>
      <c r="P168">
        <f>MIN((F168-O168)*Inputs!B34,F168-O168)</f>
        <v>4.3661060770549619E-2</v>
      </c>
      <c r="Q168">
        <f>P168*Inputs!B35</f>
        <v>1.0915265192637405E-2</v>
      </c>
      <c r="R168">
        <f>C168*Inputs!B8/12</f>
        <v>0.10987107312184714</v>
      </c>
      <c r="S168">
        <f t="shared" si="29"/>
        <v>1.1168579221716703</v>
      </c>
      <c r="T168">
        <f t="shared" si="30"/>
        <v>21.771235363142374</v>
      </c>
      <c r="U168">
        <f t="shared" si="31"/>
        <v>234.86064502399734</v>
      </c>
      <c r="V168">
        <f t="shared" si="32"/>
        <v>1.8365751839106772</v>
      </c>
      <c r="W168">
        <f t="shared" si="33"/>
        <v>5.2112046561901364</v>
      </c>
      <c r="X168">
        <f t="shared" si="34"/>
        <v>241.90842486409815</v>
      </c>
      <c r="Y168">
        <f t="shared" si="41"/>
        <v>81618.34513613701</v>
      </c>
      <c r="Z168">
        <f>IF(Inputs!B3&gt;0,(V168+W168)/Inputs!B3,0)</f>
        <v>2.3492599467002714E-8</v>
      </c>
      <c r="AA168">
        <f>IF(OR(Y168/Inputs!B3&gt;=Inputs!B23,Z168&gt;=Inputs!B24),1,0)</f>
        <v>0</v>
      </c>
      <c r="AB168">
        <f t="shared" si="35"/>
        <v>0</v>
      </c>
    </row>
    <row r="169" spans="1:28" x14ac:dyDescent="0.2">
      <c r="A169">
        <v>168</v>
      </c>
      <c r="B169">
        <f t="shared" si="36"/>
        <v>0</v>
      </c>
      <c r="C169">
        <f t="shared" si="37"/>
        <v>241.90842486409815</v>
      </c>
      <c r="D169">
        <f t="shared" si="38"/>
        <v>234.86064502399734</v>
      </c>
      <c r="E169">
        <f t="shared" si="39"/>
        <v>1.8365751839106772</v>
      </c>
      <c r="F169">
        <f t="shared" si="40"/>
        <v>5.2112046561901364</v>
      </c>
      <c r="G169">
        <f>MAX(Inputs!B7-A169+1,0)</f>
        <v>133</v>
      </c>
      <c r="H169">
        <f>IF(AND(A169&lt;=Inputs!B7,D169&gt;0),-PMT(Inputs!B6/12,G169,D169),0)</f>
        <v>2.392009212473853</v>
      </c>
      <c r="I169">
        <f>IF(AND(A169&lt;=Inputs!B7,D169&gt;0),D169*Inputs!B6/12,0)</f>
        <v>1.1253739240733205</v>
      </c>
      <c r="J169">
        <f t="shared" si="28"/>
        <v>1.2666352884005325</v>
      </c>
      <c r="K169">
        <f>MAX((D169-J169)*Inputs!B32,0)</f>
        <v>18.687520778847745</v>
      </c>
      <c r="L169">
        <f>MAX((D169-J169-K169)*Inputs!B33,0)</f>
        <v>0.72983386928970873</v>
      </c>
      <c r="M169">
        <f>MIN(E169*Inputs!B29,E169)</f>
        <v>0.642801314368737</v>
      </c>
      <c r="N169">
        <f>MIN((E169-M169)*Inputs!B30,E169-M169)</f>
        <v>0.23875477390838806</v>
      </c>
      <c r="O169">
        <f>MIN(F169*Inputs!B31,F169)</f>
        <v>0.62534455874281636</v>
      </c>
      <c r="P169">
        <f>MIN((F169-O169)*Inputs!B34,F169-O169)</f>
        <v>4.0087804864552067E-2</v>
      </c>
      <c r="Q169">
        <f>P169*Inputs!B35</f>
        <v>1.0021951216138017E-2</v>
      </c>
      <c r="R169">
        <f>C169*Inputs!B8/12</f>
        <v>0.10079517702670755</v>
      </c>
      <c r="S169">
        <f t="shared" si="29"/>
        <v>1.024578747046613</v>
      </c>
      <c r="T169">
        <f t="shared" si="30"/>
        <v>19.98422192089669</v>
      </c>
      <c r="U169">
        <f t="shared" si="31"/>
        <v>215.44480096057092</v>
      </c>
      <c r="V169">
        <f t="shared" si="32"/>
        <v>1.6848529649232609</v>
      </c>
      <c r="W169">
        <f t="shared" si="33"/>
        <v>4.7845270664911563</v>
      </c>
      <c r="X169">
        <f t="shared" si="34"/>
        <v>221.91418099198535</v>
      </c>
      <c r="Y169">
        <f t="shared" si="41"/>
        <v>81618.355158088219</v>
      </c>
      <c r="Z169">
        <f>IF(Inputs!B3&gt;0,(V169+W169)/Inputs!B3,0)</f>
        <v>2.1564600104714722E-8</v>
      </c>
      <c r="AA169">
        <f>IF(OR(Y169/Inputs!B3&gt;=Inputs!B23,Z169&gt;=Inputs!B24),1,0)</f>
        <v>0</v>
      </c>
      <c r="AB169">
        <f t="shared" si="35"/>
        <v>0</v>
      </c>
    </row>
    <row r="170" spans="1:28" x14ac:dyDescent="0.2">
      <c r="A170">
        <v>169</v>
      </c>
      <c r="B170">
        <f t="shared" si="36"/>
        <v>0</v>
      </c>
      <c r="C170">
        <f t="shared" si="37"/>
        <v>221.91418099198535</v>
      </c>
      <c r="D170">
        <f t="shared" si="38"/>
        <v>215.44480096057092</v>
      </c>
      <c r="E170">
        <f t="shared" si="39"/>
        <v>1.6848529649232609</v>
      </c>
      <c r="F170">
        <f t="shared" si="40"/>
        <v>4.7845270664911563</v>
      </c>
      <c r="G170">
        <f>MAX(Inputs!B7-A170+1,0)</f>
        <v>132</v>
      </c>
      <c r="H170">
        <f>IF(AND(A170&lt;=Inputs!B7,D170&gt;0),-PMT(Inputs!B6/12,G170,D170),0)</f>
        <v>2.2061608054958146</v>
      </c>
      <c r="I170">
        <f>IF(AND(A170&lt;=Inputs!B7,D170&gt;0),D170*Inputs!B6/12,0)</f>
        <v>1.0323396712694024</v>
      </c>
      <c r="J170">
        <f t="shared" si="28"/>
        <v>1.1738211342264122</v>
      </c>
      <c r="K170">
        <f>MAX((D170-J170)*Inputs!B32,0)</f>
        <v>17.141678386107561</v>
      </c>
      <c r="L170">
        <f>MAX((D170-J170-K170)*Inputs!B33,0)</f>
        <v>0.66946159475650036</v>
      </c>
      <c r="M170">
        <f>MIN(E170*Inputs!B29,E170)</f>
        <v>0.58969853772314129</v>
      </c>
      <c r="N170">
        <f>MIN((E170-M170)*Inputs!B30,E170-M170)</f>
        <v>0.21903088544002394</v>
      </c>
      <c r="O170">
        <f>MIN(F170*Inputs!B31,F170)</f>
        <v>0.57414324797893879</v>
      </c>
      <c r="P170">
        <f>MIN((F170-O170)*Inputs!B34,F170-O170)</f>
        <v>3.6805537311384209E-2</v>
      </c>
      <c r="Q170">
        <f>P170*Inputs!B35</f>
        <v>9.2013843278460523E-3</v>
      </c>
      <c r="R170">
        <f>C170*Inputs!B8/12</f>
        <v>9.2464242079993889E-2</v>
      </c>
      <c r="S170">
        <f t="shared" si="29"/>
        <v>0.93987542918940847</v>
      </c>
      <c r="T170">
        <f t="shared" si="30"/>
        <v>18.343103673317511</v>
      </c>
      <c r="U170">
        <f t="shared" si="31"/>
        <v>197.62368163118251</v>
      </c>
      <c r="V170">
        <f t="shared" si="32"/>
        <v>1.5455851365165962</v>
      </c>
      <c r="W170">
        <f t="shared" si="33"/>
        <v>4.3926091666408569</v>
      </c>
      <c r="X170">
        <f t="shared" si="34"/>
        <v>203.56187593433995</v>
      </c>
      <c r="Y170">
        <f t="shared" si="41"/>
        <v>81618.364359472544</v>
      </c>
      <c r="Z170">
        <f>IF(Inputs!B3&gt;0,(V170+W170)/Inputs!B3,0)</f>
        <v>1.9793981010524843E-8</v>
      </c>
      <c r="AA170">
        <f>IF(OR(Y170/Inputs!B3&gt;=Inputs!B23,Z170&gt;=Inputs!B24),1,0)</f>
        <v>0</v>
      </c>
      <c r="AB170">
        <f t="shared" si="35"/>
        <v>0</v>
      </c>
    </row>
    <row r="171" spans="1:28" x14ac:dyDescent="0.2">
      <c r="A171">
        <v>170</v>
      </c>
      <c r="B171">
        <f t="shared" si="36"/>
        <v>0</v>
      </c>
      <c r="C171">
        <f t="shared" si="37"/>
        <v>203.56187593433995</v>
      </c>
      <c r="D171">
        <f t="shared" si="38"/>
        <v>197.62368163118251</v>
      </c>
      <c r="E171">
        <f t="shared" si="39"/>
        <v>1.5455851365165962</v>
      </c>
      <c r="F171">
        <f t="shared" si="40"/>
        <v>4.3926091666408569</v>
      </c>
      <c r="G171">
        <f>MAX(Inputs!B7-A171+1,0)</f>
        <v>131</v>
      </c>
      <c r="H171">
        <f>IF(AND(A171&lt;=Inputs!B7,D171&gt;0),-PMT(Inputs!B6/12,G171,D171),0)</f>
        <v>2.0347581413304074</v>
      </c>
      <c r="I171">
        <f>IF(AND(A171&lt;=Inputs!B7,D171&gt;0),D171*Inputs!B6/12,0)</f>
        <v>0.94694680781608287</v>
      </c>
      <c r="J171">
        <f t="shared" si="28"/>
        <v>1.0878113335143245</v>
      </c>
      <c r="K171">
        <f>MAX((D171-J171)*Inputs!B32,0)</f>
        <v>15.722869623813454</v>
      </c>
      <c r="L171">
        <f>MAX((D171-J171-K171)*Inputs!B33,0)</f>
        <v>0.614050569344327</v>
      </c>
      <c r="M171">
        <f>MIN(E171*Inputs!B29,E171)</f>
        <v>0.54095479778080868</v>
      </c>
      <c r="N171">
        <f>MIN((E171-M171)*Inputs!B30,E171-M171)</f>
        <v>0.20092606774715752</v>
      </c>
      <c r="O171">
        <f>MIN(F171*Inputs!B31,F171)</f>
        <v>0.52711309999690281</v>
      </c>
      <c r="P171">
        <f>MIN((F171-O171)*Inputs!B34,F171-O171)</f>
        <v>3.379066276151188E-2</v>
      </c>
      <c r="Q171">
        <f>P171*Inputs!B35</f>
        <v>8.4476656903779701E-3</v>
      </c>
      <c r="R171">
        <f>C171*Inputs!B8/12</f>
        <v>8.4817448305974985E-2</v>
      </c>
      <c r="S171">
        <f t="shared" si="29"/>
        <v>0.86212935951010783</v>
      </c>
      <c r="T171">
        <f t="shared" si="30"/>
        <v>16.836023954398911</v>
      </c>
      <c r="U171">
        <f t="shared" si="31"/>
        <v>181.2670180022881</v>
      </c>
      <c r="V171">
        <f t="shared" si="32"/>
        <v>1.417754840332957</v>
      </c>
      <c r="W171">
        <f t="shared" si="33"/>
        <v>4.0326314716295997</v>
      </c>
      <c r="X171">
        <f t="shared" si="34"/>
        <v>186.71740431425064</v>
      </c>
      <c r="Y171">
        <f t="shared" si="41"/>
        <v>81618.372807138236</v>
      </c>
      <c r="Z171">
        <f>IF(Inputs!B3&gt;0,(V171+W171)/Inputs!B3,0)</f>
        <v>1.8167954373208523E-8</v>
      </c>
      <c r="AA171">
        <f>IF(OR(Y171/Inputs!B3&gt;=Inputs!B23,Z171&gt;=Inputs!B24),1,0)</f>
        <v>0</v>
      </c>
      <c r="AB171">
        <f t="shared" si="35"/>
        <v>0</v>
      </c>
    </row>
    <row r="172" spans="1:28" x14ac:dyDescent="0.2">
      <c r="A172">
        <v>171</v>
      </c>
      <c r="B172">
        <f t="shared" si="36"/>
        <v>0</v>
      </c>
      <c r="C172">
        <f t="shared" si="37"/>
        <v>186.71740431425064</v>
      </c>
      <c r="D172">
        <f t="shared" si="38"/>
        <v>181.2670180022881</v>
      </c>
      <c r="E172">
        <f t="shared" si="39"/>
        <v>1.417754840332957</v>
      </c>
      <c r="F172">
        <f t="shared" si="40"/>
        <v>4.0326314716295997</v>
      </c>
      <c r="G172">
        <f>MAX(Inputs!B7-A172+1,0)</f>
        <v>130</v>
      </c>
      <c r="H172">
        <f>IF(AND(A172&lt;=Inputs!B7,D172&gt;0),-PMT(Inputs!B6/12,G172,D172),0)</f>
        <v>1.8766779828853328</v>
      </c>
      <c r="I172">
        <f>IF(AND(A172&lt;=Inputs!B7,D172&gt;0),D172*Inputs!B6/12,0)</f>
        <v>0.86857112792763047</v>
      </c>
      <c r="J172">
        <f t="shared" si="28"/>
        <v>1.0081068549577024</v>
      </c>
      <c r="K172">
        <f>MAX((D172-J172)*Inputs!B32,0)</f>
        <v>14.420712891786431</v>
      </c>
      <c r="L172">
        <f>MAX((D172-J172-K172)*Inputs!B33,0)</f>
        <v>0.56319534368846447</v>
      </c>
      <c r="M172">
        <f>MIN(E172*Inputs!B29,E172)</f>
        <v>0.49621419411653489</v>
      </c>
      <c r="N172">
        <f>MIN((E172-M172)*Inputs!B30,E172-M172)</f>
        <v>0.18430812924328444</v>
      </c>
      <c r="O172">
        <f>MIN(F172*Inputs!B31,F172)</f>
        <v>0.48391577659555196</v>
      </c>
      <c r="P172">
        <f>MIN((F172-O172)*Inputs!B34,F172-O172)</f>
        <v>3.102149199481382E-2</v>
      </c>
      <c r="Q172">
        <f>P172*Inputs!B35</f>
        <v>7.755372998703455E-3</v>
      </c>
      <c r="R172">
        <f>C172*Inputs!B8/12</f>
        <v>7.7798918464271102E-2</v>
      </c>
      <c r="S172">
        <f t="shared" si="29"/>
        <v>0.79077220946335935</v>
      </c>
      <c r="T172">
        <f t="shared" si="30"/>
        <v>15.452085865740244</v>
      </c>
      <c r="U172">
        <f t="shared" si="31"/>
        <v>166.25513288256758</v>
      </c>
      <c r="V172">
        <f t="shared" si="32"/>
        <v>1.300427860661602</v>
      </c>
      <c r="W172">
        <f t="shared" si="33"/>
        <v>3.7020023322825182</v>
      </c>
      <c r="X172">
        <f t="shared" si="34"/>
        <v>171.25756307551171</v>
      </c>
      <c r="Y172">
        <f t="shared" si="41"/>
        <v>81618.380562511229</v>
      </c>
      <c r="Z172">
        <f>IF(Inputs!B3&gt;0,(V172+W172)/Inputs!B3,0)</f>
        <v>1.6674767309813733E-8</v>
      </c>
      <c r="AA172">
        <f>IF(OR(Y172/Inputs!B3&gt;=Inputs!B23,Z172&gt;=Inputs!B24),1,0)</f>
        <v>0</v>
      </c>
      <c r="AB172">
        <f t="shared" si="35"/>
        <v>0</v>
      </c>
    </row>
    <row r="173" spans="1:28" x14ac:dyDescent="0.2">
      <c r="A173">
        <v>172</v>
      </c>
      <c r="B173">
        <f t="shared" si="36"/>
        <v>0</v>
      </c>
      <c r="C173">
        <f t="shared" si="37"/>
        <v>171.25756307551171</v>
      </c>
      <c r="D173">
        <f t="shared" si="38"/>
        <v>166.25513288256758</v>
      </c>
      <c r="E173">
        <f t="shared" si="39"/>
        <v>1.300427860661602</v>
      </c>
      <c r="F173">
        <f t="shared" si="40"/>
        <v>3.7020023322825182</v>
      </c>
      <c r="G173">
        <f>MAX(Inputs!B7-A173+1,0)</f>
        <v>129</v>
      </c>
      <c r="H173">
        <f>IF(AND(A173&lt;=Inputs!B7,D173&gt;0),-PMT(Inputs!B6/12,G173,D173),0)</f>
        <v>1.7308844563438972</v>
      </c>
      <c r="I173">
        <f>IF(AND(A173&lt;=Inputs!B7,D173&gt;0),D173*Inputs!B6/12,0)</f>
        <v>0.79663917839563636</v>
      </c>
      <c r="J173">
        <f t="shared" si="28"/>
        <v>0.93424527794826084</v>
      </c>
      <c r="K173">
        <f>MAX((D173-J173)*Inputs!B32,0)</f>
        <v>13.225671008369545</v>
      </c>
      <c r="L173">
        <f>MAX((D173-J173-K173)*Inputs!B33,0)</f>
        <v>0.516523446861753</v>
      </c>
      <c r="M173">
        <f>MIN(E173*Inputs!B29,E173)</f>
        <v>0.45514975123156065</v>
      </c>
      <c r="N173">
        <f>MIN((E173-M173)*Inputs!B30,E173-M173)</f>
        <v>0.16905562188600828</v>
      </c>
      <c r="O173">
        <f>MIN(F173*Inputs!B31,F173)</f>
        <v>0.44424027987390219</v>
      </c>
      <c r="P173">
        <f>MIN((F173-O173)*Inputs!B34,F173-O173)</f>
        <v>2.8478088445130435E-2</v>
      </c>
      <c r="Q173">
        <f>P173*Inputs!B35</f>
        <v>7.1195221112826087E-3</v>
      </c>
      <c r="R173">
        <f>C173*Inputs!B8/12</f>
        <v>7.1357317948129884E-2</v>
      </c>
      <c r="S173">
        <f t="shared" si="29"/>
        <v>0.72528186044750642</v>
      </c>
      <c r="T173">
        <f t="shared" si="30"/>
        <v>14.181274852651653</v>
      </c>
      <c r="U173">
        <f t="shared" si="31"/>
        <v>152.47808318049348</v>
      </c>
      <c r="V173">
        <f t="shared" si="32"/>
        <v>1.192745934405786</v>
      </c>
      <c r="W173">
        <f t="shared" si="33"/>
        <v>3.3983395858494938</v>
      </c>
      <c r="X173">
        <f t="shared" si="34"/>
        <v>157.06916870074878</v>
      </c>
      <c r="Y173">
        <f t="shared" si="41"/>
        <v>81618.387682033339</v>
      </c>
      <c r="Z173">
        <f>IF(Inputs!B3&gt;0,(V173+W173)/Inputs!B3,0)</f>
        <v>1.5303618400850934E-8</v>
      </c>
      <c r="AA173">
        <f>IF(OR(Y173/Inputs!B3&gt;=Inputs!B23,Z173&gt;=Inputs!B24),1,0)</f>
        <v>0</v>
      </c>
      <c r="AB173">
        <f t="shared" si="35"/>
        <v>0</v>
      </c>
    </row>
    <row r="174" spans="1:28" x14ac:dyDescent="0.2">
      <c r="A174">
        <v>173</v>
      </c>
      <c r="B174">
        <f t="shared" si="36"/>
        <v>0</v>
      </c>
      <c r="C174">
        <f t="shared" si="37"/>
        <v>157.06916870074878</v>
      </c>
      <c r="D174">
        <f t="shared" si="38"/>
        <v>152.47808318049348</v>
      </c>
      <c r="E174">
        <f t="shared" si="39"/>
        <v>1.192745934405786</v>
      </c>
      <c r="F174">
        <f t="shared" si="40"/>
        <v>3.3983395858494938</v>
      </c>
      <c r="G174">
        <f>MAX(Inputs!B7-A174+1,0)</f>
        <v>128</v>
      </c>
      <c r="H174">
        <f>IF(AND(A174&lt;=Inputs!B7,D174&gt;0),-PMT(Inputs!B6/12,G174,D174),0)</f>
        <v>1.5964222545273441</v>
      </c>
      <c r="I174">
        <f>IF(AND(A174&lt;=Inputs!B7,D174&gt;0),D174*Inputs!B6/12,0)</f>
        <v>0.73062414857319791</v>
      </c>
      <c r="J174">
        <f t="shared" si="28"/>
        <v>0.86579810595414619</v>
      </c>
      <c r="K174">
        <f>MAX((D174-J174)*Inputs!B32,0)</f>
        <v>12.128982805963147</v>
      </c>
      <c r="L174">
        <f>MAX((D174-J174-K174)*Inputs!B33,0)</f>
        <v>0.47369271486478298</v>
      </c>
      <c r="M174">
        <f>MIN(E174*Inputs!B29,E174)</f>
        <v>0.41746107704202506</v>
      </c>
      <c r="N174">
        <f>MIN((E174-M174)*Inputs!B30,E174-M174)</f>
        <v>0.15505697147275221</v>
      </c>
      <c r="O174">
        <f>MIN(F174*Inputs!B31,F174)</f>
        <v>0.40780075030193924</v>
      </c>
      <c r="P174">
        <f>MIN((F174-O174)*Inputs!B34,F174-O174)</f>
        <v>2.6142127045268481E-2</v>
      </c>
      <c r="Q174">
        <f>P174*Inputs!B35</f>
        <v>6.5355317613171203E-3</v>
      </c>
      <c r="R174">
        <f>C174*Inputs!B8/12</f>
        <v>6.5445486958645327E-2</v>
      </c>
      <c r="S174">
        <f t="shared" si="29"/>
        <v>0.66517866161455252</v>
      </c>
      <c r="T174">
        <f t="shared" si="30"/>
        <v>13.014387507201246</v>
      </c>
      <c r="U174">
        <f t="shared" si="31"/>
        <v>139.83487138105534</v>
      </c>
      <c r="V174">
        <f t="shared" si="32"/>
        <v>1.0939206007557918</v>
      </c>
      <c r="W174">
        <f t="shared" si="33"/>
        <v>3.1194536799750381</v>
      </c>
      <c r="X174">
        <f t="shared" si="34"/>
        <v>144.04824566178615</v>
      </c>
      <c r="Y174">
        <f t="shared" si="41"/>
        <v>81618.394217565103</v>
      </c>
      <c r="Z174">
        <f>IF(Inputs!B3&gt;0,(V174+W174)/Inputs!B3,0)</f>
        <v>1.4044580935769432E-8</v>
      </c>
      <c r="AA174">
        <f>IF(OR(Y174/Inputs!B3&gt;=Inputs!B23,Z174&gt;=Inputs!B24),1,0)</f>
        <v>0</v>
      </c>
      <c r="AB174">
        <f t="shared" si="35"/>
        <v>0</v>
      </c>
    </row>
    <row r="175" spans="1:28" x14ac:dyDescent="0.2">
      <c r="A175">
        <v>174</v>
      </c>
      <c r="B175">
        <f t="shared" si="36"/>
        <v>0</v>
      </c>
      <c r="C175">
        <f t="shared" si="37"/>
        <v>144.04824566178615</v>
      </c>
      <c r="D175">
        <f t="shared" si="38"/>
        <v>139.83487138105534</v>
      </c>
      <c r="E175">
        <f t="shared" si="39"/>
        <v>1.0939206007557918</v>
      </c>
      <c r="F175">
        <f t="shared" si="40"/>
        <v>3.1194536799750381</v>
      </c>
      <c r="G175">
        <f>MAX(Inputs!B7-A175+1,0)</f>
        <v>127</v>
      </c>
      <c r="H175">
        <f>IF(AND(A175&lt;=Inputs!B7,D175&gt;0),-PMT(Inputs!B6/12,G175,D175),0)</f>
        <v>1.4724103691329038</v>
      </c>
      <c r="I175">
        <f>IF(AND(A175&lt;=Inputs!B7,D175&gt;0),D175*Inputs!B6/12,0)</f>
        <v>0.67004209203422349</v>
      </c>
      <c r="J175">
        <f t="shared" si="28"/>
        <v>0.8023682770986803</v>
      </c>
      <c r="K175">
        <f>MAX((D175-J175)*Inputs!B32,0)</f>
        <v>11.122600248316532</v>
      </c>
      <c r="L175">
        <f>MAX((D175-J175-K175)*Inputs!B33,0)</f>
        <v>0.43438883476613088</v>
      </c>
      <c r="M175">
        <f>MIN(E175*Inputs!B29,E175)</f>
        <v>0.38287221026452711</v>
      </c>
      <c r="N175">
        <f>MIN((E175-M175)*Inputs!B30,E175-M175)</f>
        <v>0.14220967809825294</v>
      </c>
      <c r="O175">
        <f>MIN(F175*Inputs!B31,F175)</f>
        <v>0.37433444159700457</v>
      </c>
      <c r="P175">
        <f>MIN((F175-O175)*Inputs!B34,F175-O175)</f>
        <v>2.3996764406154138E-2</v>
      </c>
      <c r="Q175">
        <f>P175*Inputs!B35</f>
        <v>5.9991911015385346E-3</v>
      </c>
      <c r="R175">
        <f>C175*Inputs!B8/12</f>
        <v>6.0020102359077565E-2</v>
      </c>
      <c r="S175">
        <f t="shared" si="29"/>
        <v>0.61002198967514598</v>
      </c>
      <c r="T175">
        <f t="shared" si="30"/>
        <v>11.942966098719827</v>
      </c>
      <c r="U175">
        <f t="shared" si="31"/>
        <v>128.23272067273552</v>
      </c>
      <c r="V175">
        <f t="shared" si="32"/>
        <v>1.0032275471591428</v>
      </c>
      <c r="W175">
        <f t="shared" si="33"/>
        <v>2.8633321520701323</v>
      </c>
      <c r="X175">
        <f t="shared" si="34"/>
        <v>132.09928037196482</v>
      </c>
      <c r="Y175">
        <f t="shared" si="41"/>
        <v>81618.400216756199</v>
      </c>
      <c r="Z175">
        <f>IF(Inputs!B3&gt;0,(V175+W175)/Inputs!B3,0)</f>
        <v>1.288853233076425E-8</v>
      </c>
      <c r="AA175">
        <f>IF(OR(Y175/Inputs!B3&gt;=Inputs!B23,Z175&gt;=Inputs!B24),1,0)</f>
        <v>0</v>
      </c>
      <c r="AB175">
        <f t="shared" si="35"/>
        <v>0</v>
      </c>
    </row>
    <row r="176" spans="1:28" x14ac:dyDescent="0.2">
      <c r="A176">
        <v>175</v>
      </c>
      <c r="B176">
        <f t="shared" si="36"/>
        <v>0</v>
      </c>
      <c r="C176">
        <f t="shared" si="37"/>
        <v>132.09928037196482</v>
      </c>
      <c r="D176">
        <f t="shared" si="38"/>
        <v>128.23272067273552</v>
      </c>
      <c r="E176">
        <f t="shared" si="39"/>
        <v>1.0032275471591428</v>
      </c>
      <c r="F176">
        <f t="shared" si="40"/>
        <v>2.8633321520701323</v>
      </c>
      <c r="G176">
        <f>MAX(Inputs!B7-A176+1,0)</f>
        <v>126</v>
      </c>
      <c r="H176">
        <f>IF(AND(A176&lt;=Inputs!B7,D176&gt;0),-PMT(Inputs!B6/12,G176,D176),0)</f>
        <v>1.3580363106854385</v>
      </c>
      <c r="I176">
        <f>IF(AND(A176&lt;=Inputs!B7,D176&gt;0),D176*Inputs!B6/12,0)</f>
        <v>0.61444845322352448</v>
      </c>
      <c r="J176">
        <f t="shared" si="28"/>
        <v>0.74358785746191403</v>
      </c>
      <c r="K176">
        <f>MAX((D176-J176)*Inputs!B32,0)</f>
        <v>10.199130625221889</v>
      </c>
      <c r="L176">
        <f>MAX((D176-J176-K176)*Inputs!B33,0)</f>
        <v>0.39832308713857267</v>
      </c>
      <c r="M176">
        <f>MIN(E176*Inputs!B29,E176)</f>
        <v>0.35112964150569992</v>
      </c>
      <c r="N176">
        <f>MIN((E176-M176)*Inputs!B30,E176-M176)</f>
        <v>0.13041958113068858</v>
      </c>
      <c r="O176">
        <f>MIN(F176*Inputs!B31,F176)</f>
        <v>0.34359985824841588</v>
      </c>
      <c r="P176">
        <f>MIN((F176-O176)*Inputs!B34,F176-O176)</f>
        <v>2.2026519422575015E-2</v>
      </c>
      <c r="Q176">
        <f>P176*Inputs!B35</f>
        <v>5.5066298556437536E-3</v>
      </c>
      <c r="R176">
        <f>C176*Inputs!B8/12</f>
        <v>5.5041366821652012E-2</v>
      </c>
      <c r="S176">
        <f t="shared" si="29"/>
        <v>0.55940708640187242</v>
      </c>
      <c r="T176">
        <f t="shared" si="30"/>
        <v>10.959238372250734</v>
      </c>
      <c r="U176">
        <f t="shared" si="31"/>
        <v>117.58640860266725</v>
      </c>
      <c r="V176">
        <f t="shared" si="32"/>
        <v>0.92000141166132698</v>
      </c>
      <c r="W176">
        <f t="shared" si="33"/>
        <v>2.6281253555298303</v>
      </c>
      <c r="X176">
        <f t="shared" si="34"/>
        <v>121.13453536985841</v>
      </c>
      <c r="Y176">
        <f t="shared" si="41"/>
        <v>81618.405723386051</v>
      </c>
      <c r="Z176">
        <f>IF(Inputs!B3&gt;0,(V176+W176)/Inputs!B3,0)</f>
        <v>1.1827089223970524E-8</v>
      </c>
      <c r="AA176">
        <f>IF(OR(Y176/Inputs!B3&gt;=Inputs!B23,Z176&gt;=Inputs!B24),1,0)</f>
        <v>0</v>
      </c>
      <c r="AB176">
        <f t="shared" si="35"/>
        <v>0</v>
      </c>
    </row>
    <row r="177" spans="1:28" x14ac:dyDescent="0.2">
      <c r="A177">
        <v>176</v>
      </c>
      <c r="B177">
        <f t="shared" si="36"/>
        <v>0</v>
      </c>
      <c r="C177">
        <f t="shared" si="37"/>
        <v>121.13453536985841</v>
      </c>
      <c r="D177">
        <f t="shared" si="38"/>
        <v>117.58640860266725</v>
      </c>
      <c r="E177">
        <f t="shared" si="39"/>
        <v>0.92000141166132698</v>
      </c>
      <c r="F177">
        <f t="shared" si="40"/>
        <v>2.6281253555298303</v>
      </c>
      <c r="G177">
        <f>MAX(Inputs!B7-A177+1,0)</f>
        <v>125</v>
      </c>
      <c r="H177">
        <f>IF(AND(A177&lt;=Inputs!B7,D177&gt;0),-PMT(Inputs!B6/12,G177,D177),0)</f>
        <v>1.2525507782447298</v>
      </c>
      <c r="I177">
        <f>IF(AND(A177&lt;=Inputs!B7,D177&gt;0),D177*Inputs!B6/12,0)</f>
        <v>0.56343487455444718</v>
      </c>
      <c r="J177">
        <f t="shared" si="28"/>
        <v>0.68911590369028264</v>
      </c>
      <c r="K177">
        <f>MAX((D177-J177)*Inputs!B32,0)</f>
        <v>9.3517834159181579</v>
      </c>
      <c r="L177">
        <f>MAX((D177-J177-K177)*Inputs!B33,0)</f>
        <v>0.36523027082994991</v>
      </c>
      <c r="M177">
        <f>MIN(E177*Inputs!B29,E177)</f>
        <v>0.32200049408146442</v>
      </c>
      <c r="N177">
        <f>MIN((E177-M177)*Inputs!B30,E177-M177)</f>
        <v>0.11960018351597253</v>
      </c>
      <c r="O177">
        <f>MIN(F177*Inputs!B31,F177)</f>
        <v>0.31537504266357963</v>
      </c>
      <c r="P177">
        <f>MIN((F177-O177)*Inputs!B34,F177-O177)</f>
        <v>2.0217163470429886E-2</v>
      </c>
      <c r="Q177">
        <f>P177*Inputs!B35</f>
        <v>5.0542908676074715E-3</v>
      </c>
      <c r="R177">
        <f>C177*Inputs!B8/12</f>
        <v>5.0472723070774335E-2</v>
      </c>
      <c r="S177">
        <f t="shared" si="29"/>
        <v>0.51296215148367286</v>
      </c>
      <c r="T177">
        <f t="shared" si="30"/>
        <v>10.056062192211265</v>
      </c>
      <c r="U177">
        <f t="shared" si="31"/>
        <v>107.81765454897389</v>
      </c>
      <c r="V177">
        <f t="shared" si="32"/>
        <v>0.84363100489384002</v>
      </c>
      <c r="W177">
        <f t="shared" si="33"/>
        <v>2.4121333329117931</v>
      </c>
      <c r="X177">
        <f t="shared" si="34"/>
        <v>111.07341888677952</v>
      </c>
      <c r="Y177">
        <f t="shared" si="41"/>
        <v>81618.410777676923</v>
      </c>
      <c r="Z177">
        <f>IF(Inputs!B3&gt;0,(V177+W177)/Inputs!B3,0)</f>
        <v>1.0852547792685445E-8</v>
      </c>
      <c r="AA177">
        <f>IF(OR(Y177/Inputs!B3&gt;=Inputs!B23,Z177&gt;=Inputs!B24),1,0)</f>
        <v>0</v>
      </c>
      <c r="AB177">
        <f t="shared" si="35"/>
        <v>0</v>
      </c>
    </row>
    <row r="178" spans="1:28" x14ac:dyDescent="0.2">
      <c r="A178">
        <v>177</v>
      </c>
      <c r="B178">
        <f t="shared" si="36"/>
        <v>0</v>
      </c>
      <c r="C178">
        <f t="shared" si="37"/>
        <v>111.07341888677952</v>
      </c>
      <c r="D178">
        <f t="shared" si="38"/>
        <v>107.81765454897389</v>
      </c>
      <c r="E178">
        <f t="shared" si="39"/>
        <v>0.84363100489384002</v>
      </c>
      <c r="F178">
        <f t="shared" si="40"/>
        <v>2.4121333329117931</v>
      </c>
      <c r="G178">
        <f>MAX(Inputs!B7-A178+1,0)</f>
        <v>124</v>
      </c>
      <c r="H178">
        <f>IF(AND(A178&lt;=Inputs!B7,D178&gt;0),-PMT(Inputs!B6/12,G178,D178),0)</f>
        <v>1.1552627438652441</v>
      </c>
      <c r="I178">
        <f>IF(AND(A178&lt;=Inputs!B7,D178&gt;0),D178*Inputs!B6/12,0)</f>
        <v>0.51662626138049994</v>
      </c>
      <c r="J178">
        <f t="shared" si="28"/>
        <v>0.63863648248474414</v>
      </c>
      <c r="K178">
        <f>MAX((D178-J178)*Inputs!B32,0)</f>
        <v>8.5743214453191321</v>
      </c>
      <c r="L178">
        <f>MAX((D178-J178-K178)*Inputs!B33,0)</f>
        <v>0.33486679538861985</v>
      </c>
      <c r="M178">
        <f>MIN(E178*Inputs!B29,E178)</f>
        <v>0.29527085171284401</v>
      </c>
      <c r="N178">
        <f>MIN((E178-M178)*Inputs!B30,E178-M178)</f>
        <v>0.10967203063619922</v>
      </c>
      <c r="O178">
        <f>MIN(F178*Inputs!B31,F178)</f>
        <v>0.28945599994941518</v>
      </c>
      <c r="P178">
        <f>MIN((F178-O178)*Inputs!B34,F178-O178)</f>
        <v>1.8555619427110343E-2</v>
      </c>
      <c r="Q178">
        <f>P178*Inputs!B35</f>
        <v>4.6389048567775856E-3</v>
      </c>
      <c r="R178">
        <f>C178*Inputs!B8/12</f>
        <v>4.6280591202824801E-2</v>
      </c>
      <c r="S178">
        <f t="shared" si="29"/>
        <v>0.47034567017767515</v>
      </c>
      <c r="T178">
        <f t="shared" si="30"/>
        <v>9.2268746423742076</v>
      </c>
      <c r="U178">
        <f t="shared" si="31"/>
        <v>98.854556677443654</v>
      </c>
      <c r="V178">
        <f t="shared" si="32"/>
        <v>0.77355491793341669</v>
      </c>
      <c r="W178">
        <f t="shared" si="33"/>
        <v>2.213793744171467</v>
      </c>
      <c r="X178">
        <f t="shared" si="34"/>
        <v>101.84190533954853</v>
      </c>
      <c r="Y178">
        <f t="shared" si="41"/>
        <v>81618.415416581774</v>
      </c>
      <c r="Z178">
        <f>IF(Inputs!B3&gt;0,(V178+W178)/Inputs!B3,0)</f>
        <v>9.957828873682945E-9</v>
      </c>
      <c r="AA178">
        <f>IF(OR(Y178/Inputs!B3&gt;=Inputs!B23,Z178&gt;=Inputs!B24),1,0)</f>
        <v>0</v>
      </c>
      <c r="AB178">
        <f t="shared" si="35"/>
        <v>0</v>
      </c>
    </row>
    <row r="179" spans="1:28" x14ac:dyDescent="0.2">
      <c r="A179">
        <v>178</v>
      </c>
      <c r="B179">
        <f t="shared" si="36"/>
        <v>0</v>
      </c>
      <c r="C179">
        <f t="shared" si="37"/>
        <v>101.84190533954853</v>
      </c>
      <c r="D179">
        <f t="shared" si="38"/>
        <v>98.854556677443654</v>
      </c>
      <c r="E179">
        <f t="shared" si="39"/>
        <v>0.77355491793341669</v>
      </c>
      <c r="F179">
        <f t="shared" si="40"/>
        <v>2.213793744171467</v>
      </c>
      <c r="G179">
        <f>MAX(Inputs!B7-A179+1,0)</f>
        <v>123</v>
      </c>
      <c r="H179">
        <f>IF(AND(A179&lt;=Inputs!B7,D179&gt;0),-PMT(Inputs!B6/12,G179,D179),0)</f>
        <v>1.0655349195298596</v>
      </c>
      <c r="I179">
        <f>IF(AND(A179&lt;=Inputs!B7,D179&gt;0),D179*Inputs!B6/12,0)</f>
        <v>0.47367808407941753</v>
      </c>
      <c r="J179">
        <f t="shared" si="28"/>
        <v>0.5918568354504421</v>
      </c>
      <c r="K179">
        <f>MAX((D179-J179)*Inputs!B32,0)</f>
        <v>7.8610159873594574</v>
      </c>
      <c r="L179">
        <f>MAX((D179-J179-K179)*Inputs!B33,0)</f>
        <v>0.30700892764206283</v>
      </c>
      <c r="M179">
        <f>MIN(E179*Inputs!B29,E179)</f>
        <v>0.27074422127669584</v>
      </c>
      <c r="N179">
        <f>MIN((E179-M179)*Inputs!B30,E179-M179)</f>
        <v>0.10056213933134417</v>
      </c>
      <c r="O179">
        <f>MIN(F179*Inputs!B31,F179)</f>
        <v>0.26565524930057605</v>
      </c>
      <c r="P179">
        <f>MIN((F179-O179)*Inputs!B34,F179-O179)</f>
        <v>1.7029868808029765E-2</v>
      </c>
      <c r="Q179">
        <f>P179*Inputs!B35</f>
        <v>4.2574672020074412E-3</v>
      </c>
      <c r="R179">
        <f>C179*Inputs!B8/12</f>
        <v>4.2434127224811886E-2</v>
      </c>
      <c r="S179">
        <f t="shared" si="29"/>
        <v>0.43124395685460565</v>
      </c>
      <c r="T179">
        <f t="shared" si="30"/>
        <v>8.4656452244159208</v>
      </c>
      <c r="U179">
        <f t="shared" si="31"/>
        <v>90.63107439756898</v>
      </c>
      <c r="V179">
        <f t="shared" si="32"/>
        <v>0.70925748496743957</v>
      </c>
      <c r="W179">
        <f t="shared" si="33"/>
        <v>2.0316707653942054</v>
      </c>
      <c r="X179">
        <f t="shared" si="34"/>
        <v>93.372002647930628</v>
      </c>
      <c r="Y179">
        <f t="shared" si="41"/>
        <v>81618.419674048972</v>
      </c>
      <c r="Z179">
        <f>IF(Inputs!B3&gt;0,(V179+W179)/Inputs!B3,0)</f>
        <v>9.1364275012054839E-9</v>
      </c>
      <c r="AA179">
        <f>IF(OR(Y179/Inputs!B3&gt;=Inputs!B23,Z179&gt;=Inputs!B24),1,0)</f>
        <v>0</v>
      </c>
      <c r="AB179">
        <f t="shared" si="35"/>
        <v>0</v>
      </c>
    </row>
    <row r="180" spans="1:28" x14ac:dyDescent="0.2">
      <c r="A180">
        <v>179</v>
      </c>
      <c r="B180">
        <f t="shared" si="36"/>
        <v>0</v>
      </c>
      <c r="C180">
        <f t="shared" si="37"/>
        <v>93.372002647930628</v>
      </c>
      <c r="D180">
        <f t="shared" si="38"/>
        <v>90.63107439756898</v>
      </c>
      <c r="E180">
        <f t="shared" si="39"/>
        <v>0.70925748496743957</v>
      </c>
      <c r="F180">
        <f t="shared" si="40"/>
        <v>2.0316707653942054</v>
      </c>
      <c r="G180">
        <f>MAX(Inputs!B7-A180+1,0)</f>
        <v>122</v>
      </c>
      <c r="H180">
        <f>IF(AND(A180&lt;=Inputs!B7,D180&gt;0),-PMT(Inputs!B6/12,G180,D180),0)</f>
        <v>0.98277957679164329</v>
      </c>
      <c r="I180">
        <f>IF(AND(A180&lt;=Inputs!B7,D180&gt;0),D180*Inputs!B6/12,0)</f>
        <v>0.43427389815501805</v>
      </c>
      <c r="J180">
        <f t="shared" si="28"/>
        <v>0.54850567863662525</v>
      </c>
      <c r="K180">
        <f>MAX((D180-J180)*Inputs!B32,0)</f>
        <v>7.2066054975145883</v>
      </c>
      <c r="L180">
        <f>MAX((D180-J180-K180)*Inputs!B33,0)</f>
        <v>0.28145118001146979</v>
      </c>
      <c r="M180">
        <f>MIN(E180*Inputs!B29,E180)</f>
        <v>0.24824011973860383</v>
      </c>
      <c r="N180">
        <f>MIN((E180-M180)*Inputs!B30,E180-M180)</f>
        <v>9.2203473045767148E-2</v>
      </c>
      <c r="O180">
        <f>MIN(F180*Inputs!B31,F180)</f>
        <v>0.24380049184730465</v>
      </c>
      <c r="P180">
        <f>MIN((F180-O180)*Inputs!B34,F180-O180)</f>
        <v>1.562886636881421E-2</v>
      </c>
      <c r="Q180">
        <f>P180*Inputs!B35</f>
        <v>3.9072165922035525E-3</v>
      </c>
      <c r="R180">
        <f>C180*Inputs!B8/12</f>
        <v>3.8905001103304429E-2</v>
      </c>
      <c r="S180">
        <f t="shared" si="29"/>
        <v>0.39536889705171363</v>
      </c>
      <c r="T180">
        <f t="shared" si="30"/>
        <v>7.7668328259278248</v>
      </c>
      <c r="U180">
        <f t="shared" si="31"/>
        <v>83.086552652992196</v>
      </c>
      <c r="V180">
        <f t="shared" si="32"/>
        <v>0.65026507219453844</v>
      </c>
      <c r="W180">
        <f t="shared" si="33"/>
        <v>1.8644448802238536</v>
      </c>
      <c r="X180">
        <f t="shared" si="34"/>
        <v>85.601262605410597</v>
      </c>
      <c r="Y180">
        <f t="shared" si="41"/>
        <v>81618.423581265568</v>
      </c>
      <c r="Z180">
        <f>IF(Inputs!B3&gt;0,(V180+W180)/Inputs!B3,0)</f>
        <v>8.3823665080613064E-9</v>
      </c>
      <c r="AA180">
        <f>IF(OR(Y180/Inputs!B3&gt;=Inputs!B23,Z180&gt;=Inputs!B24),1,0)</f>
        <v>0</v>
      </c>
      <c r="AB180">
        <f t="shared" si="35"/>
        <v>0</v>
      </c>
    </row>
    <row r="181" spans="1:28" x14ac:dyDescent="0.2">
      <c r="A181">
        <v>180</v>
      </c>
      <c r="B181">
        <f t="shared" si="36"/>
        <v>0</v>
      </c>
      <c r="C181">
        <f t="shared" si="37"/>
        <v>85.601262605410597</v>
      </c>
      <c r="D181">
        <f t="shared" si="38"/>
        <v>83.086552652992196</v>
      </c>
      <c r="E181">
        <f t="shared" si="39"/>
        <v>0.65026507219453844</v>
      </c>
      <c r="F181">
        <f t="shared" si="40"/>
        <v>1.8644448802238536</v>
      </c>
      <c r="G181">
        <f>MAX(Inputs!B7-A181+1,0)</f>
        <v>121</v>
      </c>
      <c r="H181">
        <f>IF(AND(A181&lt;=Inputs!B7,D181&gt;0),-PMT(Inputs!B6/12,G181,D181),0)</f>
        <v>0.90645469167469384</v>
      </c>
      <c r="I181">
        <f>IF(AND(A181&lt;=Inputs!B7,D181&gt;0),D181*Inputs!B6/12,0)</f>
        <v>0.39812306479558762</v>
      </c>
      <c r="J181">
        <f t="shared" si="28"/>
        <v>0.50833162687910627</v>
      </c>
      <c r="K181">
        <f>MAX((D181-J181)*Inputs!B32,0)</f>
        <v>6.6062576820890468</v>
      </c>
      <c r="L181">
        <f>MAX((D181-J181-K181)*Inputs!B33,0)</f>
        <v>0.25800482914252038</v>
      </c>
      <c r="M181">
        <f>MIN(E181*Inputs!B29,E181)</f>
        <v>0.22759277526808844</v>
      </c>
      <c r="N181">
        <f>MIN((E181-M181)*Inputs!B30,E181-M181)</f>
        <v>8.4534459385290014E-2</v>
      </c>
      <c r="O181">
        <f>MIN(F181*Inputs!B31,F181)</f>
        <v>0.22373338562686243</v>
      </c>
      <c r="P181">
        <f>MIN((F181-O181)*Inputs!B34,F181-O181)</f>
        <v>1.4342461574665889E-2</v>
      </c>
      <c r="Q181">
        <f>P181*Inputs!B35</f>
        <v>3.5856153936664721E-3</v>
      </c>
      <c r="R181">
        <f>C181*Inputs!B8/12</f>
        <v>3.5667192752254419E-2</v>
      </c>
      <c r="S181">
        <f t="shared" si="29"/>
        <v>0.36245587204333318</v>
      </c>
      <c r="T181">
        <f t="shared" si="30"/>
        <v>7.1253461551491517</v>
      </c>
      <c r="U181">
        <f t="shared" si="31"/>
        <v>76.165284675776462</v>
      </c>
      <c r="V181">
        <f t="shared" si="32"/>
        <v>0.59614266668368043</v>
      </c>
      <c r="W181">
        <f t="shared" si="33"/>
        <v>1.7109034924076152</v>
      </c>
      <c r="X181">
        <f t="shared" si="34"/>
        <v>78.472330834867748</v>
      </c>
      <c r="Y181">
        <f t="shared" si="41"/>
        <v>81618.427166880967</v>
      </c>
      <c r="Z181">
        <f>IF(Inputs!B3&gt;0,(V181+W181)/Inputs!B3,0)</f>
        <v>7.6901538636376506E-9</v>
      </c>
      <c r="AA181">
        <f>IF(OR(Y181/Inputs!B3&gt;=Inputs!B23,Z181&gt;=Inputs!B24),1,0)</f>
        <v>0</v>
      </c>
      <c r="AB181">
        <f t="shared" si="35"/>
        <v>0</v>
      </c>
    </row>
    <row r="182" spans="1:28" x14ac:dyDescent="0.2">
      <c r="A182">
        <v>181</v>
      </c>
      <c r="B182">
        <f t="shared" si="36"/>
        <v>0</v>
      </c>
      <c r="C182">
        <f t="shared" si="37"/>
        <v>78.472330834867748</v>
      </c>
      <c r="D182">
        <f t="shared" si="38"/>
        <v>76.165284675776462</v>
      </c>
      <c r="E182">
        <f t="shared" si="39"/>
        <v>0.59614266668368043</v>
      </c>
      <c r="F182">
        <f t="shared" si="40"/>
        <v>1.7109034924076152</v>
      </c>
      <c r="G182">
        <f>MAX(Inputs!B7-A182+1,0)</f>
        <v>120</v>
      </c>
      <c r="H182">
        <f>IF(AND(A182&lt;=Inputs!B7,D182&gt;0),-PMT(Inputs!B6/12,G182,D182),0)</f>
        <v>0.83606038952164075</v>
      </c>
      <c r="I182">
        <f>IF(AND(A182&lt;=Inputs!B7,D182&gt;0),D182*Inputs!B6/12,0)</f>
        <v>0.36495865573809555</v>
      </c>
      <c r="J182">
        <f t="shared" si="28"/>
        <v>0.4711017337835452</v>
      </c>
      <c r="K182">
        <f>MAX((D182-J182)*Inputs!B32,0)</f>
        <v>6.0555346353594341</v>
      </c>
      <c r="L182">
        <f>MAX((D182-J182-K182)*Inputs!B33,0)</f>
        <v>0.2364965543500375</v>
      </c>
      <c r="M182">
        <f>MIN(E182*Inputs!B29,E182)</f>
        <v>0.20864993333928814</v>
      </c>
      <c r="N182">
        <f>MIN((E182-M182)*Inputs!B30,E182-M182)</f>
        <v>7.7498546668878454E-2</v>
      </c>
      <c r="O182">
        <f>MIN(F182*Inputs!B31,F182)</f>
        <v>0.20530841908891381</v>
      </c>
      <c r="P182">
        <f>MIN((F182-O182)*Inputs!B34,F182-O182)</f>
        <v>1.3161326386260172E-2</v>
      </c>
      <c r="Q182">
        <f>P182*Inputs!B35</f>
        <v>3.2903315965650431E-3</v>
      </c>
      <c r="R182">
        <f>C182*Inputs!B8/12</f>
        <v>3.2696804514528229E-2</v>
      </c>
      <c r="S182">
        <f t="shared" si="29"/>
        <v>0.33226185122356733</v>
      </c>
      <c r="T182">
        <f t="shared" si="30"/>
        <v>6.5365073639326745</v>
      </c>
      <c r="U182">
        <f t="shared" si="31"/>
        <v>69.81611010471164</v>
      </c>
      <c r="V182">
        <f t="shared" si="32"/>
        <v>0.54649074102555129</v>
      </c>
      <c r="W182">
        <f t="shared" si="33"/>
        <v>1.5699322936013196</v>
      </c>
      <c r="X182">
        <f t="shared" si="34"/>
        <v>71.932533139338517</v>
      </c>
      <c r="Y182">
        <f t="shared" si="41"/>
        <v>81618.430457212569</v>
      </c>
      <c r="Z182">
        <f>IF(Inputs!B3&gt;0,(V182+W182)/Inputs!B3,0)</f>
        <v>7.0547434487562366E-9</v>
      </c>
      <c r="AA182">
        <f>IF(OR(Y182/Inputs!B3&gt;=Inputs!B23,Z182&gt;=Inputs!B24),1,0)</f>
        <v>0</v>
      </c>
      <c r="AB182">
        <f t="shared" si="35"/>
        <v>0</v>
      </c>
    </row>
    <row r="183" spans="1:28" x14ac:dyDescent="0.2">
      <c r="A183">
        <v>182</v>
      </c>
      <c r="B183">
        <f t="shared" si="36"/>
        <v>0</v>
      </c>
      <c r="C183">
        <f t="shared" si="37"/>
        <v>71.932533139338517</v>
      </c>
      <c r="D183">
        <f t="shared" si="38"/>
        <v>69.81611010471164</v>
      </c>
      <c r="E183">
        <f t="shared" si="39"/>
        <v>0.54649074102555129</v>
      </c>
      <c r="F183">
        <f t="shared" si="40"/>
        <v>1.5699322936013196</v>
      </c>
      <c r="G183">
        <f>MAX(Inputs!B7-A183+1,0)</f>
        <v>119</v>
      </c>
      <c r="H183">
        <f>IF(AND(A183&lt;=Inputs!B7,D183&gt;0),-PMT(Inputs!B6/12,G183,D183),0)</f>
        <v>0.7711356664456277</v>
      </c>
      <c r="I183">
        <f>IF(AND(A183&lt;=Inputs!B7,D183&gt;0),D183*Inputs!B6/12,0)</f>
        <v>0.3345355275850766</v>
      </c>
      <c r="J183">
        <f t="shared" si="28"/>
        <v>0.4366001388605511</v>
      </c>
      <c r="K183">
        <f>MAX((D183-J183)*Inputs!B32,0)</f>
        <v>5.5503607972680866</v>
      </c>
      <c r="L183">
        <f>MAX((D183-J183-K183)*Inputs!B33,0)</f>
        <v>0.21676718621815236</v>
      </c>
      <c r="M183">
        <f>MIN(E183*Inputs!B29,E183)</f>
        <v>0.19127175935894294</v>
      </c>
      <c r="N183">
        <f>MIN((E183-M183)*Inputs!B30,E183-M183)</f>
        <v>7.1043796333321682E-2</v>
      </c>
      <c r="O183">
        <f>MIN(F183*Inputs!B31,F183)</f>
        <v>0.18839187523215833</v>
      </c>
      <c r="P183">
        <f>MIN((F183-O183)*Inputs!B34,F183-O183)</f>
        <v>1.2076888855572152E-2</v>
      </c>
      <c r="Q183">
        <f>P183*Inputs!B35</f>
        <v>3.0192222138930381E-3</v>
      </c>
      <c r="R183">
        <f>C183*Inputs!B8/12</f>
        <v>2.9971888808057717E-2</v>
      </c>
      <c r="S183">
        <f t="shared" si="29"/>
        <v>0.30456363877701886</v>
      </c>
      <c r="T183">
        <f t="shared" si="30"/>
        <v>5.9960186027703166</v>
      </c>
      <c r="U183">
        <f t="shared" si="31"/>
        <v>63.992045616955949</v>
      </c>
      <c r="V183">
        <f t="shared" si="32"/>
        <v>0.50094237155143906</v>
      </c>
      <c r="W183">
        <f t="shared" si="33"/>
        <v>1.4405073258469108</v>
      </c>
      <c r="X183">
        <f t="shared" si="34"/>
        <v>65.933495314354303</v>
      </c>
      <c r="Y183">
        <f t="shared" si="41"/>
        <v>81618.433476434788</v>
      </c>
      <c r="Z183">
        <f>IF(Inputs!B3&gt;0,(V183+W183)/Inputs!B3,0)</f>
        <v>6.4714989913278326E-9</v>
      </c>
      <c r="AA183">
        <f>IF(OR(Y183/Inputs!B3&gt;=Inputs!B23,Z183&gt;=Inputs!B24),1,0)</f>
        <v>0</v>
      </c>
      <c r="AB183">
        <f t="shared" si="35"/>
        <v>0</v>
      </c>
    </row>
    <row r="184" spans="1:28" x14ac:dyDescent="0.2">
      <c r="A184">
        <v>183</v>
      </c>
      <c r="B184">
        <f t="shared" si="36"/>
        <v>0</v>
      </c>
      <c r="C184">
        <f t="shared" si="37"/>
        <v>65.933495314354303</v>
      </c>
      <c r="D184">
        <f t="shared" si="38"/>
        <v>63.992045616955949</v>
      </c>
      <c r="E184">
        <f t="shared" si="39"/>
        <v>0.50094237155143906</v>
      </c>
      <c r="F184">
        <f t="shared" si="40"/>
        <v>1.4405073258469108</v>
      </c>
      <c r="G184">
        <f>MAX(Inputs!B7-A184+1,0)</f>
        <v>118</v>
      </c>
      <c r="H184">
        <f>IF(AND(A184&lt;=Inputs!B7,D184&gt;0),-PMT(Inputs!B6/12,G184,D184),0)</f>
        <v>0.71125536586146154</v>
      </c>
      <c r="I184">
        <f>IF(AND(A184&lt;=Inputs!B7,D184&gt;0),D184*Inputs!B6/12,0)</f>
        <v>0.3066285519145806</v>
      </c>
      <c r="J184">
        <f t="shared" si="28"/>
        <v>0.40462681394688094</v>
      </c>
      <c r="K184">
        <f>MAX((D184-J184)*Inputs!B32,0)</f>
        <v>5.0869935042407253</v>
      </c>
      <c r="L184">
        <f>MAX((D184-J184-K184)*Inputs!B33,0)</f>
        <v>0.19867055647391993</v>
      </c>
      <c r="M184">
        <f>MIN(E184*Inputs!B29,E184)</f>
        <v>0.17532983004300365</v>
      </c>
      <c r="N184">
        <f>MIN((E184-M184)*Inputs!B30,E184-M184)</f>
        <v>6.5122508301687088E-2</v>
      </c>
      <c r="O184">
        <f>MIN(F184*Inputs!B31,F184)</f>
        <v>0.17286087910162928</v>
      </c>
      <c r="P184">
        <f>MIN((F184-O184)*Inputs!B34,F184-O184)</f>
        <v>1.1081272065550927E-2</v>
      </c>
      <c r="Q184">
        <f>P184*Inputs!B35</f>
        <v>2.7703180163877318E-3</v>
      </c>
      <c r="R184">
        <f>C184*Inputs!B8/12</f>
        <v>2.7472289714314296E-2</v>
      </c>
      <c r="S184">
        <f t="shared" si="29"/>
        <v>0.27915626220026629</v>
      </c>
      <c r="T184">
        <f t="shared" si="30"/>
        <v>5.4999312722367701</v>
      </c>
      <c r="U184">
        <f t="shared" si="31"/>
        <v>58.649945451439052</v>
      </c>
      <c r="V184">
        <f t="shared" si="32"/>
        <v>0.45916058968066831</v>
      </c>
      <c r="W184">
        <f t="shared" si="33"/>
        <v>1.3216876829814177</v>
      </c>
      <c r="X184">
        <f t="shared" si="34"/>
        <v>60.430793724101143</v>
      </c>
      <c r="Y184">
        <f t="shared" si="41"/>
        <v>81618.436246752797</v>
      </c>
      <c r="Z184">
        <f>IF(Inputs!B3&gt;0,(V184+W184)/Inputs!B3,0)</f>
        <v>5.9361609088736199E-9</v>
      </c>
      <c r="AA184">
        <f>IF(OR(Y184/Inputs!B3&gt;=Inputs!B23,Z184&gt;=Inputs!B24),1,0)</f>
        <v>0</v>
      </c>
      <c r="AB184">
        <f t="shared" si="35"/>
        <v>0</v>
      </c>
    </row>
    <row r="185" spans="1:28" x14ac:dyDescent="0.2">
      <c r="A185">
        <v>184</v>
      </c>
      <c r="B185">
        <f t="shared" si="36"/>
        <v>0</v>
      </c>
      <c r="C185">
        <f t="shared" si="37"/>
        <v>60.430793724101143</v>
      </c>
      <c r="D185">
        <f t="shared" si="38"/>
        <v>58.649945451439052</v>
      </c>
      <c r="E185">
        <f t="shared" si="39"/>
        <v>0.45916058968066831</v>
      </c>
      <c r="F185">
        <f t="shared" si="40"/>
        <v>1.3216876829814177</v>
      </c>
      <c r="G185">
        <f>MAX(Inputs!B7-A185+1,0)</f>
        <v>117</v>
      </c>
      <c r="H185">
        <f>IF(AND(A185&lt;=Inputs!B7,D185&gt;0),-PMT(Inputs!B6/12,G185,D185),0)</f>
        <v>0.65602739024600909</v>
      </c>
      <c r="I185">
        <f>IF(AND(A185&lt;=Inputs!B7,D185&gt;0),D185*Inputs!B6/12,0)</f>
        <v>0.28103098862147879</v>
      </c>
      <c r="J185">
        <f t="shared" si="28"/>
        <v>0.3749964016245303</v>
      </c>
      <c r="K185">
        <f>MAX((D185-J185)*Inputs!B32,0)</f>
        <v>4.6619959239851623</v>
      </c>
      <c r="L185">
        <f>MAX((D185-J185-K185)*Inputs!B33,0)</f>
        <v>0.18207244096638997</v>
      </c>
      <c r="M185">
        <f>MIN(E185*Inputs!B29,E185)</f>
        <v>0.16070620638823391</v>
      </c>
      <c r="N185">
        <f>MIN((E185-M185)*Inputs!B30,E185-M185)</f>
        <v>5.969087665848688E-2</v>
      </c>
      <c r="O185">
        <f>MIN(F185*Inputs!B31,F185)</f>
        <v>0.15860252195777011</v>
      </c>
      <c r="P185">
        <f>MIN((F185-O185)*Inputs!B34,F185-O185)</f>
        <v>1.0167237984849519E-2</v>
      </c>
      <c r="Q185">
        <f>P185*Inputs!B35</f>
        <v>2.5418094962123797E-3</v>
      </c>
      <c r="R185">
        <f>C185*Inputs!B8/12</f>
        <v>2.5179497385042143E-2</v>
      </c>
      <c r="S185">
        <f t="shared" si="29"/>
        <v>0.25585149123643663</v>
      </c>
      <c r="T185">
        <f t="shared" si="30"/>
        <v>5.0446177540983301</v>
      </c>
      <c r="U185">
        <f t="shared" si="31"/>
        <v>53.750189413208979</v>
      </c>
      <c r="V185">
        <f t="shared" si="32"/>
        <v>0.42083594760033749</v>
      </c>
      <c r="W185">
        <f t="shared" si="33"/>
        <v>1.2126087996972852</v>
      </c>
      <c r="X185">
        <f t="shared" si="34"/>
        <v>55.383634160506602</v>
      </c>
      <c r="Y185">
        <f t="shared" si="41"/>
        <v>81618.4387885623</v>
      </c>
      <c r="Z185">
        <f>IF(Inputs!B3&gt;0,(V185+W185)/Inputs!B3,0)</f>
        <v>5.4448158243254091E-9</v>
      </c>
      <c r="AA185">
        <f>IF(OR(Y185/Inputs!B3&gt;=Inputs!B23,Z185&gt;=Inputs!B24),1,0)</f>
        <v>0</v>
      </c>
      <c r="AB185">
        <f t="shared" si="35"/>
        <v>0</v>
      </c>
    </row>
    <row r="186" spans="1:28" x14ac:dyDescent="0.2">
      <c r="A186">
        <v>185</v>
      </c>
      <c r="B186">
        <f t="shared" si="36"/>
        <v>0</v>
      </c>
      <c r="C186">
        <f t="shared" si="37"/>
        <v>55.383634160506602</v>
      </c>
      <c r="D186">
        <f t="shared" si="38"/>
        <v>53.750189413208979</v>
      </c>
      <c r="E186">
        <f t="shared" si="39"/>
        <v>0.42083594760033749</v>
      </c>
      <c r="F186">
        <f t="shared" si="40"/>
        <v>1.2126087996972852</v>
      </c>
      <c r="G186">
        <f>MAX(Inputs!B7-A186+1,0)</f>
        <v>116</v>
      </c>
      <c r="H186">
        <f>IF(AND(A186&lt;=Inputs!B7,D186&gt;0),-PMT(Inputs!B6/12,G186,D186),0)</f>
        <v>0.6050901298229171</v>
      </c>
      <c r="I186">
        <f>IF(AND(A186&lt;=Inputs!B7,D186&gt;0),D186*Inputs!B6/12,0)</f>
        <v>0.25755299093829304</v>
      </c>
      <c r="J186">
        <f t="shared" si="28"/>
        <v>0.34753713888462406</v>
      </c>
      <c r="K186">
        <f>MAX((D186-J186)*Inputs!B32,0)</f>
        <v>4.2722121819459487</v>
      </c>
      <c r="L186">
        <f>MAX((D186-J186-K186)*Inputs!B33,0)</f>
        <v>0.16684958823994919</v>
      </c>
      <c r="M186">
        <f>MIN(E186*Inputs!B29,E186)</f>
        <v>0.1472925816601181</v>
      </c>
      <c r="N186">
        <f>MIN((E186-M186)*Inputs!B30,E186-M186)</f>
        <v>5.4708673188043878E-2</v>
      </c>
      <c r="O186">
        <f>MIN(F186*Inputs!B31,F186)</f>
        <v>0.14551305596367423</v>
      </c>
      <c r="P186">
        <f>MIN((F186-O186)*Inputs!B34,F186-O186)</f>
        <v>9.3281358431319787E-3</v>
      </c>
      <c r="Q186">
        <f>P186*Inputs!B35</f>
        <v>2.3320339607829947E-3</v>
      </c>
      <c r="R186">
        <f>C186*Inputs!B8/12</f>
        <v>2.3076514233544416E-2</v>
      </c>
      <c r="S186">
        <f t="shared" si="29"/>
        <v>0.23447647670474861</v>
      </c>
      <c r="T186">
        <f t="shared" si="30"/>
        <v>4.6267454227129221</v>
      </c>
      <c r="U186">
        <f t="shared" si="31"/>
        <v>49.256396141762252</v>
      </c>
      <c r="V186">
        <f t="shared" si="32"/>
        <v>0.38568428099212471</v>
      </c>
      <c r="W186">
        <f t="shared" si="33"/>
        <v>1.1124762810785229</v>
      </c>
      <c r="X186">
        <f t="shared" si="34"/>
        <v>50.754556703832897</v>
      </c>
      <c r="Y186">
        <f t="shared" si="41"/>
        <v>81618.441120596268</v>
      </c>
      <c r="Z186">
        <f>IF(Inputs!B3&gt;0,(V186+W186)/Inputs!B3,0)</f>
        <v>4.9938685402354921E-9</v>
      </c>
      <c r="AA186">
        <f>IF(OR(Y186/Inputs!B3&gt;=Inputs!B23,Z186&gt;=Inputs!B24),1,0)</f>
        <v>0</v>
      </c>
      <c r="AB186">
        <f t="shared" si="35"/>
        <v>0</v>
      </c>
    </row>
    <row r="187" spans="1:28" x14ac:dyDescent="0.2">
      <c r="A187">
        <v>186</v>
      </c>
      <c r="B187">
        <f t="shared" si="36"/>
        <v>0</v>
      </c>
      <c r="C187">
        <f t="shared" si="37"/>
        <v>50.754556703832897</v>
      </c>
      <c r="D187">
        <f t="shared" si="38"/>
        <v>49.256396141762252</v>
      </c>
      <c r="E187">
        <f t="shared" si="39"/>
        <v>0.38568428099212471</v>
      </c>
      <c r="F187">
        <f t="shared" si="40"/>
        <v>1.1124762810785229</v>
      </c>
      <c r="G187">
        <f>MAX(Inputs!B7-A187+1,0)</f>
        <v>115</v>
      </c>
      <c r="H187">
        <f>IF(AND(A187&lt;=Inputs!B7,D187&gt;0),-PMT(Inputs!B6/12,G187,D187),0)</f>
        <v>0.55811009129143563</v>
      </c>
      <c r="I187">
        <f>IF(AND(A187&lt;=Inputs!B7,D187&gt;0),D187*Inputs!B6/12,0)</f>
        <v>0.23602023151261078</v>
      </c>
      <c r="J187">
        <f t="shared" si="28"/>
        <v>0.32208985977882487</v>
      </c>
      <c r="K187">
        <f>MAX((D187-J187)*Inputs!B32,0)</f>
        <v>3.914744502558674</v>
      </c>
      <c r="L187">
        <f>MAX((D187-J187-K187)*Inputs!B33,0)</f>
        <v>0.15288882679488208</v>
      </c>
      <c r="M187">
        <f>MIN(E187*Inputs!B29,E187)</f>
        <v>0.13498949834724364</v>
      </c>
      <c r="N187">
        <f>MIN((E187-M187)*Inputs!B30,E187-M187)</f>
        <v>5.0138956528976222E-2</v>
      </c>
      <c r="O187">
        <f>MIN(F187*Inputs!B31,F187)</f>
        <v>0.13349715372942275</v>
      </c>
      <c r="P187">
        <f>MIN((F187-O187)*Inputs!B34,F187-O187)</f>
        <v>8.5578546640543308E-3</v>
      </c>
      <c r="Q187">
        <f>P187*Inputs!B35</f>
        <v>2.1394636660135827E-3</v>
      </c>
      <c r="R187">
        <f>C187*Inputs!B8/12</f>
        <v>2.1147731959930374E-2</v>
      </c>
      <c r="S187">
        <f t="shared" si="29"/>
        <v>0.2148724995526804</v>
      </c>
      <c r="T187">
        <f t="shared" si="30"/>
        <v>4.2432527533355389</v>
      </c>
      <c r="U187">
        <f t="shared" si="31"/>
        <v>45.135159604706537</v>
      </c>
      <c r="V187">
        <f t="shared" si="32"/>
        <v>0.35344465291078697</v>
      </c>
      <c r="W187">
        <f t="shared" si="33"/>
        <v>1.0205602292140221</v>
      </c>
      <c r="X187">
        <f t="shared" si="34"/>
        <v>46.509164486831345</v>
      </c>
      <c r="Y187">
        <f t="shared" si="41"/>
        <v>81618.443260059939</v>
      </c>
      <c r="Z187">
        <f>IF(Inputs!B3&gt;0,(V187+W187)/Inputs!B3,0)</f>
        <v>4.5800162737493634E-9</v>
      </c>
      <c r="AA187">
        <f>IF(OR(Y187/Inputs!B3&gt;=Inputs!B23,Z187&gt;=Inputs!B24),1,0)</f>
        <v>0</v>
      </c>
      <c r="AB187">
        <f t="shared" si="35"/>
        <v>0</v>
      </c>
    </row>
    <row r="188" spans="1:28" x14ac:dyDescent="0.2">
      <c r="A188">
        <v>187</v>
      </c>
      <c r="B188">
        <f t="shared" si="36"/>
        <v>0</v>
      </c>
      <c r="C188">
        <f t="shared" si="37"/>
        <v>46.509164486831345</v>
      </c>
      <c r="D188">
        <f t="shared" si="38"/>
        <v>45.135159604706537</v>
      </c>
      <c r="E188">
        <f t="shared" si="39"/>
        <v>0.35344465291078697</v>
      </c>
      <c r="F188">
        <f t="shared" si="40"/>
        <v>1.0205602292140221</v>
      </c>
      <c r="G188">
        <f>MAX(Inputs!B7-A188+1,0)</f>
        <v>114</v>
      </c>
      <c r="H188">
        <f>IF(AND(A188&lt;=Inputs!B7,D188&gt;0),-PMT(Inputs!B6/12,G188,D188),0)</f>
        <v>0.51477971103292919</v>
      </c>
      <c r="I188">
        <f>IF(AND(A188&lt;=Inputs!B7,D188&gt;0),D188*Inputs!B6/12,0)</f>
        <v>0.21627263977255218</v>
      </c>
      <c r="J188">
        <f t="shared" si="28"/>
        <v>0.29850707126037701</v>
      </c>
      <c r="K188">
        <f>MAX((D188-J188)*Inputs!B32,0)</f>
        <v>3.5869322026756931</v>
      </c>
      <c r="L188">
        <f>MAX((D188-J188-K188)*Inputs!B33,0)</f>
        <v>0.14008624468376774</v>
      </c>
      <c r="M188">
        <f>MIN(E188*Inputs!B29,E188)</f>
        <v>0.12370562851877544</v>
      </c>
      <c r="N188">
        <f>MIN((E188-M188)*Inputs!B30,E188-M188)</f>
        <v>4.5947804878402311E-2</v>
      </c>
      <c r="O188">
        <f>MIN(F188*Inputs!B31,F188)</f>
        <v>0.12246722750568265</v>
      </c>
      <c r="P188">
        <f>MIN((F188-O188)*Inputs!B34,F188-O188)</f>
        <v>7.8507796220700816E-3</v>
      </c>
      <c r="Q188">
        <f>P188*Inputs!B35</f>
        <v>1.9626949055175204E-3</v>
      </c>
      <c r="R188">
        <f>C188*Inputs!B8/12</f>
        <v>1.9378818536179728E-2</v>
      </c>
      <c r="S188">
        <f t="shared" si="29"/>
        <v>0.19689382123637245</v>
      </c>
      <c r="T188">
        <f t="shared" si="30"/>
        <v>3.8913273586526227</v>
      </c>
      <c r="U188">
        <f t="shared" si="31"/>
        <v>41.355806942111165</v>
      </c>
      <c r="V188">
        <f t="shared" si="32"/>
        <v>0.32387746419737695</v>
      </c>
      <c r="W188">
        <f t="shared" si="33"/>
        <v>0.9361900269646718</v>
      </c>
      <c r="X188">
        <f t="shared" si="34"/>
        <v>42.615874433273213</v>
      </c>
      <c r="Y188">
        <f t="shared" si="41"/>
        <v>81618.445222754846</v>
      </c>
      <c r="Z188">
        <f>IF(Inputs!B3&gt;0,(V188+W188)/Inputs!B3,0)</f>
        <v>4.200224970540162E-9</v>
      </c>
      <c r="AA188">
        <f>IF(OR(Y188/Inputs!B3&gt;=Inputs!B23,Z188&gt;=Inputs!B24),1,0)</f>
        <v>0</v>
      </c>
      <c r="AB188">
        <f t="shared" si="35"/>
        <v>0</v>
      </c>
    </row>
    <row r="189" spans="1:28" x14ac:dyDescent="0.2">
      <c r="A189">
        <v>188</v>
      </c>
      <c r="B189">
        <f t="shared" si="36"/>
        <v>0</v>
      </c>
      <c r="C189">
        <f t="shared" si="37"/>
        <v>42.615874433273213</v>
      </c>
      <c r="D189">
        <f t="shared" si="38"/>
        <v>41.355806942111165</v>
      </c>
      <c r="E189">
        <f t="shared" si="39"/>
        <v>0.32387746419737695</v>
      </c>
      <c r="F189">
        <f t="shared" si="40"/>
        <v>0.9361900269646718</v>
      </c>
      <c r="G189">
        <f>MAX(Inputs!B7-A189+1,0)</f>
        <v>113</v>
      </c>
      <c r="H189">
        <f>IF(AND(A189&lt;=Inputs!B7,D189&gt;0),-PMT(Inputs!B6/12,G189,D189),0)</f>
        <v>0.47481533844019336</v>
      </c>
      <c r="I189">
        <f>IF(AND(A189&lt;=Inputs!B7,D189&gt;0),D189*Inputs!B6/12,0)</f>
        <v>0.198163241597616</v>
      </c>
      <c r="J189">
        <f t="shared" si="28"/>
        <v>0.27665209684257736</v>
      </c>
      <c r="K189">
        <f>MAX((D189-J189)*Inputs!B32,0)</f>
        <v>3.2863323876214872</v>
      </c>
      <c r="L189">
        <f>MAX((D189-J189-K189)*Inputs!B33,0)</f>
        <v>0.12834643560341583</v>
      </c>
      <c r="M189">
        <f>MIN(E189*Inputs!B29,E189)</f>
        <v>0.11335711246908192</v>
      </c>
      <c r="N189">
        <f>MIN((E189-M189)*Inputs!B30,E189-M189)</f>
        <v>4.2104070345659009E-2</v>
      </c>
      <c r="O189">
        <f>MIN(F189*Inputs!B31,F189)</f>
        <v>0.11234280323576061</v>
      </c>
      <c r="P189">
        <f>MIN((F189-O189)*Inputs!B34,F189-O189)</f>
        <v>7.2017519159451307E-3</v>
      </c>
      <c r="Q189">
        <f>P189*Inputs!B35</f>
        <v>1.8004379789862827E-3</v>
      </c>
      <c r="R189">
        <f>C189*Inputs!B8/12</f>
        <v>1.7756614347197174E-2</v>
      </c>
      <c r="S189">
        <f t="shared" si="29"/>
        <v>0.18040662725041884</v>
      </c>
      <c r="T189">
        <f t="shared" si="30"/>
        <v>3.5683857984010237</v>
      </c>
      <c r="U189">
        <f t="shared" si="31"/>
        <v>37.890175937748531</v>
      </c>
      <c r="V189">
        <f t="shared" si="32"/>
        <v>0.29676271698605183</v>
      </c>
      <c r="W189">
        <f t="shared" si="33"/>
        <v>0.85874954215862509</v>
      </c>
      <c r="X189">
        <f t="shared" si="34"/>
        <v>39.045688196893209</v>
      </c>
      <c r="Y189">
        <f t="shared" si="41"/>
        <v>81618.447023192828</v>
      </c>
      <c r="Z189">
        <f>IF(Inputs!B3&gt;0,(V189+W189)/Inputs!B3,0)</f>
        <v>3.8517075304822563E-9</v>
      </c>
      <c r="AA189">
        <f>IF(OR(Y189/Inputs!B3&gt;=Inputs!B23,Z189&gt;=Inputs!B24),1,0)</f>
        <v>0</v>
      </c>
      <c r="AB189">
        <f t="shared" si="35"/>
        <v>0</v>
      </c>
    </row>
    <row r="190" spans="1:28" x14ac:dyDescent="0.2">
      <c r="A190">
        <v>189</v>
      </c>
      <c r="B190">
        <f t="shared" si="36"/>
        <v>0</v>
      </c>
      <c r="C190">
        <f t="shared" si="37"/>
        <v>39.045688196893209</v>
      </c>
      <c r="D190">
        <f t="shared" si="38"/>
        <v>37.890175937748531</v>
      </c>
      <c r="E190">
        <f t="shared" si="39"/>
        <v>0.29676271698605183</v>
      </c>
      <c r="F190">
        <f t="shared" si="40"/>
        <v>0.85874954215862509</v>
      </c>
      <c r="G190">
        <f>MAX(Inputs!B7-A190+1,0)</f>
        <v>112</v>
      </c>
      <c r="H190">
        <f>IF(AND(A190&lt;=Inputs!B7,D190&gt;0),-PMT(Inputs!B6/12,G190,D190),0)</f>
        <v>0.43795537613190905</v>
      </c>
      <c r="I190">
        <f>IF(AND(A190&lt;=Inputs!B7,D190&gt;0),D190*Inputs!B6/12,0)</f>
        <v>0.18155709303504505</v>
      </c>
      <c r="J190">
        <f t="shared" si="28"/>
        <v>0.25639828309686397</v>
      </c>
      <c r="K190">
        <f>MAX((D190-J190)*Inputs!B32,0)</f>
        <v>3.0107022123721334</v>
      </c>
      <c r="L190">
        <f>MAX((D190-J190-K190)*Inputs!B33,0)</f>
        <v>0.1175818061121174</v>
      </c>
      <c r="M190">
        <f>MIN(E190*Inputs!B29,E190)</f>
        <v>0.10386695094511814</v>
      </c>
      <c r="N190">
        <f>MIN((E190-M190)*Inputs!B30,E190-M190)</f>
        <v>3.8579153208186744E-2</v>
      </c>
      <c r="O190">
        <f>MIN(F190*Inputs!B31,F190)</f>
        <v>0.103049945059035</v>
      </c>
      <c r="P190">
        <f>MIN((F190-O190)*Inputs!B34,F190-O190)</f>
        <v>6.6060318764656753E-3</v>
      </c>
      <c r="Q190">
        <f>P190*Inputs!B35</f>
        <v>1.6515079691164188E-3</v>
      </c>
      <c r="R190">
        <f>C190*Inputs!B8/12</f>
        <v>1.6269036748705504E-2</v>
      </c>
      <c r="S190">
        <f t="shared" si="29"/>
        <v>0.16528805628633955</v>
      </c>
      <c r="T190">
        <f t="shared" si="30"/>
        <v>3.2720550193763467</v>
      </c>
      <c r="U190">
        <f t="shared" si="31"/>
        <v>34.712410532171567</v>
      </c>
      <c r="V190">
        <f t="shared" si="32"/>
        <v>0.27189841894486433</v>
      </c>
      <c r="W190">
        <f t="shared" si="33"/>
        <v>0.78767271843131115</v>
      </c>
      <c r="X190">
        <f t="shared" si="34"/>
        <v>35.771981669547742</v>
      </c>
      <c r="Y190">
        <f t="shared" si="41"/>
        <v>81618.44867470079</v>
      </c>
      <c r="Z190">
        <f>IF(Inputs!B3&gt;0,(V190+W190)/Inputs!B3,0)</f>
        <v>3.531903791253918E-9</v>
      </c>
      <c r="AA190">
        <f>IF(OR(Y190/Inputs!B3&gt;=Inputs!B23,Z190&gt;=Inputs!B24),1,0)</f>
        <v>0</v>
      </c>
      <c r="AB190">
        <f t="shared" si="35"/>
        <v>0</v>
      </c>
    </row>
    <row r="191" spans="1:28" x14ac:dyDescent="0.2">
      <c r="A191">
        <v>190</v>
      </c>
      <c r="B191">
        <f t="shared" si="36"/>
        <v>0</v>
      </c>
      <c r="C191">
        <f t="shared" si="37"/>
        <v>35.771981669547742</v>
      </c>
      <c r="D191">
        <f t="shared" si="38"/>
        <v>34.712410532171567</v>
      </c>
      <c r="E191">
        <f t="shared" si="39"/>
        <v>0.27189841894486433</v>
      </c>
      <c r="F191">
        <f t="shared" si="40"/>
        <v>0.78767271843131115</v>
      </c>
      <c r="G191">
        <f>MAX(Inputs!B7-A191+1,0)</f>
        <v>111</v>
      </c>
      <c r="H191">
        <f>IF(AND(A191&lt;=Inputs!B7,D191&gt;0),-PMT(Inputs!B6/12,G191,D191),0)</f>
        <v>0.40395856484482789</v>
      </c>
      <c r="I191">
        <f>IF(AND(A191&lt;=Inputs!B7,D191&gt;0),D191*Inputs!B6/12,0)</f>
        <v>0.16633030046665545</v>
      </c>
      <c r="J191">
        <f t="shared" si="28"/>
        <v>0.23762826437817244</v>
      </c>
      <c r="K191">
        <f>MAX((D191-J191)*Inputs!B32,0)</f>
        <v>2.7579825814234717</v>
      </c>
      <c r="L191">
        <f>MAX((D191-J191-K191)*Inputs!B33,0)</f>
        <v>0.10771193903432401</v>
      </c>
      <c r="M191">
        <f>MIN(E191*Inputs!B29,E191)</f>
        <v>9.5164446630702504E-2</v>
      </c>
      <c r="N191">
        <f>MIN((E191-M191)*Inputs!B30,E191-M191)</f>
        <v>3.5346794462832364E-2</v>
      </c>
      <c r="O191">
        <f>MIN(F191*Inputs!B31,F191)</f>
        <v>9.4520726211757333E-2</v>
      </c>
      <c r="P191">
        <f>MIN((F191-O191)*Inputs!B34,F191-O191)</f>
        <v>6.0592650484563079E-3</v>
      </c>
      <c r="Q191">
        <f>P191*Inputs!B35</f>
        <v>1.514816262114077E-3</v>
      </c>
      <c r="R191">
        <f>C191*Inputs!B8/12</f>
        <v>1.490499236231156E-2</v>
      </c>
      <c r="S191">
        <f t="shared" si="29"/>
        <v>0.1514253081043439</v>
      </c>
      <c r="T191">
        <f t="shared" si="30"/>
        <v>3.0001552945879864</v>
      </c>
      <c r="U191">
        <f t="shared" si="31"/>
        <v>31.798772920178056</v>
      </c>
      <c r="V191">
        <f t="shared" si="32"/>
        <v>0.24909911688565345</v>
      </c>
      <c r="W191">
        <f t="shared" si="33"/>
        <v>0.72243952163392988</v>
      </c>
      <c r="X191">
        <f t="shared" si="34"/>
        <v>32.770311558697642</v>
      </c>
      <c r="Y191">
        <f t="shared" si="41"/>
        <v>81618.450189517054</v>
      </c>
      <c r="Z191">
        <f>IF(Inputs!B3&gt;0,(V191+W191)/Inputs!B3,0)</f>
        <v>3.2384621283986112E-9</v>
      </c>
      <c r="AA191">
        <f>IF(OR(Y191/Inputs!B3&gt;=Inputs!B23,Z191&gt;=Inputs!B24),1,0)</f>
        <v>0</v>
      </c>
      <c r="AB191">
        <f t="shared" si="35"/>
        <v>0</v>
      </c>
    </row>
    <row r="192" spans="1:28" x14ac:dyDescent="0.2">
      <c r="A192">
        <v>191</v>
      </c>
      <c r="B192">
        <f t="shared" si="36"/>
        <v>0</v>
      </c>
      <c r="C192">
        <f t="shared" si="37"/>
        <v>32.770311558697642</v>
      </c>
      <c r="D192">
        <f t="shared" si="38"/>
        <v>31.798772920178056</v>
      </c>
      <c r="E192">
        <f t="shared" si="39"/>
        <v>0.24909911688565345</v>
      </c>
      <c r="F192">
        <f t="shared" si="40"/>
        <v>0.72243952163392988</v>
      </c>
      <c r="G192">
        <f>MAX(Inputs!B7-A192+1,0)</f>
        <v>110</v>
      </c>
      <c r="H192">
        <f>IF(AND(A192&lt;=Inputs!B7,D192&gt;0),-PMT(Inputs!B6/12,G192,D192),0)</f>
        <v>0.3726024017463328</v>
      </c>
      <c r="I192">
        <f>IF(AND(A192&lt;=Inputs!B7,D192&gt;0),D192*Inputs!B6/12,0)</f>
        <v>0.15236912024251986</v>
      </c>
      <c r="J192">
        <f t="shared" si="28"/>
        <v>0.22023328150381294</v>
      </c>
      <c r="K192">
        <f>MAX((D192-J192)*Inputs!B32,0)</f>
        <v>2.5262831710939397</v>
      </c>
      <c r="L192">
        <f>MAX((D192-J192-K192)*Inputs!B33,0)</f>
        <v>9.8663008512499428E-2</v>
      </c>
      <c r="M192">
        <f>MIN(E192*Inputs!B29,E192)</f>
        <v>8.7184690909978699E-2</v>
      </c>
      <c r="N192">
        <f>MIN((E192-M192)*Inputs!B30,E192-M192)</f>
        <v>3.238288519513495E-2</v>
      </c>
      <c r="O192">
        <f>MIN(F192*Inputs!B31,F192)</f>
        <v>8.6692742596071584E-2</v>
      </c>
      <c r="P192">
        <f>MIN((F192-O192)*Inputs!B34,F192-O192)</f>
        <v>5.5574510080504975E-3</v>
      </c>
      <c r="Q192">
        <f>P192*Inputs!B35</f>
        <v>1.3893627520126244E-3</v>
      </c>
      <c r="R192">
        <f>C192*Inputs!B8/12</f>
        <v>1.3654296482790686E-2</v>
      </c>
      <c r="S192">
        <f t="shared" si="29"/>
        <v>0.13871482375972918</v>
      </c>
      <c r="T192">
        <f t="shared" si="30"/>
        <v>2.7506845408537908</v>
      </c>
      <c r="U192">
        <f t="shared" si="31"/>
        <v>29.127470892573854</v>
      </c>
      <c r="V192">
        <f t="shared" si="32"/>
        <v>0.22819454929303923</v>
      </c>
      <c r="W192">
        <f t="shared" si="33"/>
        <v>0.66257221322494275</v>
      </c>
      <c r="X192">
        <f t="shared" si="34"/>
        <v>30.018237655091838</v>
      </c>
      <c r="Y192">
        <f t="shared" si="41"/>
        <v>81618.451578879802</v>
      </c>
      <c r="Z192">
        <f>IF(Inputs!B3&gt;0,(V192+W192)/Inputs!B3,0)</f>
        <v>2.9692225417266067E-9</v>
      </c>
      <c r="AA192">
        <f>IF(OR(Y192/Inputs!B3&gt;=Inputs!B23,Z192&gt;=Inputs!B24),1,0)</f>
        <v>0</v>
      </c>
      <c r="AB192">
        <f t="shared" si="35"/>
        <v>0</v>
      </c>
    </row>
    <row r="193" spans="1:28" x14ac:dyDescent="0.2">
      <c r="A193">
        <v>192</v>
      </c>
      <c r="B193">
        <f t="shared" si="36"/>
        <v>0</v>
      </c>
      <c r="C193">
        <f t="shared" si="37"/>
        <v>30.018237655091838</v>
      </c>
      <c r="D193">
        <f t="shared" si="38"/>
        <v>29.127470892573854</v>
      </c>
      <c r="E193">
        <f t="shared" si="39"/>
        <v>0.22819454929303923</v>
      </c>
      <c r="F193">
        <f t="shared" si="40"/>
        <v>0.66257221322494275</v>
      </c>
      <c r="G193">
        <f>MAX(Inputs!B7-A193+1,0)</f>
        <v>109</v>
      </c>
      <c r="H193">
        <f>IF(AND(A193&lt;=Inputs!B7,D193&gt;0),-PMT(Inputs!B6/12,G193,D193),0)</f>
        <v>0.34368168178612635</v>
      </c>
      <c r="I193">
        <f>IF(AND(A193&lt;=Inputs!B7,D193&gt;0),D193*Inputs!B6/12,0)</f>
        <v>0.1395691313602497</v>
      </c>
      <c r="J193">
        <f t="shared" si="28"/>
        <v>0.20411255042587664</v>
      </c>
      <c r="K193">
        <f>MAX((D193-J193)*Inputs!B32,0)</f>
        <v>2.3138686673718385</v>
      </c>
      <c r="L193">
        <f>MAX((D193-J193-K193)*Inputs!B33,0)</f>
        <v>9.0367242531587261E-2</v>
      </c>
      <c r="M193">
        <f>MIN(E193*Inputs!B29,E193)</f>
        <v>7.9868092252563722E-2</v>
      </c>
      <c r="N193">
        <f>MIN((E193-M193)*Inputs!B30,E193-M193)</f>
        <v>2.9665291408095103E-2</v>
      </c>
      <c r="O193">
        <f>MIN(F193*Inputs!B31,F193)</f>
        <v>7.9508665586993127E-2</v>
      </c>
      <c r="P193">
        <f>MIN((F193-O193)*Inputs!B34,F193-O193)</f>
        <v>5.0969146953162344E-3</v>
      </c>
      <c r="Q193">
        <f>P193*Inputs!B35</f>
        <v>1.2742286738290586E-3</v>
      </c>
      <c r="R193">
        <f>C193*Inputs!B8/12</f>
        <v>1.2507599022954933E-2</v>
      </c>
      <c r="S193">
        <f t="shared" si="29"/>
        <v>0.12706153233729478</v>
      </c>
      <c r="T193">
        <f t="shared" si="30"/>
        <v>2.5218039038192024</v>
      </c>
      <c r="U193">
        <f t="shared" si="31"/>
        <v>26.678499190084107</v>
      </c>
      <c r="V193">
        <f t="shared" si="32"/>
        <v>0.20902840816396767</v>
      </c>
      <c r="W193">
        <f t="shared" si="33"/>
        <v>0.60763192435072855</v>
      </c>
      <c r="X193">
        <f t="shared" si="34"/>
        <v>27.495159522598801</v>
      </c>
      <c r="Y193">
        <f t="shared" si="41"/>
        <v>81618.45285310848</v>
      </c>
      <c r="Z193">
        <f>IF(Inputs!B3&gt;0,(V193+W193)/Inputs!B3,0)</f>
        <v>2.7222011083823207E-9</v>
      </c>
      <c r="AA193">
        <f>IF(OR(Y193/Inputs!B3&gt;=Inputs!B23,Z193&gt;=Inputs!B24),1,0)</f>
        <v>0</v>
      </c>
      <c r="AB193">
        <f t="shared" si="35"/>
        <v>0</v>
      </c>
    </row>
    <row r="194" spans="1:28" x14ac:dyDescent="0.2">
      <c r="A194">
        <v>193</v>
      </c>
      <c r="B194">
        <f t="shared" si="36"/>
        <v>0</v>
      </c>
      <c r="C194">
        <f t="shared" si="37"/>
        <v>27.495159522598801</v>
      </c>
      <c r="D194">
        <f t="shared" si="38"/>
        <v>26.678499190084107</v>
      </c>
      <c r="E194">
        <f t="shared" si="39"/>
        <v>0.20902840816396767</v>
      </c>
      <c r="F194">
        <f t="shared" si="40"/>
        <v>0.60763192435072855</v>
      </c>
      <c r="G194">
        <f>MAX(Inputs!B7-A194+1,0)</f>
        <v>108</v>
      </c>
      <c r="H194">
        <f>IF(AND(A194&lt;=Inputs!B7,D194&gt;0),-PMT(Inputs!B6/12,G194,D194),0)</f>
        <v>0.31700715251370748</v>
      </c>
      <c r="I194">
        <f>IF(AND(A194&lt;=Inputs!B7,D194&gt;0),D194*Inputs!B6/12,0)</f>
        <v>0.12783447528581968</v>
      </c>
      <c r="J194">
        <f t="shared" ref="J194:J257" si="42">MAX(H194-I194,0)</f>
        <v>0.1891726772278878</v>
      </c>
      <c r="K194">
        <f>MAX((D194-J194)*Inputs!B32,0)</f>
        <v>2.1191461210284976</v>
      </c>
      <c r="L194">
        <f>MAX((D194-J194-K194)*Inputs!B33,0)</f>
        <v>8.2762429077864519E-2</v>
      </c>
      <c r="M194">
        <f>MIN(E194*Inputs!B29,E194)</f>
        <v>7.315994285738868E-2</v>
      </c>
      <c r="N194">
        <f>MIN((E194-M194)*Inputs!B30,E194-M194)</f>
        <v>2.7173693061315798E-2</v>
      </c>
      <c r="O194">
        <f>MIN(F194*Inputs!B31,F194)</f>
        <v>7.2915830922087421E-2</v>
      </c>
      <c r="P194">
        <f>MIN((F194-O194)*Inputs!B34,F194-O194)</f>
        <v>4.6742800599684445E-3</v>
      </c>
      <c r="Q194">
        <f>P194*Inputs!B35</f>
        <v>1.1685700149921111E-3</v>
      </c>
      <c r="R194">
        <f>C194*Inputs!B8/12</f>
        <v>1.14563164677495E-2</v>
      </c>
      <c r="S194">
        <f t="shared" ref="S194:S257" si="43">MAX(I194-R194,0)</f>
        <v>0.11637815881807018</v>
      </c>
      <c r="T194">
        <f t="shared" ref="T194:T257" si="44">MAX(J194+K194+P194-Q194,0)</f>
        <v>2.311824508301362</v>
      </c>
      <c r="U194">
        <f t="shared" ref="U194:U257" si="45">MAX(D194-J194-K194-L194+M194+O194,0)</f>
        <v>24.433493736529336</v>
      </c>
      <c r="V194">
        <f t="shared" ref="V194:V257" si="46">MAX(E194-M194-N194+L194,0)</f>
        <v>0.19145720132312771</v>
      </c>
      <c r="W194">
        <f t="shared" ref="W194:W257" si="47">MAX(F194-O194-P194+N194,0)</f>
        <v>0.55721550642998852</v>
      </c>
      <c r="X194">
        <f t="shared" ref="X194:X257" si="48">U194+V194+W194</f>
        <v>25.182166444282451</v>
      </c>
      <c r="Y194">
        <f t="shared" si="41"/>
        <v>81618.454021678495</v>
      </c>
      <c r="Z194">
        <f>IF(Inputs!B3&gt;0,(V194+W194)/Inputs!B3,0)</f>
        <v>2.4955756925103875E-9</v>
      </c>
      <c r="AA194">
        <f>IF(OR(Y194/Inputs!B3&gt;=Inputs!B23,Z194&gt;=Inputs!B24),1,0)</f>
        <v>0</v>
      </c>
      <c r="AB194">
        <f t="shared" ref="AB194:AB257" si="49">MAX(C194-J194-K194-P194,0)-X194</f>
        <v>0</v>
      </c>
    </row>
    <row r="195" spans="1:28" x14ac:dyDescent="0.2">
      <c r="A195">
        <v>194</v>
      </c>
      <c r="B195">
        <f t="shared" ref="B195:B258" si="50">MAX(B194,AA195)</f>
        <v>0</v>
      </c>
      <c r="C195">
        <f t="shared" ref="C195:C258" si="51">X194</f>
        <v>25.182166444282451</v>
      </c>
      <c r="D195">
        <f t="shared" ref="D195:D258" si="52">U194</f>
        <v>24.433493736529336</v>
      </c>
      <c r="E195">
        <f t="shared" ref="E195:E258" si="53">V194</f>
        <v>0.19145720132312771</v>
      </c>
      <c r="F195">
        <f t="shared" ref="F195:F258" si="54">W194</f>
        <v>0.55721550642998852</v>
      </c>
      <c r="G195">
        <f>MAX(Inputs!B7-A195+1,0)</f>
        <v>107</v>
      </c>
      <c r="H195">
        <f>IF(AND(A195&lt;=Inputs!B7,D195&gt;0),-PMT(Inputs!B6/12,G195,D195),0)</f>
        <v>0.29240427353332132</v>
      </c>
      <c r="I195">
        <f>IF(AND(A195&lt;=Inputs!B7,D195&gt;0),D195*Inputs!B6/12,0)</f>
        <v>0.1170771574875364</v>
      </c>
      <c r="J195">
        <f t="shared" si="42"/>
        <v>0.17532711604578494</v>
      </c>
      <c r="K195">
        <f>MAX((D195-J195)*Inputs!B32,0)</f>
        <v>1.9406533296386841</v>
      </c>
      <c r="L195">
        <f>MAX((D195-J195-K195)*Inputs!B33,0)</f>
        <v>7.5791462403258847E-2</v>
      </c>
      <c r="M195">
        <f>MIN(E195*Inputs!B29,E195)</f>
        <v>6.7010020463094691E-2</v>
      </c>
      <c r="N195">
        <f>MIN((E195-M195)*Inputs!B30,E195-M195)</f>
        <v>2.4889436172006604E-2</v>
      </c>
      <c r="O195">
        <f>MIN(F195*Inputs!B31,F195)</f>
        <v>6.6865860771598618E-2</v>
      </c>
      <c r="P195">
        <f>MIN((F195-O195)*Inputs!B34,F195-O195)</f>
        <v>4.2864458341190367E-3</v>
      </c>
      <c r="Q195">
        <f>P195*Inputs!B35</f>
        <v>1.0716114585297592E-3</v>
      </c>
      <c r="R195">
        <f>C195*Inputs!B8/12</f>
        <v>1.0492569351784354E-2</v>
      </c>
      <c r="S195">
        <f t="shared" si="43"/>
        <v>0.10658458813575204</v>
      </c>
      <c r="T195">
        <f t="shared" si="44"/>
        <v>2.1191952800600582</v>
      </c>
      <c r="U195">
        <f t="shared" si="45"/>
        <v>22.375597709676299</v>
      </c>
      <c r="V195">
        <f t="shared" si="46"/>
        <v>0.17534920709128526</v>
      </c>
      <c r="W195">
        <f t="shared" si="47"/>
        <v>0.51095263599627749</v>
      </c>
      <c r="X195">
        <f t="shared" si="48"/>
        <v>23.061899552763862</v>
      </c>
      <c r="Y195">
        <f t="shared" ref="Y195:Y258" si="55">Y194+Q195</f>
        <v>81618.455093289958</v>
      </c>
      <c r="Z195">
        <f>IF(Inputs!B3&gt;0,(V195+W195)/Inputs!B3,0)</f>
        <v>2.2876728102918758E-9</v>
      </c>
      <c r="AA195">
        <f>IF(OR(Y195/Inputs!B3&gt;=Inputs!B23,Z195&gt;=Inputs!B24),1,0)</f>
        <v>0</v>
      </c>
      <c r="AB195">
        <f t="shared" si="49"/>
        <v>0</v>
      </c>
    </row>
    <row r="196" spans="1:28" x14ac:dyDescent="0.2">
      <c r="A196">
        <v>195</v>
      </c>
      <c r="B196">
        <f t="shared" si="50"/>
        <v>0</v>
      </c>
      <c r="C196">
        <f t="shared" si="51"/>
        <v>23.061899552763862</v>
      </c>
      <c r="D196">
        <f t="shared" si="52"/>
        <v>22.375597709676299</v>
      </c>
      <c r="E196">
        <f t="shared" si="53"/>
        <v>0.17534920709128526</v>
      </c>
      <c r="F196">
        <f t="shared" si="54"/>
        <v>0.51095263599627749</v>
      </c>
      <c r="G196">
        <f>MAX(Inputs!B7-A196+1,0)</f>
        <v>106</v>
      </c>
      <c r="H196">
        <f>IF(AND(A196&lt;=Inputs!B7,D196&gt;0),-PMT(Inputs!B6/12,G196,D196),0)</f>
        <v>0.26971207245509993</v>
      </c>
      <c r="I196">
        <f>IF(AND(A196&lt;=Inputs!B7,D196&gt;0),D196*Inputs!B6/12,0)</f>
        <v>0.10721640569219894</v>
      </c>
      <c r="J196">
        <f t="shared" si="42"/>
        <v>0.162495666762901</v>
      </c>
      <c r="K196">
        <f>MAX((D196-J196)*Inputs!B32,0)</f>
        <v>1.7770481634330719</v>
      </c>
      <c r="L196">
        <f>MAX((D196-J196-K196)*Inputs!B33,0)</f>
        <v>6.940192615066075E-2</v>
      </c>
      <c r="M196">
        <f>MIN(E196*Inputs!B29,E196)</f>
        <v>6.1372222481949838E-2</v>
      </c>
      <c r="N196">
        <f>MIN((E196-M196)*Inputs!B30,E196-M196)</f>
        <v>2.2795396921867085E-2</v>
      </c>
      <c r="O196">
        <f>MIN(F196*Inputs!B31,F196)</f>
        <v>6.1314316319553294E-2</v>
      </c>
      <c r="P196">
        <f>MIN((F196-O196)*Inputs!B34,F196-O196)</f>
        <v>3.9305632609374789E-3</v>
      </c>
      <c r="Q196">
        <f>P196*Inputs!B35</f>
        <v>9.8264081523436971E-4</v>
      </c>
      <c r="R196">
        <f>C196*Inputs!B8/12</f>
        <v>9.6091248136516098E-3</v>
      </c>
      <c r="S196">
        <f t="shared" si="43"/>
        <v>9.7607280878547323E-2</v>
      </c>
      <c r="T196">
        <f t="shared" si="44"/>
        <v>1.9424917526416758</v>
      </c>
      <c r="U196">
        <f t="shared" si="45"/>
        <v>20.489338492131168</v>
      </c>
      <c r="V196">
        <f t="shared" si="46"/>
        <v>0.16058351383812908</v>
      </c>
      <c r="W196">
        <f t="shared" si="47"/>
        <v>0.4685031533376538</v>
      </c>
      <c r="X196">
        <f t="shared" si="48"/>
        <v>21.118425159306952</v>
      </c>
      <c r="Y196">
        <f t="shared" si="55"/>
        <v>81618.456075930779</v>
      </c>
      <c r="Z196">
        <f>IF(Inputs!B3&gt;0,(V196+W196)/Inputs!B3,0)</f>
        <v>2.0969555572526096E-9</v>
      </c>
      <c r="AA196">
        <f>IF(OR(Y196/Inputs!B3&gt;=Inputs!B23,Z196&gt;=Inputs!B24),1,0)</f>
        <v>0</v>
      </c>
      <c r="AB196">
        <f t="shared" si="49"/>
        <v>0</v>
      </c>
    </row>
    <row r="197" spans="1:28" x14ac:dyDescent="0.2">
      <c r="A197">
        <v>196</v>
      </c>
      <c r="B197">
        <f t="shared" si="50"/>
        <v>0</v>
      </c>
      <c r="C197">
        <f t="shared" si="51"/>
        <v>21.118425159306952</v>
      </c>
      <c r="D197">
        <f t="shared" si="52"/>
        <v>20.489338492131168</v>
      </c>
      <c r="E197">
        <f t="shared" si="53"/>
        <v>0.16058351383812908</v>
      </c>
      <c r="F197">
        <f t="shared" si="54"/>
        <v>0.4685031533376538</v>
      </c>
      <c r="G197">
        <f>MAX(Inputs!B7-A197+1,0)</f>
        <v>105</v>
      </c>
      <c r="H197">
        <f>IF(AND(A197&lt;=Inputs!B7,D197&gt;0),-PMT(Inputs!B6/12,G197,D197),0)</f>
        <v>0.24878208983466898</v>
      </c>
      <c r="I197">
        <f>IF(AND(A197&lt;=Inputs!B7,D197&gt;0),D197*Inputs!B6/12,0)</f>
        <v>9.8178080274795188E-2</v>
      </c>
      <c r="J197">
        <f t="shared" si="42"/>
        <v>0.1506040095598738</v>
      </c>
      <c r="K197">
        <f>MAX((D197-J197)*Inputs!B32,0)</f>
        <v>1.6270987586057035</v>
      </c>
      <c r="L197">
        <f>MAX((D197-J197-K197)*Inputs!B33,0)</f>
        <v>6.3545710357353416E-2</v>
      </c>
      <c r="M197">
        <f>MIN(E197*Inputs!B29,E197)</f>
        <v>5.6204229843345173E-2</v>
      </c>
      <c r="N197">
        <f>MIN((E197-M197)*Inputs!B30,E197-M197)</f>
        <v>2.0875856798956784E-2</v>
      </c>
      <c r="O197">
        <f>MIN(F197*Inputs!B31,F197)</f>
        <v>5.6220378400518453E-2</v>
      </c>
      <c r="P197">
        <f>MIN((F197-O197)*Inputs!B34,F197-O197)</f>
        <v>3.6040156218232252E-3</v>
      </c>
      <c r="Q197">
        <f>P197*Inputs!B35</f>
        <v>9.010039054558063E-4</v>
      </c>
      <c r="R197">
        <f>C197*Inputs!B8/12</f>
        <v>8.799343816377897E-3</v>
      </c>
      <c r="S197">
        <f t="shared" si="43"/>
        <v>8.9378736458417291E-2</v>
      </c>
      <c r="T197">
        <f t="shared" si="44"/>
        <v>1.7804057798819448</v>
      </c>
      <c r="U197">
        <f t="shared" si="45"/>
        <v>18.760514621852099</v>
      </c>
      <c r="V197">
        <f t="shared" si="46"/>
        <v>0.14704913755318055</v>
      </c>
      <c r="W197">
        <f t="shared" si="47"/>
        <v>0.42955461611426887</v>
      </c>
      <c r="X197">
        <f t="shared" si="48"/>
        <v>19.337118375519552</v>
      </c>
      <c r="Y197">
        <f t="shared" si="55"/>
        <v>81618.456976934685</v>
      </c>
      <c r="Z197">
        <f>IF(Inputs!B3&gt;0,(V197+W197)/Inputs!B3,0)</f>
        <v>1.9220125122248316E-9</v>
      </c>
      <c r="AA197">
        <f>IF(OR(Y197/Inputs!B3&gt;=Inputs!B23,Z197&gt;=Inputs!B24),1,0)</f>
        <v>0</v>
      </c>
      <c r="AB197">
        <f t="shared" si="49"/>
        <v>0</v>
      </c>
    </row>
    <row r="198" spans="1:28" x14ac:dyDescent="0.2">
      <c r="A198">
        <v>197</v>
      </c>
      <c r="B198">
        <f t="shared" si="50"/>
        <v>0</v>
      </c>
      <c r="C198">
        <f t="shared" si="51"/>
        <v>19.337118375519552</v>
      </c>
      <c r="D198">
        <f t="shared" si="52"/>
        <v>18.760514621852099</v>
      </c>
      <c r="E198">
        <f t="shared" si="53"/>
        <v>0.14704913755318055</v>
      </c>
      <c r="F198">
        <f t="shared" si="54"/>
        <v>0.42955461611426887</v>
      </c>
      <c r="G198">
        <f>MAX(Inputs!B7-A198+1,0)</f>
        <v>104</v>
      </c>
      <c r="H198">
        <f>IF(AND(A198&lt;=Inputs!B7,D198&gt;0),-PMT(Inputs!B6/12,G198,D198),0)</f>
        <v>0.22947740617774051</v>
      </c>
      <c r="I198">
        <f>IF(AND(A198&lt;=Inputs!B7,D198&gt;0),D198*Inputs!B6/12,0)</f>
        <v>8.989413256304131E-2</v>
      </c>
      <c r="J198">
        <f t="shared" si="42"/>
        <v>0.13958327361469919</v>
      </c>
      <c r="K198">
        <f>MAX((D198-J198)*Inputs!B32,0)</f>
        <v>1.4896745078589919</v>
      </c>
      <c r="L198">
        <f>MAX((D198-J198-K198)*Inputs!B33,0)</f>
        <v>5.8178659594245397E-2</v>
      </c>
      <c r="M198">
        <f>MIN(E198*Inputs!B29,E198)</f>
        <v>5.146719814361319E-2</v>
      </c>
      <c r="N198">
        <f>MIN((E198-M198)*Inputs!B30,E198-M198)</f>
        <v>1.9116387881913471E-2</v>
      </c>
      <c r="O198">
        <f>MIN(F198*Inputs!B31,F198)</f>
        <v>5.1546553933712262E-2</v>
      </c>
      <c r="P198">
        <f>MIN((F198-O198)*Inputs!B34,F198-O198)</f>
        <v>3.3043994173212331E-3</v>
      </c>
      <c r="Q198">
        <f>P198*Inputs!B35</f>
        <v>8.2609985433030827E-4</v>
      </c>
      <c r="R198">
        <f>C198*Inputs!B8/12</f>
        <v>8.05713265646648E-3</v>
      </c>
      <c r="S198">
        <f t="shared" si="43"/>
        <v>8.1836999906574837E-2</v>
      </c>
      <c r="T198">
        <f t="shared" si="44"/>
        <v>1.6317360810366819</v>
      </c>
      <c r="U198">
        <f t="shared" si="45"/>
        <v>17.176091932861485</v>
      </c>
      <c r="V198">
        <f t="shared" si="46"/>
        <v>0.13464421112189928</v>
      </c>
      <c r="W198">
        <f t="shared" si="47"/>
        <v>0.3938200506451488</v>
      </c>
      <c r="X198">
        <f t="shared" si="48"/>
        <v>17.704556194628534</v>
      </c>
      <c r="Y198">
        <f t="shared" si="55"/>
        <v>81618.457803034544</v>
      </c>
      <c r="Z198">
        <f>IF(Inputs!B3&gt;0,(V198+W198)/Inputs!B3,0)</f>
        <v>1.7615475392234937E-9</v>
      </c>
      <c r="AA198">
        <f>IF(OR(Y198/Inputs!B3&gt;=Inputs!B23,Z198&gt;=Inputs!B24),1,0)</f>
        <v>0</v>
      </c>
      <c r="AB198">
        <f t="shared" si="49"/>
        <v>0</v>
      </c>
    </row>
    <row r="199" spans="1:28" x14ac:dyDescent="0.2">
      <c r="A199">
        <v>198</v>
      </c>
      <c r="B199">
        <f t="shared" si="50"/>
        <v>0</v>
      </c>
      <c r="C199">
        <f t="shared" si="51"/>
        <v>17.704556194628534</v>
      </c>
      <c r="D199">
        <f t="shared" si="52"/>
        <v>17.176091932861485</v>
      </c>
      <c r="E199">
        <f t="shared" si="53"/>
        <v>0.13464421112189928</v>
      </c>
      <c r="F199">
        <f t="shared" si="54"/>
        <v>0.3938200506451488</v>
      </c>
      <c r="G199">
        <f>MAX(Inputs!B7-A199+1,0)</f>
        <v>103</v>
      </c>
      <c r="H199">
        <f>IF(AND(A199&lt;=Inputs!B7,D199&gt;0),-PMT(Inputs!B6/12,G199,D199),0)</f>
        <v>0.21167174462498406</v>
      </c>
      <c r="I199">
        <f>IF(AND(A199&lt;=Inputs!B7,D199&gt;0),D199*Inputs!B6/12,0)</f>
        <v>8.2302107178294628E-2</v>
      </c>
      <c r="J199">
        <f t="shared" si="42"/>
        <v>0.12936963744668944</v>
      </c>
      <c r="K199">
        <f>MAX((D199-J199)*Inputs!B32,0)</f>
        <v>1.3637377836331837</v>
      </c>
      <c r="L199">
        <f>MAX((D199-J199-K199)*Inputs!B33,0)</f>
        <v>5.3260249719810478E-2</v>
      </c>
      <c r="M199">
        <f>MIN(E199*Inputs!B29,E199)</f>
        <v>4.7125473892664749E-2</v>
      </c>
      <c r="N199">
        <f>MIN((E199-M199)*Inputs!B30,E199-M199)</f>
        <v>1.7503747445846908E-2</v>
      </c>
      <c r="O199">
        <f>MIN(F199*Inputs!B31,F199)</f>
        <v>4.7258406077417853E-2</v>
      </c>
      <c r="P199">
        <f>MIN((F199-O199)*Inputs!B34,F199-O199)</f>
        <v>3.0295070686309888E-3</v>
      </c>
      <c r="Q199">
        <f>P199*Inputs!B35</f>
        <v>7.5737676715774719E-4</v>
      </c>
      <c r="R199">
        <f>C199*Inputs!B8/12</f>
        <v>7.3768984144285564E-3</v>
      </c>
      <c r="S199">
        <f t="shared" si="43"/>
        <v>7.4925208763866075E-2</v>
      </c>
      <c r="T199">
        <f t="shared" si="44"/>
        <v>1.4953795513813464</v>
      </c>
      <c r="U199">
        <f t="shared" si="45"/>
        <v>15.724108142031884</v>
      </c>
      <c r="V199">
        <f t="shared" si="46"/>
        <v>0.1232752395031981</v>
      </c>
      <c r="W199">
        <f t="shared" si="47"/>
        <v>0.36103588494494693</v>
      </c>
      <c r="X199">
        <f t="shared" si="48"/>
        <v>16.208419266480028</v>
      </c>
      <c r="Y199">
        <f t="shared" si="55"/>
        <v>81618.458560411309</v>
      </c>
      <c r="Z199">
        <f>IF(Inputs!B3&gt;0,(V199+W199)/Inputs!B3,0)</f>
        <v>1.6143704148271502E-9</v>
      </c>
      <c r="AA199">
        <f>IF(OR(Y199/Inputs!B3&gt;=Inputs!B23,Z199&gt;=Inputs!B24),1,0)</f>
        <v>0</v>
      </c>
      <c r="AB199">
        <f t="shared" si="49"/>
        <v>0</v>
      </c>
    </row>
    <row r="200" spans="1:28" x14ac:dyDescent="0.2">
      <c r="A200">
        <v>199</v>
      </c>
      <c r="B200">
        <f t="shared" si="50"/>
        <v>0</v>
      </c>
      <c r="C200">
        <f t="shared" si="51"/>
        <v>16.208419266480028</v>
      </c>
      <c r="D200">
        <f t="shared" si="52"/>
        <v>15.724108142031884</v>
      </c>
      <c r="E200">
        <f t="shared" si="53"/>
        <v>0.1232752395031981</v>
      </c>
      <c r="F200">
        <f t="shared" si="54"/>
        <v>0.36103588494494693</v>
      </c>
      <c r="G200">
        <f>MAX(Inputs!B7-A200+1,0)</f>
        <v>102</v>
      </c>
      <c r="H200">
        <f>IF(AND(A200&lt;=Inputs!B7,D200&gt;0),-PMT(Inputs!B6/12,G200,D200),0)</f>
        <v>0.19524864342930373</v>
      </c>
      <c r="I200">
        <f>IF(AND(A200&lt;=Inputs!B7,D200&gt;0),D200*Inputs!B6/12,0)</f>
        <v>7.5344684847236124E-2</v>
      </c>
      <c r="J200">
        <f t="shared" si="42"/>
        <v>0.11990395858206761</v>
      </c>
      <c r="K200">
        <f>MAX((D200-J200)*Inputs!B32,0)</f>
        <v>1.2483363346759853</v>
      </c>
      <c r="L200">
        <f>MAX((D200-J200-K200)*Inputs!B33,0)</f>
        <v>4.8753290931066111E-2</v>
      </c>
      <c r="M200">
        <f>MIN(E200*Inputs!B29,E200)</f>
        <v>4.3146333826119335E-2</v>
      </c>
      <c r="N200">
        <f>MIN((E200-M200)*Inputs!B30,E200-M200)</f>
        <v>1.6025781135415754E-2</v>
      </c>
      <c r="O200">
        <f>MIN(F200*Inputs!B31,F200)</f>
        <v>4.3324306193393627E-2</v>
      </c>
      <c r="P200">
        <f>MIN((F200-O200)*Inputs!B34,F200-O200)</f>
        <v>2.7773110172485686E-3</v>
      </c>
      <c r="Q200">
        <f>P200*Inputs!B35</f>
        <v>6.9432775431214216E-4</v>
      </c>
      <c r="R200">
        <f>C200*Inputs!B8/12</f>
        <v>6.7535080277000116E-3</v>
      </c>
      <c r="S200">
        <f t="shared" si="43"/>
        <v>6.8591176819536109E-2</v>
      </c>
      <c r="T200">
        <f t="shared" si="44"/>
        <v>1.3703232765209894</v>
      </c>
      <c r="U200">
        <f t="shared" si="45"/>
        <v>14.393585197862279</v>
      </c>
      <c r="V200">
        <f t="shared" si="46"/>
        <v>0.11285641547272912</v>
      </c>
      <c r="W200">
        <f t="shared" si="47"/>
        <v>0.33096004886972047</v>
      </c>
      <c r="X200">
        <f t="shared" si="48"/>
        <v>14.837401662204728</v>
      </c>
      <c r="Y200">
        <f t="shared" si="55"/>
        <v>81618.459254739064</v>
      </c>
      <c r="Z200">
        <f>IF(Inputs!B3&gt;0,(V200+W200)/Inputs!B3,0)</f>
        <v>1.4793882144748319E-9</v>
      </c>
      <c r="AA200">
        <f>IF(OR(Y200/Inputs!B3&gt;=Inputs!B23,Z200&gt;=Inputs!B24),1,0)</f>
        <v>0</v>
      </c>
      <c r="AB200">
        <f t="shared" si="49"/>
        <v>0</v>
      </c>
    </row>
    <row r="201" spans="1:28" x14ac:dyDescent="0.2">
      <c r="A201">
        <v>200</v>
      </c>
      <c r="B201">
        <f t="shared" si="50"/>
        <v>0</v>
      </c>
      <c r="C201">
        <f t="shared" si="51"/>
        <v>14.837401662204728</v>
      </c>
      <c r="D201">
        <f t="shared" si="52"/>
        <v>14.393585197862279</v>
      </c>
      <c r="E201">
        <f t="shared" si="53"/>
        <v>0.11285641547272912</v>
      </c>
      <c r="F201">
        <f t="shared" si="54"/>
        <v>0.33096004886972047</v>
      </c>
      <c r="G201">
        <f>MAX(Inputs!B7-A201+1,0)</f>
        <v>101</v>
      </c>
      <c r="H201">
        <f>IF(AND(A201&lt;=Inputs!B7,D201&gt;0),-PMT(Inputs!B6/12,G201,D201),0)</f>
        <v>0.18010069279581817</v>
      </c>
      <c r="I201">
        <f>IF(AND(A201&lt;=Inputs!B7,D201&gt;0),D201*Inputs!B6/12,0)</f>
        <v>6.8969262406423426E-2</v>
      </c>
      <c r="J201">
        <f t="shared" si="42"/>
        <v>0.11113143038939474</v>
      </c>
      <c r="K201">
        <f>MAX((D201-J201)*Inputs!B32,0)</f>
        <v>1.1425963013978306</v>
      </c>
      <c r="L201">
        <f>MAX((D201-J201-K201)*Inputs!B33,0)</f>
        <v>4.4623654980984959E-2</v>
      </c>
      <c r="M201">
        <f>MIN(E201*Inputs!B29,E201)</f>
        <v>3.9499745415455187E-2</v>
      </c>
      <c r="N201">
        <f>MIN((E201-M201)*Inputs!B30,E201-M201)</f>
        <v>1.4671334011454788E-2</v>
      </c>
      <c r="O201">
        <f>MIN(F201*Inputs!B31,F201)</f>
        <v>3.9715205864366457E-2</v>
      </c>
      <c r="P201">
        <f>MIN((F201-O201)*Inputs!B34,F201-O201)</f>
        <v>2.5459491101145295E-3</v>
      </c>
      <c r="Q201">
        <f>P201*Inputs!B35</f>
        <v>6.3648727752863238E-4</v>
      </c>
      <c r="R201">
        <f>C201*Inputs!B8/12</f>
        <v>6.1822506925853027E-3</v>
      </c>
      <c r="S201">
        <f t="shared" si="43"/>
        <v>6.2787011713838117E-2</v>
      </c>
      <c r="T201">
        <f t="shared" si="44"/>
        <v>1.2556371936198112</v>
      </c>
      <c r="U201">
        <f t="shared" si="45"/>
        <v>13.17444876237389</v>
      </c>
      <c r="V201">
        <f t="shared" si="46"/>
        <v>0.1033089910268041</v>
      </c>
      <c r="W201">
        <f t="shared" si="47"/>
        <v>0.30337022790669427</v>
      </c>
      <c r="X201">
        <f t="shared" si="48"/>
        <v>13.581127981307388</v>
      </c>
      <c r="Y201">
        <f t="shared" si="55"/>
        <v>81618.459891226346</v>
      </c>
      <c r="Z201">
        <f>IF(Inputs!B3&gt;0,(V201+W201)/Inputs!B3,0)</f>
        <v>1.3555973964449944E-9</v>
      </c>
      <c r="AA201">
        <f>IF(OR(Y201/Inputs!B3&gt;=Inputs!B23,Z201&gt;=Inputs!B24),1,0)</f>
        <v>0</v>
      </c>
      <c r="AB201">
        <f t="shared" si="49"/>
        <v>0</v>
      </c>
    </row>
    <row r="202" spans="1:28" x14ac:dyDescent="0.2">
      <c r="A202">
        <v>201</v>
      </c>
      <c r="B202">
        <f t="shared" si="50"/>
        <v>0</v>
      </c>
      <c r="C202">
        <f t="shared" si="51"/>
        <v>13.581127981307388</v>
      </c>
      <c r="D202">
        <f t="shared" si="52"/>
        <v>13.17444876237389</v>
      </c>
      <c r="E202">
        <f t="shared" si="53"/>
        <v>0.1033089910268041</v>
      </c>
      <c r="F202">
        <f t="shared" si="54"/>
        <v>0.30337022790669427</v>
      </c>
      <c r="G202">
        <f>MAX(Inputs!B7-A202+1,0)</f>
        <v>100</v>
      </c>
      <c r="H202">
        <f>IF(AND(A202&lt;=Inputs!B7,D202&gt;0),-PMT(Inputs!B6/12,G202,D202),0)</f>
        <v>0.16612883107734883</v>
      </c>
      <c r="I202">
        <f>IF(AND(A202&lt;=Inputs!B7,D202&gt;0),D202*Inputs!B6/12,0)</f>
        <v>6.3127566986374894E-2</v>
      </c>
      <c r="J202">
        <f t="shared" si="42"/>
        <v>0.10300126409097393</v>
      </c>
      <c r="K202">
        <f>MAX((D202-J202)*Inputs!B32,0)</f>
        <v>1.0457157998626334</v>
      </c>
      <c r="L202">
        <f>MAX((D202-J202-K202)*Inputs!B33,0)</f>
        <v>4.0840024603744494E-2</v>
      </c>
      <c r="M202">
        <f>MIN(E202*Inputs!B29,E202)</f>
        <v>3.6158146859381436E-2</v>
      </c>
      <c r="N202">
        <f>MIN((E202-M202)*Inputs!B30,E202-M202)</f>
        <v>1.3430168833484536E-2</v>
      </c>
      <c r="O202">
        <f>MIN(F202*Inputs!B31,F202)</f>
        <v>3.6404427348803309E-2</v>
      </c>
      <c r="P202">
        <f>MIN((F202-O202)*Inputs!B34,F202-O202)</f>
        <v>2.3337111666862399E-3</v>
      </c>
      <c r="Q202">
        <f>P202*Inputs!B35</f>
        <v>5.8342779167155998E-4</v>
      </c>
      <c r="R202">
        <f>C202*Inputs!B8/12</f>
        <v>5.6588033255447453E-3</v>
      </c>
      <c r="S202">
        <f t="shared" si="43"/>
        <v>5.7468763660830147E-2</v>
      </c>
      <c r="T202">
        <f t="shared" si="44"/>
        <v>1.150467347328622</v>
      </c>
      <c r="U202">
        <f t="shared" si="45"/>
        <v>12.057454248024724</v>
      </c>
      <c r="V202">
        <f t="shared" si="46"/>
        <v>9.4560699937682624E-2</v>
      </c>
      <c r="W202">
        <f t="shared" si="47"/>
        <v>0.27806225822468927</v>
      </c>
      <c r="X202">
        <f t="shared" si="48"/>
        <v>12.430077206187097</v>
      </c>
      <c r="Y202">
        <f t="shared" si="55"/>
        <v>81618.460474654144</v>
      </c>
      <c r="Z202">
        <f>IF(Inputs!B3&gt;0,(V202+W202)/Inputs!B3,0)</f>
        <v>1.2420765272079064E-9</v>
      </c>
      <c r="AA202">
        <f>IF(OR(Y202/Inputs!B3&gt;=Inputs!B23,Z202&gt;=Inputs!B24),1,0)</f>
        <v>0</v>
      </c>
      <c r="AB202">
        <f t="shared" si="49"/>
        <v>0</v>
      </c>
    </row>
    <row r="203" spans="1:28" x14ac:dyDescent="0.2">
      <c r="A203">
        <v>202</v>
      </c>
      <c r="B203">
        <f t="shared" si="50"/>
        <v>0</v>
      </c>
      <c r="C203">
        <f t="shared" si="51"/>
        <v>12.430077206187097</v>
      </c>
      <c r="D203">
        <f t="shared" si="52"/>
        <v>12.057454248024724</v>
      </c>
      <c r="E203">
        <f t="shared" si="53"/>
        <v>9.4560699937682624E-2</v>
      </c>
      <c r="F203">
        <f t="shared" si="54"/>
        <v>0.27806225822468927</v>
      </c>
      <c r="G203">
        <f>MAX(Inputs!B7-A203+1,0)</f>
        <v>99</v>
      </c>
      <c r="H203">
        <f>IF(AND(A203&lt;=Inputs!B7,D203&gt;0),-PMT(Inputs!B6/12,G203,D203),0)</f>
        <v>0.15324169570784643</v>
      </c>
      <c r="I203">
        <f>IF(AND(A203&lt;=Inputs!B7,D203&gt;0),D203*Inputs!B6/12,0)</f>
        <v>5.7775301605118477E-2</v>
      </c>
      <c r="J203">
        <f t="shared" si="42"/>
        <v>9.5466394102727947E-2</v>
      </c>
      <c r="K203">
        <f>MAX((D203-J203)*Inputs!B32,0)</f>
        <v>0.95695902831375979</v>
      </c>
      <c r="L203">
        <f>MAX((D203-J203-K203)*Inputs!B33,0)</f>
        <v>3.7373663347386801E-2</v>
      </c>
      <c r="M203">
        <f>MIN(E203*Inputs!B29,E203)</f>
        <v>3.3096244978188916E-2</v>
      </c>
      <c r="N203">
        <f>MIN((E203-M203)*Inputs!B30,E203-M203)</f>
        <v>1.2292890991898743E-2</v>
      </c>
      <c r="O203">
        <f>MIN(F203*Inputs!B31,F203)</f>
        <v>3.3367470986962709E-2</v>
      </c>
      <c r="P203">
        <f>MIN((F203-O203)*Inputs!B34,F203-O203)</f>
        <v>2.139026632674494E-3</v>
      </c>
      <c r="Q203">
        <f>P203*Inputs!B35</f>
        <v>5.347566581686235E-4</v>
      </c>
      <c r="R203">
        <f>C203*Inputs!B8/12</f>
        <v>5.1791988359112901E-3</v>
      </c>
      <c r="S203">
        <f t="shared" si="43"/>
        <v>5.259610276920719E-2</v>
      </c>
      <c r="T203">
        <f t="shared" si="44"/>
        <v>1.0540296923909935</v>
      </c>
      <c r="U203">
        <f t="shared" si="45"/>
        <v>11.034118878226003</v>
      </c>
      <c r="V203">
        <f t="shared" si="46"/>
        <v>8.6545227314981765E-2</v>
      </c>
      <c r="W203">
        <f t="shared" si="47"/>
        <v>0.2548486515969508</v>
      </c>
      <c r="X203">
        <f t="shared" si="48"/>
        <v>11.375512757137937</v>
      </c>
      <c r="Y203">
        <f t="shared" si="55"/>
        <v>81618.461009410807</v>
      </c>
      <c r="Z203">
        <f>IF(Inputs!B3&gt;0,(V203+W203)/Inputs!B3,0)</f>
        <v>1.1379795963731086E-9</v>
      </c>
      <c r="AA203">
        <f>IF(OR(Y203/Inputs!B3&gt;=Inputs!B23,Z203&gt;=Inputs!B24),1,0)</f>
        <v>0</v>
      </c>
      <c r="AB203">
        <f t="shared" si="49"/>
        <v>0</v>
      </c>
    </row>
    <row r="204" spans="1:28" x14ac:dyDescent="0.2">
      <c r="A204">
        <v>203</v>
      </c>
      <c r="B204">
        <f t="shared" si="50"/>
        <v>0</v>
      </c>
      <c r="C204">
        <f t="shared" si="51"/>
        <v>11.375512757137937</v>
      </c>
      <c r="D204">
        <f t="shared" si="52"/>
        <v>11.034118878226003</v>
      </c>
      <c r="E204">
        <f t="shared" si="53"/>
        <v>8.6545227314981765E-2</v>
      </c>
      <c r="F204">
        <f t="shared" si="54"/>
        <v>0.2548486515969508</v>
      </c>
      <c r="G204">
        <f>MAX(Inputs!B7-A204+1,0)</f>
        <v>98</v>
      </c>
      <c r="H204">
        <f>IF(AND(A204&lt;=Inputs!B7,D204&gt;0),-PMT(Inputs!B6/12,G204,D204),0)</f>
        <v>0.1413550246154881</v>
      </c>
      <c r="I204">
        <f>IF(AND(A204&lt;=Inputs!B7,D204&gt;0),D204*Inputs!B6/12,0)</f>
        <v>5.2871819624832929E-2</v>
      </c>
      <c r="J204">
        <f t="shared" si="42"/>
        <v>8.8483204990655179E-2</v>
      </c>
      <c r="K204">
        <f>MAX((D204-J204)*Inputs!B32,0)</f>
        <v>0.87565085385882779</v>
      </c>
      <c r="L204">
        <f>MAX((D204-J204-K204)*Inputs!B33,0)</f>
        <v>3.4198204158894893E-2</v>
      </c>
      <c r="M204">
        <f>MIN(E204*Inputs!B29,E204)</f>
        <v>3.0290829560243617E-2</v>
      </c>
      <c r="N204">
        <f>MIN((E204-M204)*Inputs!B30,E204-M204)</f>
        <v>1.125087955094763E-2</v>
      </c>
      <c r="O204">
        <f>MIN(F204*Inputs!B31,F204)</f>
        <v>3.0581838191634094E-2</v>
      </c>
      <c r="P204">
        <f>MIN((F204-O204)*Inputs!B34,F204-O204)</f>
        <v>1.960453232838842E-3</v>
      </c>
      <c r="Q204">
        <f>P204*Inputs!B35</f>
        <v>4.9011330820971049E-4</v>
      </c>
      <c r="R204">
        <f>C204*Inputs!B8/12</f>
        <v>4.7397969821408072E-3</v>
      </c>
      <c r="S204">
        <f t="shared" si="43"/>
        <v>4.8132022642692118E-2</v>
      </c>
      <c r="T204">
        <f t="shared" si="44"/>
        <v>0.96560439877411219</v>
      </c>
      <c r="U204">
        <f t="shared" si="45"/>
        <v>10.096659282969505</v>
      </c>
      <c r="V204">
        <f t="shared" si="46"/>
        <v>7.9201722362685412E-2</v>
      </c>
      <c r="W204">
        <f t="shared" si="47"/>
        <v>0.23355723972342551</v>
      </c>
      <c r="X204">
        <f t="shared" si="48"/>
        <v>10.409418245055615</v>
      </c>
      <c r="Y204">
        <f t="shared" si="55"/>
        <v>81618.461499524114</v>
      </c>
      <c r="Z204">
        <f>IF(Inputs!B3&gt;0,(V204+W204)/Inputs!B3,0)</f>
        <v>1.0425298736203697E-9</v>
      </c>
      <c r="AA204">
        <f>IF(OR(Y204/Inputs!B3&gt;=Inputs!B23,Z204&gt;=Inputs!B24),1,0)</f>
        <v>0</v>
      </c>
      <c r="AB204">
        <f t="shared" si="49"/>
        <v>0</v>
      </c>
    </row>
    <row r="205" spans="1:28" x14ac:dyDescent="0.2">
      <c r="A205">
        <v>204</v>
      </c>
      <c r="B205">
        <f t="shared" si="50"/>
        <v>0</v>
      </c>
      <c r="C205">
        <f t="shared" si="51"/>
        <v>10.409418245055615</v>
      </c>
      <c r="D205">
        <f t="shared" si="52"/>
        <v>10.096659282969505</v>
      </c>
      <c r="E205">
        <f t="shared" si="53"/>
        <v>7.9201722362685412E-2</v>
      </c>
      <c r="F205">
        <f t="shared" si="54"/>
        <v>0.23355723972342551</v>
      </c>
      <c r="G205">
        <f>MAX(Inputs!B7-A205+1,0)</f>
        <v>97</v>
      </c>
      <c r="H205">
        <f>IF(AND(A205&lt;=Inputs!B7,D205&gt;0),-PMT(Inputs!B6/12,G205,D205),0)</f>
        <v>0.13039110418851443</v>
      </c>
      <c r="I205">
        <f>IF(AND(A205&lt;=Inputs!B7,D205&gt;0),D205*Inputs!B6/12,0)</f>
        <v>4.8379825730895547E-2</v>
      </c>
      <c r="J205">
        <f t="shared" si="42"/>
        <v>8.201127845761888E-2</v>
      </c>
      <c r="K205">
        <f>MAX((D205-J205)*Inputs!B32,0)</f>
        <v>0.80117184036095079</v>
      </c>
      <c r="L205">
        <f>MAX((D205-J205-K205)*Inputs!B33,0)</f>
        <v>3.1289455200415463E-2</v>
      </c>
      <c r="M205">
        <f>MIN(E205*Inputs!B29,E205)</f>
        <v>2.7720602826939892E-2</v>
      </c>
      <c r="N205">
        <f>MIN((E205-M205)*Inputs!B30,E205-M205)</f>
        <v>1.0296223907149106E-2</v>
      </c>
      <c r="O205">
        <f>MIN(F205*Inputs!B31,F205)</f>
        <v>2.8026868766811059E-2</v>
      </c>
      <c r="P205">
        <f>MIN((F205-O205)*Inputs!B34,F205-O205)</f>
        <v>1.7966665422772218E-3</v>
      </c>
      <c r="Q205">
        <f>P205*Inputs!B35</f>
        <v>4.4916663556930544E-4</v>
      </c>
      <c r="R205">
        <f>C205*Inputs!B8/12</f>
        <v>4.3372576021065068E-3</v>
      </c>
      <c r="S205">
        <f t="shared" si="43"/>
        <v>4.4042568128789039E-2</v>
      </c>
      <c r="T205">
        <f t="shared" si="44"/>
        <v>0.88453061872527761</v>
      </c>
      <c r="U205">
        <f t="shared" si="45"/>
        <v>9.2379341805442721</v>
      </c>
      <c r="V205">
        <f t="shared" si="46"/>
        <v>7.247435082901188E-2</v>
      </c>
      <c r="W205">
        <f t="shared" si="47"/>
        <v>0.21402992832148632</v>
      </c>
      <c r="X205">
        <f t="shared" si="48"/>
        <v>9.5244384596947693</v>
      </c>
      <c r="Y205">
        <f t="shared" si="55"/>
        <v>81618.461948690747</v>
      </c>
      <c r="Z205">
        <f>IF(Inputs!B3&gt;0,(V205+W205)/Inputs!B3,0)</f>
        <v>9.5501426383499393E-10</v>
      </c>
      <c r="AA205">
        <f>IF(OR(Y205/Inputs!B3&gt;=Inputs!B23,Z205&gt;=Inputs!B24),1,0)</f>
        <v>0</v>
      </c>
      <c r="AB205">
        <f t="shared" si="49"/>
        <v>0</v>
      </c>
    </row>
    <row r="206" spans="1:28" x14ac:dyDescent="0.2">
      <c r="A206">
        <v>205</v>
      </c>
      <c r="B206">
        <f t="shared" si="50"/>
        <v>0</v>
      </c>
      <c r="C206">
        <f t="shared" si="51"/>
        <v>9.5244384596947693</v>
      </c>
      <c r="D206">
        <f t="shared" si="52"/>
        <v>9.2379341805442721</v>
      </c>
      <c r="E206">
        <f t="shared" si="53"/>
        <v>7.247435082901188E-2</v>
      </c>
      <c r="F206">
        <f t="shared" si="54"/>
        <v>0.21402992832148632</v>
      </c>
      <c r="G206">
        <f>MAX(Inputs!B7-A206+1,0)</f>
        <v>96</v>
      </c>
      <c r="H206">
        <f>IF(AND(A206&lt;=Inputs!B7,D206&gt;0),-PMT(Inputs!B6/12,G206,D206),0)</f>
        <v>0.12027826017242994</v>
      </c>
      <c r="I206">
        <f>IF(AND(A206&lt;=Inputs!B7,D206&gt;0),D206*Inputs!B6/12,0)</f>
        <v>4.4265101281774639E-2</v>
      </c>
      <c r="J206">
        <f t="shared" si="42"/>
        <v>7.6013158890655297E-2</v>
      </c>
      <c r="K206">
        <f>MAX((D206-J206)*Inputs!B32,0)</f>
        <v>0.73295368173228936</v>
      </c>
      <c r="L206">
        <f>MAX((D206-J206-K206)*Inputs!B33,0)</f>
        <v>2.8625221498311457E-2</v>
      </c>
      <c r="M206">
        <f>MIN(E206*Inputs!B29,E206)</f>
        <v>2.5366022790154156E-2</v>
      </c>
      <c r="N206">
        <f>MIN((E206-M206)*Inputs!B30,E206-M206)</f>
        <v>9.4216656077715458E-3</v>
      </c>
      <c r="O206">
        <f>MIN(F206*Inputs!B31,F206)</f>
        <v>2.5683591398578356E-2</v>
      </c>
      <c r="P206">
        <f>MIN((F206-O206)*Inputs!B34,F206-O206)</f>
        <v>1.6464504021222919E-3</v>
      </c>
      <c r="Q206">
        <f>P206*Inputs!B35</f>
        <v>4.1161260053057297E-4</v>
      </c>
      <c r="R206">
        <f>C206*Inputs!B8/12</f>
        <v>3.9685160248728209E-3</v>
      </c>
      <c r="S206">
        <f t="shared" si="43"/>
        <v>4.0296585256901815E-2</v>
      </c>
      <c r="T206">
        <f t="shared" si="44"/>
        <v>0.81020167842453639</v>
      </c>
      <c r="U206">
        <f t="shared" si="45"/>
        <v>8.45139173261175</v>
      </c>
      <c r="V206">
        <f t="shared" si="46"/>
        <v>6.6311883929397644E-2</v>
      </c>
      <c r="W206">
        <f t="shared" si="47"/>
        <v>0.19612155212855722</v>
      </c>
      <c r="X206">
        <f t="shared" si="48"/>
        <v>8.7138251686697057</v>
      </c>
      <c r="Y206">
        <f t="shared" si="55"/>
        <v>81618.462360303354</v>
      </c>
      <c r="Z206">
        <f>IF(Inputs!B3&gt;0,(V206+W206)/Inputs!B3,0)</f>
        <v>8.7477812019318292E-10</v>
      </c>
      <c r="AA206">
        <f>IF(OR(Y206/Inputs!B3&gt;=Inputs!B23,Z206&gt;=Inputs!B24),1,0)</f>
        <v>0</v>
      </c>
      <c r="AB206">
        <f t="shared" si="49"/>
        <v>0</v>
      </c>
    </row>
    <row r="207" spans="1:28" x14ac:dyDescent="0.2">
      <c r="A207">
        <v>206</v>
      </c>
      <c r="B207">
        <f t="shared" si="50"/>
        <v>0</v>
      </c>
      <c r="C207">
        <f t="shared" si="51"/>
        <v>8.7138251686697057</v>
      </c>
      <c r="D207">
        <f t="shared" si="52"/>
        <v>8.45139173261175</v>
      </c>
      <c r="E207">
        <f t="shared" si="53"/>
        <v>6.6311883929397644E-2</v>
      </c>
      <c r="F207">
        <f t="shared" si="54"/>
        <v>0.19612155212855722</v>
      </c>
      <c r="G207">
        <f>MAX(Inputs!B7-A207+1,0)</f>
        <v>95</v>
      </c>
      <c r="H207">
        <f>IF(AND(A207&lt;=Inputs!B7,D207&gt;0),-PMT(Inputs!B6/12,G207,D207),0)</f>
        <v>0.1109503881589595</v>
      </c>
      <c r="I207">
        <f>IF(AND(A207&lt;=Inputs!B7,D207&gt;0),D207*Inputs!B6/12,0)</f>
        <v>4.0496252052097968E-2</v>
      </c>
      <c r="J207">
        <f t="shared" si="42"/>
        <v>7.045413610686152E-2</v>
      </c>
      <c r="K207">
        <f>MAX((D207-J207)*Inputs!B32,0)</f>
        <v>0.67047500772039115</v>
      </c>
      <c r="L207">
        <f>MAX((D207-J207-K207)*Inputs!B33,0)</f>
        <v>2.6185141139775759E-2</v>
      </c>
      <c r="M207">
        <f>MIN(E207*Inputs!B29,E207)</f>
        <v>2.3209159375289175E-2</v>
      </c>
      <c r="N207">
        <f>MIN((E207-M207)*Inputs!B30,E207-M207)</f>
        <v>8.6205449108216949E-3</v>
      </c>
      <c r="O207">
        <f>MIN(F207*Inputs!B31,F207)</f>
        <v>2.3534586255426867E-2</v>
      </c>
      <c r="P207">
        <f>MIN((F207-O207)*Inputs!B34,F207-O207)</f>
        <v>1.5086881115144255E-3</v>
      </c>
      <c r="Q207">
        <f>P207*Inputs!B35</f>
        <v>3.7717202787860638E-4</v>
      </c>
      <c r="R207">
        <f>C207*Inputs!B8/12</f>
        <v>3.630760486945711E-3</v>
      </c>
      <c r="S207">
        <f t="shared" si="43"/>
        <v>3.6865491565152259E-2</v>
      </c>
      <c r="T207">
        <f t="shared" si="44"/>
        <v>0.74206065991088854</v>
      </c>
      <c r="U207">
        <f t="shared" si="45"/>
        <v>7.7310211932754394</v>
      </c>
      <c r="V207">
        <f t="shared" si="46"/>
        <v>6.0667320783062528E-2</v>
      </c>
      <c r="W207">
        <f t="shared" si="47"/>
        <v>0.17969882267243764</v>
      </c>
      <c r="X207">
        <f t="shared" si="48"/>
        <v>7.97138733673094</v>
      </c>
      <c r="Y207">
        <f t="shared" si="55"/>
        <v>81618.462737475376</v>
      </c>
      <c r="Z207">
        <f>IF(Inputs!B3&gt;0,(V207+W207)/Inputs!B3,0)</f>
        <v>8.0122047818500053E-10</v>
      </c>
      <c r="AA207">
        <f>IF(OR(Y207/Inputs!B3&gt;=Inputs!B23,Z207&gt;=Inputs!B24),1,0)</f>
        <v>0</v>
      </c>
      <c r="AB207">
        <f t="shared" si="49"/>
        <v>0</v>
      </c>
    </row>
    <row r="208" spans="1:28" x14ac:dyDescent="0.2">
      <c r="A208">
        <v>207</v>
      </c>
      <c r="B208">
        <f t="shared" si="50"/>
        <v>0</v>
      </c>
      <c r="C208">
        <f t="shared" si="51"/>
        <v>7.97138733673094</v>
      </c>
      <c r="D208">
        <f t="shared" si="52"/>
        <v>7.7310211932754394</v>
      </c>
      <c r="E208">
        <f t="shared" si="53"/>
        <v>6.0667320783062528E-2</v>
      </c>
      <c r="F208">
        <f t="shared" si="54"/>
        <v>0.17969882267243764</v>
      </c>
      <c r="G208">
        <f>MAX(Inputs!B7-A208+1,0)</f>
        <v>94</v>
      </c>
      <c r="H208">
        <f>IF(AND(A208&lt;=Inputs!B7,D208&gt;0),-PMT(Inputs!B6/12,G208,D208),0)</f>
        <v>0.10234652058700028</v>
      </c>
      <c r="I208">
        <f>IF(AND(A208&lt;=Inputs!B7,D208&gt;0),D208*Inputs!B6/12,0)</f>
        <v>3.7044476551111483E-2</v>
      </c>
      <c r="J208">
        <f t="shared" si="42"/>
        <v>6.5302044035888795E-2</v>
      </c>
      <c r="K208">
        <f>MAX((D208-J208)*Inputs!B32,0)</f>
        <v>0.6132575319391641</v>
      </c>
      <c r="L208">
        <f>MAX((D208-J208-K208)*Inputs!B33,0)</f>
        <v>2.3950534835676281E-2</v>
      </c>
      <c r="M208">
        <f>MIN(E208*Inputs!B29,E208)</f>
        <v>2.1233562274071884E-2</v>
      </c>
      <c r="N208">
        <f>MIN((E208-M208)*Inputs!B30,E208-M208)</f>
        <v>7.8867517017981292E-3</v>
      </c>
      <c r="O208">
        <f>MIN(F208*Inputs!B31,F208)</f>
        <v>2.1563858720692518E-2</v>
      </c>
      <c r="P208">
        <f>MIN((F208-O208)*Inputs!B34,F208-O208)</f>
        <v>1.3823543332011463E-3</v>
      </c>
      <c r="Q208">
        <f>P208*Inputs!B35</f>
        <v>3.4558858330028657E-4</v>
      </c>
      <c r="R208">
        <f>C208*Inputs!B8/12</f>
        <v>3.321411390304558E-3</v>
      </c>
      <c r="S208">
        <f t="shared" si="43"/>
        <v>3.3723065160806927E-2</v>
      </c>
      <c r="T208">
        <f t="shared" si="44"/>
        <v>0.67959634172495376</v>
      </c>
      <c r="U208">
        <f t="shared" si="45"/>
        <v>7.0713085034594751</v>
      </c>
      <c r="V208">
        <f t="shared" si="46"/>
        <v>5.549754164286879E-2</v>
      </c>
      <c r="W208">
        <f t="shared" si="47"/>
        <v>0.1646393613203421</v>
      </c>
      <c r="X208">
        <f t="shared" si="48"/>
        <v>7.2914454064226861</v>
      </c>
      <c r="Y208">
        <f t="shared" si="55"/>
        <v>81618.463083063965</v>
      </c>
      <c r="Z208">
        <f>IF(Inputs!B3&gt;0,(V208+W208)/Inputs!B3,0)</f>
        <v>7.3378967654403633E-10</v>
      </c>
      <c r="AA208">
        <f>IF(OR(Y208/Inputs!B3&gt;=Inputs!B23,Z208&gt;=Inputs!B24),1,0)</f>
        <v>0</v>
      </c>
      <c r="AB208">
        <f t="shared" si="49"/>
        <v>0</v>
      </c>
    </row>
    <row r="209" spans="1:28" x14ac:dyDescent="0.2">
      <c r="A209">
        <v>208</v>
      </c>
      <c r="B209">
        <f t="shared" si="50"/>
        <v>0</v>
      </c>
      <c r="C209">
        <f t="shared" si="51"/>
        <v>7.2914454064226861</v>
      </c>
      <c r="D209">
        <f t="shared" si="52"/>
        <v>7.0713085034594751</v>
      </c>
      <c r="E209">
        <f t="shared" si="53"/>
        <v>5.549754164286879E-2</v>
      </c>
      <c r="F209">
        <f t="shared" si="54"/>
        <v>0.1646393613203421</v>
      </c>
      <c r="G209">
        <f>MAX(Inputs!B7-A209+1,0)</f>
        <v>93</v>
      </c>
      <c r="H209">
        <f>IF(AND(A209&lt;=Inputs!B7,D209&gt;0),-PMT(Inputs!B6/12,G209,D209),0)</f>
        <v>9.4410427415429071E-2</v>
      </c>
      <c r="I209">
        <f>IF(AND(A209&lt;=Inputs!B7,D209&gt;0),D209*Inputs!B6/12,0)</f>
        <v>3.388335324574332E-2</v>
      </c>
      <c r="J209">
        <f t="shared" si="42"/>
        <v>6.0527074169685752E-2</v>
      </c>
      <c r="K209">
        <f>MAX((D209-J209)*Inputs!B32,0)</f>
        <v>0.56086251434318313</v>
      </c>
      <c r="L209">
        <f>MAX((D209-J209-K209)*Inputs!B33,0)</f>
        <v>2.1904267763863294E-2</v>
      </c>
      <c r="M209">
        <f>MIN(E209*Inputs!B29,E209)</f>
        <v>1.9424139575004076E-2</v>
      </c>
      <c r="N209">
        <f>MIN((E209-M209)*Inputs!B30,E209-M209)</f>
        <v>7.2146804135729443E-3</v>
      </c>
      <c r="O209">
        <f>MIN(F209*Inputs!B31,F209)</f>
        <v>1.9756723358441051E-2</v>
      </c>
      <c r="P209">
        <f>MIN((F209-O209)*Inputs!B34,F209-O209)</f>
        <v>1.2665076551531132E-3</v>
      </c>
      <c r="Q209">
        <f>P209*Inputs!B35</f>
        <v>3.1662691378827831E-4</v>
      </c>
      <c r="R209">
        <f>C209*Inputs!B8/12</f>
        <v>3.0381022526761192E-3</v>
      </c>
      <c r="S209">
        <f t="shared" si="43"/>
        <v>3.0845250993067199E-2</v>
      </c>
      <c r="T209">
        <f t="shared" si="44"/>
        <v>0.62233946925423367</v>
      </c>
      <c r="U209">
        <f t="shared" si="45"/>
        <v>6.4671955101161869</v>
      </c>
      <c r="V209">
        <f t="shared" si="46"/>
        <v>5.0762989418155068E-2</v>
      </c>
      <c r="W209">
        <f t="shared" si="47"/>
        <v>0.15083081072032087</v>
      </c>
      <c r="X209">
        <f t="shared" si="48"/>
        <v>6.6687893102546631</v>
      </c>
      <c r="Y209">
        <f t="shared" si="55"/>
        <v>81618.463399690881</v>
      </c>
      <c r="Z209">
        <f>IF(Inputs!B3&gt;0,(V209+W209)/Inputs!B3,0)</f>
        <v>6.7197933379491978E-10</v>
      </c>
      <c r="AA209">
        <f>IF(OR(Y209/Inputs!B3&gt;=Inputs!B23,Z209&gt;=Inputs!B24),1,0)</f>
        <v>0</v>
      </c>
      <c r="AB209">
        <f t="shared" si="49"/>
        <v>0</v>
      </c>
    </row>
    <row r="210" spans="1:28" x14ac:dyDescent="0.2">
      <c r="A210">
        <v>209</v>
      </c>
      <c r="B210">
        <f t="shared" si="50"/>
        <v>0</v>
      </c>
      <c r="C210">
        <f t="shared" si="51"/>
        <v>6.6687893102546631</v>
      </c>
      <c r="D210">
        <f t="shared" si="52"/>
        <v>6.4671955101161869</v>
      </c>
      <c r="E210">
        <f t="shared" si="53"/>
        <v>5.0762989418155068E-2</v>
      </c>
      <c r="F210">
        <f t="shared" si="54"/>
        <v>0.15083081072032087</v>
      </c>
      <c r="G210">
        <f>MAX(Inputs!B7-A210+1,0)</f>
        <v>92</v>
      </c>
      <c r="H210">
        <f>IF(AND(A210&lt;=Inputs!B7,D210&gt;0),-PMT(Inputs!B6/12,G210,D210),0)</f>
        <v>8.7090247848600449E-2</v>
      </c>
      <c r="I210">
        <f>IF(AND(A210&lt;=Inputs!B7,D210&gt;0),D210*Inputs!B6/12,0)</f>
        <v>3.0988645152640062E-2</v>
      </c>
      <c r="J210">
        <f t="shared" si="42"/>
        <v>5.6101602695960387E-2</v>
      </c>
      <c r="K210">
        <f>MAX((D210-J210)*Inputs!B32,0)</f>
        <v>0.51288751259361809</v>
      </c>
      <c r="L210">
        <f>MAX((D210-J210-K210)*Inputs!B33,0)</f>
        <v>2.0030622695026905E-2</v>
      </c>
      <c r="M210">
        <f>MIN(E210*Inputs!B29,E210)</f>
        <v>1.7767046296354273E-2</v>
      </c>
      <c r="N210">
        <f>MIN((E210-M210)*Inputs!B30,E210-M210)</f>
        <v>6.5991886243601588E-3</v>
      </c>
      <c r="O210">
        <f>MIN(F210*Inputs!B31,F210)</f>
        <v>1.8099697286438503E-2</v>
      </c>
      <c r="P210">
        <f>MIN((F210-O210)*Inputs!B34,F210-O210)</f>
        <v>1.1602837552227192E-3</v>
      </c>
      <c r="Q210">
        <f>P210*Inputs!B35</f>
        <v>2.9007093880567981E-4</v>
      </c>
      <c r="R210">
        <f>C210*Inputs!B8/12</f>
        <v>2.7786622126061097E-3</v>
      </c>
      <c r="S210">
        <f t="shared" si="43"/>
        <v>2.8209982940033951E-2</v>
      </c>
      <c r="T210">
        <f t="shared" si="44"/>
        <v>0.56985932810599549</v>
      </c>
      <c r="U210">
        <f t="shared" si="45"/>
        <v>5.9140425157143737</v>
      </c>
      <c r="V210">
        <f t="shared" si="46"/>
        <v>4.6427377192467534E-2</v>
      </c>
      <c r="W210">
        <f t="shared" si="47"/>
        <v>0.13817001830301978</v>
      </c>
      <c r="X210">
        <f t="shared" si="48"/>
        <v>6.0986399112098617</v>
      </c>
      <c r="Y210">
        <f t="shared" si="55"/>
        <v>81618.463689761818</v>
      </c>
      <c r="Z210">
        <f>IF(Inputs!B3&gt;0,(V210+W210)/Inputs!B3,0)</f>
        <v>6.1532465165162443E-10</v>
      </c>
      <c r="AA210">
        <f>IF(OR(Y210/Inputs!B3&gt;=Inputs!B23,Z210&gt;=Inputs!B24),1,0)</f>
        <v>0</v>
      </c>
      <c r="AB210">
        <f t="shared" si="49"/>
        <v>0</v>
      </c>
    </row>
    <row r="211" spans="1:28" x14ac:dyDescent="0.2">
      <c r="A211">
        <v>210</v>
      </c>
      <c r="B211">
        <f t="shared" si="50"/>
        <v>0</v>
      </c>
      <c r="C211">
        <f t="shared" si="51"/>
        <v>6.0986399112098617</v>
      </c>
      <c r="D211">
        <f t="shared" si="52"/>
        <v>5.9140425157143737</v>
      </c>
      <c r="E211">
        <f t="shared" si="53"/>
        <v>4.6427377192467534E-2</v>
      </c>
      <c r="F211">
        <f t="shared" si="54"/>
        <v>0.13817001830301978</v>
      </c>
      <c r="G211">
        <f>MAX(Inputs!B7-A211+1,0)</f>
        <v>91</v>
      </c>
      <c r="H211">
        <f>IF(AND(A211&lt;=Inputs!B7,D211&gt;0),-PMT(Inputs!B6/12,G211,D211),0)</f>
        <v>8.0338150699149499E-2</v>
      </c>
      <c r="I211">
        <f>IF(AND(A211&lt;=Inputs!B7,D211&gt;0),D211*Inputs!B6/12,0)</f>
        <v>2.8338120387798042E-2</v>
      </c>
      <c r="J211">
        <f t="shared" si="42"/>
        <v>5.2000030311351461E-2</v>
      </c>
      <c r="K211">
        <f>MAX((D211-J211)*Inputs!B32,0)</f>
        <v>0.46896339883224181</v>
      </c>
      <c r="L211">
        <f>MAX((D211-J211-K211)*Inputs!B33,0)</f>
        <v>1.831518348396409E-2</v>
      </c>
      <c r="M211">
        <f>MIN(E211*Inputs!B29,E211)</f>
        <v>1.6249582017363637E-2</v>
      </c>
      <c r="N211">
        <f>MIN((E211-M211)*Inputs!B30,E211-M211)</f>
        <v>6.0355590350207799E-3</v>
      </c>
      <c r="O211">
        <f>MIN(F211*Inputs!B31,F211)</f>
        <v>1.6580402196362372E-2</v>
      </c>
      <c r="P211">
        <f>MIN((F211-O211)*Inputs!B34,F211-O211)</f>
        <v>1.0628891201353253E-3</v>
      </c>
      <c r="Q211">
        <f>P211*Inputs!B35</f>
        <v>2.6572228003383133E-4</v>
      </c>
      <c r="R211">
        <f>C211*Inputs!B8/12</f>
        <v>2.541099963004109E-3</v>
      </c>
      <c r="S211">
        <f t="shared" si="43"/>
        <v>2.5797020424793933E-2</v>
      </c>
      <c r="T211">
        <f t="shared" si="44"/>
        <v>0.52176059598369473</v>
      </c>
      <c r="U211">
        <f t="shared" si="45"/>
        <v>5.4075938873005427</v>
      </c>
      <c r="V211">
        <f t="shared" si="46"/>
        <v>4.2457419624047206E-2</v>
      </c>
      <c r="W211">
        <f t="shared" si="47"/>
        <v>0.12656228602154287</v>
      </c>
      <c r="X211">
        <f t="shared" si="48"/>
        <v>5.5766135929461331</v>
      </c>
      <c r="Y211">
        <f t="shared" si="55"/>
        <v>81618.463955484098</v>
      </c>
      <c r="Z211">
        <f>IF(Inputs!B3&gt;0,(V211+W211)/Inputs!B3,0)</f>
        <v>5.6339901881863359E-10</v>
      </c>
      <c r="AA211">
        <f>IF(OR(Y211/Inputs!B3&gt;=Inputs!B23,Z211&gt;=Inputs!B24),1,0)</f>
        <v>0</v>
      </c>
      <c r="AB211">
        <f t="shared" si="49"/>
        <v>0</v>
      </c>
    </row>
    <row r="212" spans="1:28" x14ac:dyDescent="0.2">
      <c r="A212">
        <v>211</v>
      </c>
      <c r="B212">
        <f t="shared" si="50"/>
        <v>0</v>
      </c>
      <c r="C212">
        <f t="shared" si="51"/>
        <v>5.5766135929461331</v>
      </c>
      <c r="D212">
        <f t="shared" si="52"/>
        <v>5.4075938873005427</v>
      </c>
      <c r="E212">
        <f t="shared" si="53"/>
        <v>4.2457419624047206E-2</v>
      </c>
      <c r="F212">
        <f t="shared" si="54"/>
        <v>0.12656228602154287</v>
      </c>
      <c r="G212">
        <f>MAX(Inputs!B7-A212+1,0)</f>
        <v>90</v>
      </c>
      <c r="H212">
        <f>IF(AND(A212&lt;=Inputs!B7,D212&gt;0),-PMT(Inputs!B6/12,G212,D212),0)</f>
        <v>7.4110021160633505E-2</v>
      </c>
      <c r="I212">
        <f>IF(AND(A212&lt;=Inputs!B7,D212&gt;0),D212*Inputs!B6/12,0)</f>
        <v>2.5911387376648432E-2</v>
      </c>
      <c r="J212">
        <f t="shared" si="42"/>
        <v>4.8198633783985076E-2</v>
      </c>
      <c r="K212">
        <f>MAX((D212-J212)*Inputs!B32,0)</f>
        <v>0.42875162028132457</v>
      </c>
      <c r="L212">
        <f>MAX((D212-J212-K212)*Inputs!B33,0)</f>
        <v>1.6744728083371008E-2</v>
      </c>
      <c r="M212">
        <f>MIN(E212*Inputs!B29,E212)</f>
        <v>1.4860096868416521E-2</v>
      </c>
      <c r="N212">
        <f>MIN((E212-M212)*Inputs!B30,E212-M212)</f>
        <v>5.5194645511261369E-3</v>
      </c>
      <c r="O212">
        <f>MIN(F212*Inputs!B31,F212)</f>
        <v>1.5187474322585144E-2</v>
      </c>
      <c r="P212">
        <f>MIN((F212-O212)*Inputs!B34,F212-O212)</f>
        <v>9.7359527402489344E-4</v>
      </c>
      <c r="Q212">
        <f>P212*Inputs!B35</f>
        <v>2.4339881850622336E-4</v>
      </c>
      <c r="R212">
        <f>C212*Inputs!B8/12</f>
        <v>2.3235889970608888E-3</v>
      </c>
      <c r="S212">
        <f t="shared" si="43"/>
        <v>2.3587798379587542E-2</v>
      </c>
      <c r="T212">
        <f t="shared" si="44"/>
        <v>0.47768045052082836</v>
      </c>
      <c r="U212">
        <f t="shared" si="45"/>
        <v>4.9439464763428642</v>
      </c>
      <c r="V212">
        <f t="shared" si="46"/>
        <v>3.8822586287875556E-2</v>
      </c>
      <c r="W212">
        <f t="shared" si="47"/>
        <v>0.11592068097605897</v>
      </c>
      <c r="X212">
        <f t="shared" si="48"/>
        <v>5.0986897436067986</v>
      </c>
      <c r="Y212">
        <f t="shared" si="55"/>
        <v>81618.46419888291</v>
      </c>
      <c r="Z212">
        <f>IF(Inputs!B3&gt;0,(V212+W212)/Inputs!B3,0)</f>
        <v>5.1581089087978179E-10</v>
      </c>
      <c r="AA212">
        <f>IF(OR(Y212/Inputs!B3&gt;=Inputs!B23,Z212&gt;=Inputs!B24),1,0)</f>
        <v>0</v>
      </c>
      <c r="AB212">
        <f t="shared" si="49"/>
        <v>0</v>
      </c>
    </row>
    <row r="213" spans="1:28" x14ac:dyDescent="0.2">
      <c r="A213">
        <v>212</v>
      </c>
      <c r="B213">
        <f t="shared" si="50"/>
        <v>0</v>
      </c>
      <c r="C213">
        <f t="shared" si="51"/>
        <v>5.0986897436067986</v>
      </c>
      <c r="D213">
        <f t="shared" si="52"/>
        <v>4.9439464763428642</v>
      </c>
      <c r="E213">
        <f t="shared" si="53"/>
        <v>3.8822586287875556E-2</v>
      </c>
      <c r="F213">
        <f t="shared" si="54"/>
        <v>0.11592068097605897</v>
      </c>
      <c r="G213">
        <f>MAX(Inputs!B7-A213+1,0)</f>
        <v>89</v>
      </c>
      <c r="H213">
        <f>IF(AND(A213&lt;=Inputs!B7,D213&gt;0),-PMT(Inputs!B6/12,G213,D213),0)</f>
        <v>6.8365171935844626E-2</v>
      </c>
      <c r="I213">
        <f>IF(AND(A213&lt;=Inputs!B7,D213&gt;0),D213*Inputs!B6/12,0)</f>
        <v>2.3689743532476226E-2</v>
      </c>
      <c r="J213">
        <f t="shared" si="42"/>
        <v>4.4675428403368397E-2</v>
      </c>
      <c r="K213">
        <f>MAX((D213-J213)*Inputs!B32,0)</f>
        <v>0.39194168383515965</v>
      </c>
      <c r="L213">
        <f>MAX((D213-J213-K213)*Inputs!B33,0)</f>
        <v>1.5307130305541579E-2</v>
      </c>
      <c r="M213">
        <f>MIN(E213*Inputs!B29,E213)</f>
        <v>1.3587905200756444E-2</v>
      </c>
      <c r="N213">
        <f>MIN((E213-M213)*Inputs!B30,E213-M213)</f>
        <v>5.046936217423823E-3</v>
      </c>
      <c r="O213">
        <f>MIN(F213*Inputs!B31,F213)</f>
        <v>1.3910481717127075E-2</v>
      </c>
      <c r="P213">
        <f>MIN((F213-O213)*Inputs!B34,F213-O213)</f>
        <v>8.917334753326745E-4</v>
      </c>
      <c r="Q213">
        <f>P213*Inputs!B35</f>
        <v>2.2293336883316863E-4</v>
      </c>
      <c r="R213">
        <f>C213*Inputs!B8/12</f>
        <v>2.1244540598361664E-3</v>
      </c>
      <c r="S213">
        <f t="shared" si="43"/>
        <v>2.156528947264006E-2</v>
      </c>
      <c r="T213">
        <f t="shared" si="44"/>
        <v>0.43728591234502756</v>
      </c>
      <c r="U213">
        <f t="shared" si="45"/>
        <v>4.519520620716678</v>
      </c>
      <c r="V213">
        <f t="shared" si="46"/>
        <v>3.5494875175236869E-2</v>
      </c>
      <c r="W213">
        <f t="shared" si="47"/>
        <v>0.10616540200102305</v>
      </c>
      <c r="X213">
        <f t="shared" si="48"/>
        <v>4.6611808978929385</v>
      </c>
      <c r="Y213">
        <f t="shared" si="55"/>
        <v>81618.464421816272</v>
      </c>
      <c r="Z213">
        <f>IF(Inputs!B3&gt;0,(V213+W213)/Inputs!B3,0)</f>
        <v>4.7220092392086645E-10</v>
      </c>
      <c r="AA213">
        <f>IF(OR(Y213/Inputs!B3&gt;=Inputs!B23,Z213&gt;=Inputs!B24),1,0)</f>
        <v>0</v>
      </c>
      <c r="AB213">
        <f t="shared" si="49"/>
        <v>0</v>
      </c>
    </row>
    <row r="214" spans="1:28" x14ac:dyDescent="0.2">
      <c r="A214">
        <v>213</v>
      </c>
      <c r="B214">
        <f t="shared" si="50"/>
        <v>0</v>
      </c>
      <c r="C214">
        <f t="shared" si="51"/>
        <v>4.6611808978929385</v>
      </c>
      <c r="D214">
        <f t="shared" si="52"/>
        <v>4.519520620716678</v>
      </c>
      <c r="E214">
        <f t="shared" si="53"/>
        <v>3.5494875175236869E-2</v>
      </c>
      <c r="F214">
        <f t="shared" si="54"/>
        <v>0.10616540200102305</v>
      </c>
      <c r="G214">
        <f>MAX(Inputs!B7-A214+1,0)</f>
        <v>88</v>
      </c>
      <c r="H214">
        <f>IF(AND(A214&lt;=Inputs!B7,D214&gt;0),-PMT(Inputs!B6/12,G214,D214),0)</f>
        <v>6.3066076826437042E-2</v>
      </c>
      <c r="I214">
        <f>IF(AND(A214&lt;=Inputs!B7,D214&gt;0),D214*Inputs!B6/12,0)</f>
        <v>2.165603630760075E-2</v>
      </c>
      <c r="J214">
        <f t="shared" si="42"/>
        <v>4.1410040518836289E-2</v>
      </c>
      <c r="K214">
        <f>MAX((D214-J214)*Inputs!B32,0)</f>
        <v>0.35824884641582733</v>
      </c>
      <c r="L214">
        <f>MAX((D214-J214-K214)*Inputs!B33,0)</f>
        <v>1.3991269620108453E-2</v>
      </c>
      <c r="M214">
        <f>MIN(E214*Inputs!B29,E214)</f>
        <v>1.2423206311332903E-2</v>
      </c>
      <c r="N214">
        <f>MIN((E214-M214)*Inputs!B30,E214-M214)</f>
        <v>4.6143337727807933E-3</v>
      </c>
      <c r="O214">
        <f>MIN(F214*Inputs!B31,F214)</f>
        <v>1.2739848240122765E-2</v>
      </c>
      <c r="P214">
        <f>MIN((F214-O214)*Inputs!B34,F214-O214)</f>
        <v>8.1668984420489338E-4</v>
      </c>
      <c r="Q214">
        <f>P214*Inputs!B35</f>
        <v>2.0417246105122335E-4</v>
      </c>
      <c r="R214">
        <f>C214*Inputs!B8/12</f>
        <v>1.9421587074553912E-3</v>
      </c>
      <c r="S214">
        <f t="shared" si="43"/>
        <v>1.9713877600145358E-2</v>
      </c>
      <c r="T214">
        <f t="shared" si="44"/>
        <v>0.40027140431781733</v>
      </c>
      <c r="U214">
        <f t="shared" si="45"/>
        <v>4.1310335187133616</v>
      </c>
      <c r="V214">
        <f t="shared" si="46"/>
        <v>3.2448604711231628E-2</v>
      </c>
      <c r="W214">
        <f t="shared" si="47"/>
        <v>9.7223197689476182E-2</v>
      </c>
      <c r="X214">
        <f t="shared" si="48"/>
        <v>4.2607053211140693</v>
      </c>
      <c r="Y214">
        <f t="shared" si="55"/>
        <v>81618.464625988738</v>
      </c>
      <c r="Z214">
        <f>IF(Inputs!B3&gt;0,(V214+W214)/Inputs!B3,0)</f>
        <v>4.3223934133569269E-10</v>
      </c>
      <c r="AA214">
        <f>IF(OR(Y214/Inputs!B3&gt;=Inputs!B23,Z214&gt;=Inputs!B24),1,0)</f>
        <v>0</v>
      </c>
      <c r="AB214">
        <f t="shared" si="49"/>
        <v>0</v>
      </c>
    </row>
    <row r="215" spans="1:28" x14ac:dyDescent="0.2">
      <c r="A215">
        <v>214</v>
      </c>
      <c r="B215">
        <f t="shared" si="50"/>
        <v>0</v>
      </c>
      <c r="C215">
        <f t="shared" si="51"/>
        <v>4.2607053211140693</v>
      </c>
      <c r="D215">
        <f t="shared" si="52"/>
        <v>4.1310335187133616</v>
      </c>
      <c r="E215">
        <f t="shared" si="53"/>
        <v>3.2448604711231628E-2</v>
      </c>
      <c r="F215">
        <f t="shared" si="54"/>
        <v>9.7223197689476182E-2</v>
      </c>
      <c r="G215">
        <f>MAX(Inputs!B7-A215+1,0)</f>
        <v>87</v>
      </c>
      <c r="H215">
        <f>IF(AND(A215&lt;=Inputs!B7,D215&gt;0),-PMT(Inputs!B6/12,G215,D215),0)</f>
        <v>5.8178125036888517E-2</v>
      </c>
      <c r="I215">
        <f>IF(AND(A215&lt;=Inputs!B7,D215&gt;0),D215*Inputs!B6/12,0)</f>
        <v>1.9794535610501523E-2</v>
      </c>
      <c r="J215">
        <f t="shared" si="42"/>
        <v>3.8383589426386991E-2</v>
      </c>
      <c r="K215">
        <f>MAX((D215-J215)*Inputs!B32,0)</f>
        <v>0.32741199434295792</v>
      </c>
      <c r="L215">
        <f>MAX((D215-J215-K215)*Inputs!B33,0)</f>
        <v>1.2786948333652371E-2</v>
      </c>
      <c r="M215">
        <f>MIN(E215*Inputs!B29,E215)</f>
        <v>1.1357011648931069E-2</v>
      </c>
      <c r="N215">
        <f>MIN((E215-M215)*Inputs!B30,E215-M215)</f>
        <v>4.2183186124601117E-3</v>
      </c>
      <c r="O215">
        <f>MIN(F215*Inputs!B31,F215)</f>
        <v>1.1666783722737141E-2</v>
      </c>
      <c r="P215">
        <f>MIN((F215-O215)*Inputs!B34,F215-O215)</f>
        <v>7.4790088557621362E-4</v>
      </c>
      <c r="Q215">
        <f>P215*Inputs!B35</f>
        <v>1.869752213940534E-4</v>
      </c>
      <c r="R215">
        <f>C215*Inputs!B8/12</f>
        <v>1.7752938837975289E-3</v>
      </c>
      <c r="S215">
        <f t="shared" si="43"/>
        <v>1.8019241726703994E-2</v>
      </c>
      <c r="T215">
        <f t="shared" si="44"/>
        <v>0.36635650943352704</v>
      </c>
      <c r="U215">
        <f t="shared" si="45"/>
        <v>3.7754747819820325</v>
      </c>
      <c r="V215">
        <f t="shared" si="46"/>
        <v>2.9660222783492819E-2</v>
      </c>
      <c r="W215">
        <f t="shared" si="47"/>
        <v>8.9026831693622938E-2</v>
      </c>
      <c r="X215">
        <f t="shared" si="48"/>
        <v>3.8941618364591482</v>
      </c>
      <c r="Y215">
        <f t="shared" si="55"/>
        <v>81618.464812963954</v>
      </c>
      <c r="Z215">
        <f>IF(Inputs!B3&gt;0,(V215+W215)/Inputs!B3,0)</f>
        <v>3.9562351492371918E-10</v>
      </c>
      <c r="AA215">
        <f>IF(OR(Y215/Inputs!B3&gt;=Inputs!B23,Z215&gt;=Inputs!B24),1,0)</f>
        <v>0</v>
      </c>
      <c r="AB215">
        <f t="shared" si="49"/>
        <v>0</v>
      </c>
    </row>
    <row r="216" spans="1:28" x14ac:dyDescent="0.2">
      <c r="A216">
        <v>215</v>
      </c>
      <c r="B216">
        <f t="shared" si="50"/>
        <v>0</v>
      </c>
      <c r="C216">
        <f t="shared" si="51"/>
        <v>3.8941618364591482</v>
      </c>
      <c r="D216">
        <f t="shared" si="52"/>
        <v>3.7754747819820325</v>
      </c>
      <c r="E216">
        <f t="shared" si="53"/>
        <v>2.9660222783492819E-2</v>
      </c>
      <c r="F216">
        <f t="shared" si="54"/>
        <v>8.9026831693622938E-2</v>
      </c>
      <c r="G216">
        <f>MAX(Inputs!B7-A216+1,0)</f>
        <v>86</v>
      </c>
      <c r="H216">
        <f>IF(AND(A216&lt;=Inputs!B7,D216&gt;0),-PMT(Inputs!B6/12,G216,D216),0)</f>
        <v>5.3669394581724636E-2</v>
      </c>
      <c r="I216">
        <f>IF(AND(A216&lt;=Inputs!B7,D216&gt;0),D216*Inputs!B6/12,0)</f>
        <v>1.8090816663663908E-2</v>
      </c>
      <c r="J216">
        <f t="shared" si="42"/>
        <v>3.5578577918060725E-2</v>
      </c>
      <c r="K216">
        <f>MAX((D216-J216)*Inputs!B32,0)</f>
        <v>0.29919169632511777</v>
      </c>
      <c r="L216">
        <f>MAX((D216-J216-K216)*Inputs!B33,0)</f>
        <v>1.1684815550036601E-2</v>
      </c>
      <c r="M216">
        <f>MIN(E216*Inputs!B29,E216)</f>
        <v>1.0381077974222486E-2</v>
      </c>
      <c r="N216">
        <f>MIN((E216-M216)*Inputs!B30,E216-M216)</f>
        <v>3.8558289618540668E-3</v>
      </c>
      <c r="O216">
        <f>MIN(F216*Inputs!B31,F216)</f>
        <v>1.0683219803234752E-2</v>
      </c>
      <c r="P216">
        <f>MIN((F216-O216)*Inputs!B34,F216-O216)</f>
        <v>6.8484937593152567E-4</v>
      </c>
      <c r="Q216">
        <f>P216*Inputs!B35</f>
        <v>1.7121234398288142E-4</v>
      </c>
      <c r="R216">
        <f>C216*Inputs!B8/12</f>
        <v>1.6225674318579783E-3</v>
      </c>
      <c r="S216">
        <f t="shared" si="43"/>
        <v>1.6468249231805929E-2</v>
      </c>
      <c r="T216">
        <f t="shared" si="44"/>
        <v>0.33528391127512719</v>
      </c>
      <c r="U216">
        <f t="shared" si="45"/>
        <v>3.4500839899662745</v>
      </c>
      <c r="V216">
        <f t="shared" si="46"/>
        <v>2.7108131397452866E-2</v>
      </c>
      <c r="W216">
        <f t="shared" si="47"/>
        <v>8.1514591476310724E-2</v>
      </c>
      <c r="X216">
        <f t="shared" si="48"/>
        <v>3.5587067128400385</v>
      </c>
      <c r="Y216">
        <f t="shared" si="55"/>
        <v>81618.464984176302</v>
      </c>
      <c r="Z216">
        <f>IF(Inputs!B3&gt;0,(V216+W216)/Inputs!B3,0)</f>
        <v>3.6207574291254533E-10</v>
      </c>
      <c r="AA216">
        <f>IF(OR(Y216/Inputs!B3&gt;=Inputs!B23,Z216&gt;=Inputs!B24),1,0)</f>
        <v>0</v>
      </c>
      <c r="AB216">
        <f t="shared" si="49"/>
        <v>0</v>
      </c>
    </row>
    <row r="217" spans="1:28" x14ac:dyDescent="0.2">
      <c r="A217">
        <v>216</v>
      </c>
      <c r="B217">
        <f t="shared" si="50"/>
        <v>0</v>
      </c>
      <c r="C217">
        <f t="shared" si="51"/>
        <v>3.5587067128400385</v>
      </c>
      <c r="D217">
        <f t="shared" si="52"/>
        <v>3.4500839899662745</v>
      </c>
      <c r="E217">
        <f t="shared" si="53"/>
        <v>2.7108131397452866E-2</v>
      </c>
      <c r="F217">
        <f t="shared" si="54"/>
        <v>8.1514591476310724E-2</v>
      </c>
      <c r="G217">
        <f>MAX(Inputs!B7-A217+1,0)</f>
        <v>85</v>
      </c>
      <c r="H217">
        <f>IF(AND(A217&lt;=Inputs!B7,D217&gt;0),-PMT(Inputs!B6/12,G217,D217),0)</f>
        <v>4.9510443310266702E-2</v>
      </c>
      <c r="I217">
        <f>IF(AND(A217&lt;=Inputs!B7,D217&gt;0),D217*Inputs!B6/12,0)</f>
        <v>1.6531652451921734E-2</v>
      </c>
      <c r="J217">
        <f t="shared" si="42"/>
        <v>3.2978790858344972E-2</v>
      </c>
      <c r="K217">
        <f>MAX((D217-J217)*Inputs!B32,0)</f>
        <v>0.27336841592863437</v>
      </c>
      <c r="L217">
        <f>MAX((D217-J217-K217)*Inputs!B33,0)</f>
        <v>1.0676297359070842E-2</v>
      </c>
      <c r="M217">
        <f>MIN(E217*Inputs!B29,E217)</f>
        <v>9.4878459891085034E-3</v>
      </c>
      <c r="N217">
        <f>MIN((E217-M217)*Inputs!B30,E217-M217)</f>
        <v>3.5240570816688732E-3</v>
      </c>
      <c r="O217">
        <f>MIN(F217*Inputs!B31,F217)</f>
        <v>9.7817509771572862E-3</v>
      </c>
      <c r="P217">
        <f>MIN((F217-O217)*Inputs!B34,F217-O217)</f>
        <v>6.270605843189123E-4</v>
      </c>
      <c r="Q217">
        <f>P217*Inputs!B35</f>
        <v>1.5676514607972807E-4</v>
      </c>
      <c r="R217">
        <f>C217*Inputs!B8/12</f>
        <v>1.4827944636833495E-3</v>
      </c>
      <c r="S217">
        <f t="shared" si="43"/>
        <v>1.5048857988238384E-2</v>
      </c>
      <c r="T217">
        <f t="shared" si="44"/>
        <v>0.30681750222521859</v>
      </c>
      <c r="U217">
        <f t="shared" si="45"/>
        <v>3.1523300827864902</v>
      </c>
      <c r="V217">
        <f t="shared" si="46"/>
        <v>2.4772525685746331E-2</v>
      </c>
      <c r="W217">
        <f t="shared" si="47"/>
        <v>7.4629836996503399E-2</v>
      </c>
      <c r="X217">
        <f t="shared" si="48"/>
        <v>3.2517324454687402</v>
      </c>
      <c r="Y217">
        <f t="shared" si="55"/>
        <v>81618.465140941451</v>
      </c>
      <c r="Z217">
        <f>IF(Inputs!B3&gt;0,(V217+W217)/Inputs!B3,0)</f>
        <v>3.3134120894083243E-10</v>
      </c>
      <c r="AA217">
        <f>IF(OR(Y217/Inputs!B3&gt;=Inputs!B23,Z217&gt;=Inputs!B24),1,0)</f>
        <v>0</v>
      </c>
      <c r="AB217">
        <f t="shared" si="49"/>
        <v>0</v>
      </c>
    </row>
    <row r="218" spans="1:28" x14ac:dyDescent="0.2">
      <c r="A218">
        <v>217</v>
      </c>
      <c r="B218">
        <f t="shared" si="50"/>
        <v>0</v>
      </c>
      <c r="C218">
        <f t="shared" si="51"/>
        <v>3.2517324454687402</v>
      </c>
      <c r="D218">
        <f t="shared" si="52"/>
        <v>3.1523300827864902</v>
      </c>
      <c r="E218">
        <f t="shared" si="53"/>
        <v>2.4772525685746331E-2</v>
      </c>
      <c r="F218">
        <f t="shared" si="54"/>
        <v>7.4629836996503399E-2</v>
      </c>
      <c r="G218">
        <f>MAX(Inputs!B7-A218+1,0)</f>
        <v>84</v>
      </c>
      <c r="H218">
        <f>IF(AND(A218&lt;=Inputs!B7,D218&gt;0),-PMT(Inputs!B6/12,G218,D218),0)</f>
        <v>4.5674116178744915E-2</v>
      </c>
      <c r="I218">
        <f>IF(AND(A218&lt;=Inputs!B7,D218&gt;0),D218*Inputs!B6/12,0)</f>
        <v>1.51049149800186E-2</v>
      </c>
      <c r="J218">
        <f t="shared" si="42"/>
        <v>3.0569201198726317E-2</v>
      </c>
      <c r="K218">
        <f>MAX((D218-J218)*Inputs!B32,0)</f>
        <v>0.2497408705270211</v>
      </c>
      <c r="L218">
        <f>MAX((D218-J218-K218)*Inputs!B33,0)</f>
        <v>9.7535327459180778E-3</v>
      </c>
      <c r="M218">
        <f>MIN(E218*Inputs!B29,E218)</f>
        <v>8.6703839900112156E-3</v>
      </c>
      <c r="N218">
        <f>MIN((E218-M218)*Inputs!B30,E218-M218)</f>
        <v>3.2204283391470234E-3</v>
      </c>
      <c r="O218">
        <f>MIN(F218*Inputs!B31,F218)</f>
        <v>8.955580439580408E-3</v>
      </c>
      <c r="P218">
        <f>MIN((F218-O218)*Inputs!B34,F218-O218)</f>
        <v>5.7409880055956102E-4</v>
      </c>
      <c r="Q218">
        <f>P218*Inputs!B35</f>
        <v>1.4352470013989025E-4</v>
      </c>
      <c r="R218">
        <f>C218*Inputs!B8/12</f>
        <v>1.3548885189453082E-3</v>
      </c>
      <c r="S218">
        <f t="shared" si="43"/>
        <v>1.3750026461073291E-2</v>
      </c>
      <c r="T218">
        <f t="shared" si="44"/>
        <v>0.28074064582616709</v>
      </c>
      <c r="U218">
        <f t="shared" si="45"/>
        <v>2.8798924427444161</v>
      </c>
      <c r="V218">
        <f t="shared" si="46"/>
        <v>2.2635246102506168E-2</v>
      </c>
      <c r="W218">
        <f t="shared" si="47"/>
        <v>6.8320586095510463E-2</v>
      </c>
      <c r="X218">
        <f t="shared" si="48"/>
        <v>2.9708482749424325</v>
      </c>
      <c r="Y218">
        <f t="shared" si="55"/>
        <v>81618.465284466147</v>
      </c>
      <c r="Z218">
        <f>IF(Inputs!B3&gt;0,(V218+W218)/Inputs!B3,0)</f>
        <v>3.031861073267221E-10</v>
      </c>
      <c r="AA218">
        <f>IF(OR(Y218/Inputs!B3&gt;=Inputs!B23,Z218&gt;=Inputs!B24),1,0)</f>
        <v>0</v>
      </c>
      <c r="AB218">
        <f t="shared" si="49"/>
        <v>0</v>
      </c>
    </row>
    <row r="219" spans="1:28" x14ac:dyDescent="0.2">
      <c r="A219">
        <v>218</v>
      </c>
      <c r="B219">
        <f t="shared" si="50"/>
        <v>0</v>
      </c>
      <c r="C219">
        <f t="shared" si="51"/>
        <v>2.9708482749424325</v>
      </c>
      <c r="D219">
        <f t="shared" si="52"/>
        <v>2.8798924427444161</v>
      </c>
      <c r="E219">
        <f t="shared" si="53"/>
        <v>2.2635246102506168E-2</v>
      </c>
      <c r="F219">
        <f t="shared" si="54"/>
        <v>6.8320586095510463E-2</v>
      </c>
      <c r="G219">
        <f>MAX(Inputs!B7-A219+1,0)</f>
        <v>83</v>
      </c>
      <c r="H219">
        <f>IF(AND(A219&lt;=Inputs!B7,D219&gt;0),-PMT(Inputs!B6/12,G219,D219),0)</f>
        <v>4.2135367506205973E-2</v>
      </c>
      <c r="I219">
        <f>IF(AND(A219&lt;=Inputs!B7,D219&gt;0),D219*Inputs!B6/12,0)</f>
        <v>1.3799484621483662E-2</v>
      </c>
      <c r="J219">
        <f t="shared" si="42"/>
        <v>2.8335882884722309E-2</v>
      </c>
      <c r="K219">
        <f>MAX((D219-J219)*Inputs!B32,0)</f>
        <v>0.22812452478877551</v>
      </c>
      <c r="L219">
        <f>MAX((D219-J219-K219)*Inputs!B33,0)</f>
        <v>8.9093147548453943E-3</v>
      </c>
      <c r="M219">
        <f>MIN(E219*Inputs!B29,E219)</f>
        <v>7.9223361358771588E-3</v>
      </c>
      <c r="N219">
        <f>MIN((E219-M219)*Inputs!B30,E219-M219)</f>
        <v>2.9425819933258019E-3</v>
      </c>
      <c r="O219">
        <f>MIN(F219*Inputs!B31,F219)</f>
        <v>8.1984703314612554E-3</v>
      </c>
      <c r="P219">
        <f>MIN((F219-O219)*Inputs!B34,F219-O219)</f>
        <v>5.2556414578255699E-4</v>
      </c>
      <c r="Q219">
        <f>P219*Inputs!B35</f>
        <v>1.3139103644563925E-4</v>
      </c>
      <c r="R219">
        <f>C219*Inputs!B8/12</f>
        <v>1.2378534478926803E-3</v>
      </c>
      <c r="S219">
        <f t="shared" si="43"/>
        <v>1.2561631173590982E-2</v>
      </c>
      <c r="T219">
        <f t="shared" si="44"/>
        <v>0.25685458078283468</v>
      </c>
      <c r="U219">
        <f t="shared" si="45"/>
        <v>2.6306435267834112</v>
      </c>
      <c r="V219">
        <f t="shared" si="46"/>
        <v>2.0679642728148602E-2</v>
      </c>
      <c r="W219">
        <f t="shared" si="47"/>
        <v>6.2539133611592454E-2</v>
      </c>
      <c r="X219">
        <f t="shared" si="48"/>
        <v>2.7138623031231526</v>
      </c>
      <c r="Y219">
        <f t="shared" si="55"/>
        <v>81618.465415857179</v>
      </c>
      <c r="Z219">
        <f>IF(Inputs!B3&gt;0,(V219+W219)/Inputs!B3,0)</f>
        <v>2.7739592113247019E-10</v>
      </c>
      <c r="AA219">
        <f>IF(OR(Y219/Inputs!B3&gt;=Inputs!B23,Z219&gt;=Inputs!B24),1,0)</f>
        <v>0</v>
      </c>
      <c r="AB219">
        <f t="shared" si="49"/>
        <v>0</v>
      </c>
    </row>
    <row r="220" spans="1:28" x14ac:dyDescent="0.2">
      <c r="A220">
        <v>219</v>
      </c>
      <c r="B220">
        <f t="shared" si="50"/>
        <v>0</v>
      </c>
      <c r="C220">
        <f t="shared" si="51"/>
        <v>2.7138623031231526</v>
      </c>
      <c r="D220">
        <f t="shared" si="52"/>
        <v>2.6306435267834112</v>
      </c>
      <c r="E220">
        <f t="shared" si="53"/>
        <v>2.0679642728148602E-2</v>
      </c>
      <c r="F220">
        <f t="shared" si="54"/>
        <v>6.2539133611592454E-2</v>
      </c>
      <c r="G220">
        <f>MAX(Inputs!B7-A220+1,0)</f>
        <v>82</v>
      </c>
      <c r="H220">
        <f>IF(AND(A220&lt;=Inputs!B7,D220&gt;0),-PMT(Inputs!B6/12,G220,D220),0)</f>
        <v>3.8871097048937604E-2</v>
      </c>
      <c r="I220">
        <f>IF(AND(A220&lt;=Inputs!B7,D220&gt;0),D220*Inputs!B6/12,0)</f>
        <v>1.2605166899170512E-2</v>
      </c>
      <c r="J220">
        <f t="shared" si="42"/>
        <v>2.6265930149767094E-2</v>
      </c>
      <c r="K220">
        <f>MAX((D220-J220)*Inputs!B32,0)</f>
        <v>0.20835020773069154</v>
      </c>
      <c r="L220">
        <f>MAX((D220-J220-K220)*Inputs!B33,0)</f>
        <v>8.1370364787779585E-3</v>
      </c>
      <c r="M220">
        <f>MIN(E220*Inputs!B29,E220)</f>
        <v>7.23787495485201E-3</v>
      </c>
      <c r="N220">
        <f>MIN((E220-M220)*Inputs!B30,E220-M220)</f>
        <v>2.6883535546593186E-3</v>
      </c>
      <c r="O220">
        <f>MIN(F220*Inputs!B31,F220)</f>
        <v>7.5046960333910945E-3</v>
      </c>
      <c r="P220">
        <f>MIN((F220-O220)*Inputs!B34,F220-O220)</f>
        <v>4.8108964241917789E-4</v>
      </c>
      <c r="Q220">
        <f>P220*Inputs!B35</f>
        <v>1.2027241060479447E-4</v>
      </c>
      <c r="R220">
        <f>C220*Inputs!B8/12</f>
        <v>1.1307759596346468E-3</v>
      </c>
      <c r="S220">
        <f t="shared" si="43"/>
        <v>1.1474390939535865E-2</v>
      </c>
      <c r="T220">
        <f t="shared" si="44"/>
        <v>0.23497695511227304</v>
      </c>
      <c r="U220">
        <f t="shared" si="45"/>
        <v>2.4026329234124177</v>
      </c>
      <c r="V220">
        <f t="shared" si="46"/>
        <v>1.8890450697415233E-2</v>
      </c>
      <c r="W220">
        <f t="shared" si="47"/>
        <v>5.7241701490441499E-2</v>
      </c>
      <c r="X220">
        <f t="shared" si="48"/>
        <v>2.4787650756002746</v>
      </c>
      <c r="Y220">
        <f t="shared" si="55"/>
        <v>81618.465536129588</v>
      </c>
      <c r="Z220">
        <f>IF(Inputs!B3&gt;0,(V220+W220)/Inputs!B3,0)</f>
        <v>2.5377384062618915E-10</v>
      </c>
      <c r="AA220">
        <f>IF(OR(Y220/Inputs!B3&gt;=Inputs!B23,Z220&gt;=Inputs!B24),1,0)</f>
        <v>0</v>
      </c>
      <c r="AB220">
        <f t="shared" si="49"/>
        <v>0</v>
      </c>
    </row>
    <row r="221" spans="1:28" x14ac:dyDescent="0.2">
      <c r="A221">
        <v>220</v>
      </c>
      <c r="B221">
        <f t="shared" si="50"/>
        <v>0</v>
      </c>
      <c r="C221">
        <f t="shared" si="51"/>
        <v>2.4787650756002746</v>
      </c>
      <c r="D221">
        <f t="shared" si="52"/>
        <v>2.4026329234124177</v>
      </c>
      <c r="E221">
        <f t="shared" si="53"/>
        <v>1.8890450697415233E-2</v>
      </c>
      <c r="F221">
        <f t="shared" si="54"/>
        <v>5.7241701490441499E-2</v>
      </c>
      <c r="G221">
        <f>MAX(Inputs!B7-A221+1,0)</f>
        <v>81</v>
      </c>
      <c r="H221">
        <f>IF(AND(A221&lt;=Inputs!B7,D221&gt;0),-PMT(Inputs!B6/12,G221,D221),0)</f>
        <v>3.5859998818778924E-2</v>
      </c>
      <c r="I221">
        <f>IF(AND(A221&lt;=Inputs!B7,D221&gt;0),D221*Inputs!B6/12,0)</f>
        <v>1.1512616091351168E-2</v>
      </c>
      <c r="J221">
        <f t="shared" si="42"/>
        <v>2.4347382727427758E-2</v>
      </c>
      <c r="K221">
        <f>MAX((D221-J221)*Inputs!B32,0)</f>
        <v>0.19026284325479922</v>
      </c>
      <c r="L221">
        <f>MAX((D221-J221-K221)*Inputs!B33,0)</f>
        <v>7.4306414809120272E-3</v>
      </c>
      <c r="M221">
        <f>MIN(E221*Inputs!B29,E221)</f>
        <v>6.6116577440953313E-3</v>
      </c>
      <c r="N221">
        <f>MIN((E221-M221)*Inputs!B30,E221-M221)</f>
        <v>2.4557585906639806E-3</v>
      </c>
      <c r="O221">
        <f>MIN(F221*Inputs!B31,F221)</f>
        <v>6.8690041788529799E-3</v>
      </c>
      <c r="P221">
        <f>MIN((F221-O221)*Inputs!B34,F221-O221)</f>
        <v>4.4033852263660427E-4</v>
      </c>
      <c r="Q221">
        <f>P221*Inputs!B35</f>
        <v>1.1008463065915107E-4</v>
      </c>
      <c r="R221">
        <f>C221*Inputs!B8/12</f>
        <v>1.0328187815001144E-3</v>
      </c>
      <c r="S221">
        <f t="shared" si="43"/>
        <v>1.0479797309851054E-2</v>
      </c>
      <c r="T221">
        <f t="shared" si="44"/>
        <v>0.21494047987420445</v>
      </c>
      <c r="U221">
        <f t="shared" si="45"/>
        <v>2.1940727178722268</v>
      </c>
      <c r="V221">
        <f t="shared" si="46"/>
        <v>1.7253675843567948E-2</v>
      </c>
      <c r="W221">
        <f t="shared" si="47"/>
        <v>5.2388117379615892E-2</v>
      </c>
      <c r="X221">
        <f t="shared" si="48"/>
        <v>2.2637145110954107</v>
      </c>
      <c r="Y221">
        <f t="shared" si="55"/>
        <v>81618.465646214216</v>
      </c>
      <c r="Z221">
        <f>IF(Inputs!B3&gt;0,(V221+W221)/Inputs!B3,0)</f>
        <v>2.3213931074394612E-10</v>
      </c>
      <c r="AA221">
        <f>IF(OR(Y221/Inputs!B3&gt;=Inputs!B23,Z221&gt;=Inputs!B24),1,0)</f>
        <v>0</v>
      </c>
      <c r="AB221">
        <f t="shared" si="49"/>
        <v>0</v>
      </c>
    </row>
    <row r="222" spans="1:28" x14ac:dyDescent="0.2">
      <c r="A222">
        <v>221</v>
      </c>
      <c r="B222">
        <f t="shared" si="50"/>
        <v>0</v>
      </c>
      <c r="C222">
        <f t="shared" si="51"/>
        <v>2.2637145110954107</v>
      </c>
      <c r="D222">
        <f t="shared" si="52"/>
        <v>2.1940727178722268</v>
      </c>
      <c r="E222">
        <f t="shared" si="53"/>
        <v>1.7253675843567948E-2</v>
      </c>
      <c r="F222">
        <f t="shared" si="54"/>
        <v>5.2388117379615892E-2</v>
      </c>
      <c r="G222">
        <f>MAX(Inputs!B7-A222+1,0)</f>
        <v>80</v>
      </c>
      <c r="H222">
        <f>IF(AND(A222&lt;=Inputs!B7,D222&gt;0),-PMT(Inputs!B6/12,G222,D222),0)</f>
        <v>3.308242165427789E-2</v>
      </c>
      <c r="I222">
        <f>IF(AND(A222&lt;=Inputs!B7,D222&gt;0),D222*Inputs!B6/12,0)</f>
        <v>1.0513265106471088E-2</v>
      </c>
      <c r="J222">
        <f t="shared" si="42"/>
        <v>2.25691565478068E-2</v>
      </c>
      <c r="K222">
        <f>MAX((D222-J222)*Inputs!B32,0)</f>
        <v>0.17372028490595359</v>
      </c>
      <c r="L222">
        <f>MAX((D222-J222-K222)*Inputs!B33,0)</f>
        <v>6.7845782866249342E-3</v>
      </c>
      <c r="M222">
        <f>MIN(E222*Inputs!B29,E222)</f>
        <v>6.038786545248781E-3</v>
      </c>
      <c r="N222">
        <f>MIN((E222-M222)*Inputs!B30,E222-M222)</f>
        <v>2.2429778596638333E-3</v>
      </c>
      <c r="O222">
        <f>MIN(F222*Inputs!B31,F222)</f>
        <v>6.2865740855539065E-3</v>
      </c>
      <c r="P222">
        <f>MIN((F222-O222)*Inputs!B34,F222-O222)</f>
        <v>4.030017558877974E-4</v>
      </c>
      <c r="Q222">
        <f>P222*Inputs!B35</f>
        <v>1.0075043897194935E-4</v>
      </c>
      <c r="R222">
        <f>C222*Inputs!B8/12</f>
        <v>9.4321437962308779E-4</v>
      </c>
      <c r="S222">
        <f t="shared" si="43"/>
        <v>9.5700507268480003E-3</v>
      </c>
      <c r="T222">
        <f t="shared" si="44"/>
        <v>0.19659169277067626</v>
      </c>
      <c r="U222">
        <f t="shared" si="45"/>
        <v>2.0033240587626437</v>
      </c>
      <c r="V222">
        <f t="shared" si="46"/>
        <v>1.5756489725280268E-2</v>
      </c>
      <c r="W222">
        <f t="shared" si="47"/>
        <v>4.7941519397838021E-2</v>
      </c>
      <c r="X222">
        <f t="shared" si="48"/>
        <v>2.067022067885762</v>
      </c>
      <c r="Y222">
        <f t="shared" si="55"/>
        <v>81618.465746964648</v>
      </c>
      <c r="Z222">
        <f>IF(Inputs!B3&gt;0,(V222+W222)/Inputs!B3,0)</f>
        <v>2.1232669707706098E-10</v>
      </c>
      <c r="AA222">
        <f>IF(OR(Y222/Inputs!B3&gt;=Inputs!B23,Z222&gt;=Inputs!B24),1,0)</f>
        <v>0</v>
      </c>
      <c r="AB222">
        <f t="shared" si="49"/>
        <v>0</v>
      </c>
    </row>
    <row r="223" spans="1:28" x14ac:dyDescent="0.2">
      <c r="A223">
        <v>222</v>
      </c>
      <c r="B223">
        <f t="shared" si="50"/>
        <v>0</v>
      </c>
      <c r="C223">
        <f t="shared" si="51"/>
        <v>2.067022067885762</v>
      </c>
      <c r="D223">
        <f t="shared" si="52"/>
        <v>2.0033240587626437</v>
      </c>
      <c r="E223">
        <f t="shared" si="53"/>
        <v>1.5756489725280268E-2</v>
      </c>
      <c r="F223">
        <f t="shared" si="54"/>
        <v>4.7941519397838021E-2</v>
      </c>
      <c r="G223">
        <f>MAX(Inputs!B7-A223+1,0)</f>
        <v>79</v>
      </c>
      <c r="H223">
        <f>IF(AND(A223&lt;=Inputs!B7,D223&gt;0),-PMT(Inputs!B6/12,G223,D223),0)</f>
        <v>3.0520240630746896E-2</v>
      </c>
      <c r="I223">
        <f>IF(AND(A223&lt;=Inputs!B7,D223&gt;0),D223*Inputs!B6/12,0)</f>
        <v>9.5992611149043356E-3</v>
      </c>
      <c r="J223">
        <f t="shared" si="42"/>
        <v>2.0920979515842562E-2</v>
      </c>
      <c r="K223">
        <f>MAX((D223-J223)*Inputs!B32,0)</f>
        <v>0.15859224633974411</v>
      </c>
      <c r="L223">
        <f>MAX((D223-J223-K223)*Inputs!B33,0)</f>
        <v>6.1937586133145092E-3</v>
      </c>
      <c r="M223">
        <f>MIN(E223*Inputs!B29,E223)</f>
        <v>5.5147714038480938E-3</v>
      </c>
      <c r="N223">
        <f>MIN((E223-M223)*Inputs!B30,E223-M223)</f>
        <v>2.0483436642864351E-3</v>
      </c>
      <c r="O223">
        <f>MIN(F223*Inputs!B31,F223)</f>
        <v>5.7529823277405624E-3</v>
      </c>
      <c r="P223">
        <f>MIN((F223-O223)*Inputs!B34,F223-O223)</f>
        <v>3.6879577781459268E-4</v>
      </c>
      <c r="Q223">
        <f>P223*Inputs!B35</f>
        <v>9.2198944453648169E-5</v>
      </c>
      <c r="R223">
        <f>C223*Inputs!B8/12</f>
        <v>8.6125919495240097E-4</v>
      </c>
      <c r="S223">
        <f t="shared" si="43"/>
        <v>8.7380019199519345E-3</v>
      </c>
      <c r="T223">
        <f t="shared" si="44"/>
        <v>0.17978982268894764</v>
      </c>
      <c r="U223">
        <f t="shared" si="45"/>
        <v>1.8288848280253311</v>
      </c>
      <c r="V223">
        <f t="shared" si="46"/>
        <v>1.438713327046025E-2</v>
      </c>
      <c r="W223">
        <f t="shared" si="47"/>
        <v>4.3868084956569298E-2</v>
      </c>
      <c r="X223">
        <f t="shared" si="48"/>
        <v>1.8871400462523606</v>
      </c>
      <c r="Y223">
        <f t="shared" si="55"/>
        <v>81618.465839163589</v>
      </c>
      <c r="Z223">
        <f>IF(Inputs!B3&gt;0,(V223+W223)/Inputs!B3,0)</f>
        <v>1.9418406075676514E-10</v>
      </c>
      <c r="AA223">
        <f>IF(OR(Y223/Inputs!B3&gt;=Inputs!B23,Z223&gt;=Inputs!B24),1,0)</f>
        <v>0</v>
      </c>
      <c r="AB223">
        <f t="shared" si="49"/>
        <v>0</v>
      </c>
    </row>
    <row r="224" spans="1:28" x14ac:dyDescent="0.2">
      <c r="A224">
        <v>223</v>
      </c>
      <c r="B224">
        <f t="shared" si="50"/>
        <v>0</v>
      </c>
      <c r="C224">
        <f t="shared" si="51"/>
        <v>1.8871400462523606</v>
      </c>
      <c r="D224">
        <f t="shared" si="52"/>
        <v>1.8288848280253311</v>
      </c>
      <c r="E224">
        <f t="shared" si="53"/>
        <v>1.438713327046025E-2</v>
      </c>
      <c r="F224">
        <f t="shared" si="54"/>
        <v>4.3868084956569298E-2</v>
      </c>
      <c r="G224">
        <f>MAX(Inputs!B7-A224+1,0)</f>
        <v>78</v>
      </c>
      <c r="H224">
        <f>IF(AND(A224&lt;=Inputs!B7,D224&gt;0),-PMT(Inputs!B6/12,G224,D224),0)</f>
        <v>2.8156738466358158E-2</v>
      </c>
      <c r="I224">
        <f>IF(AND(A224&lt;=Inputs!B7,D224&gt;0),D224*Inputs!B6/12,0)</f>
        <v>8.7634064676213787E-3</v>
      </c>
      <c r="J224">
        <f t="shared" si="42"/>
        <v>1.9393331998736781E-2</v>
      </c>
      <c r="K224">
        <f>MAX((D224-J224)*Inputs!B32,0)</f>
        <v>0.14475931968212755</v>
      </c>
      <c r="L224">
        <f>MAX((D224-J224-K224)*Inputs!B33,0)</f>
        <v>5.6535190328156166E-3</v>
      </c>
      <c r="M224">
        <f>MIN(E224*Inputs!B29,E224)</f>
        <v>5.0354966446610871E-3</v>
      </c>
      <c r="N224">
        <f>MIN((E224-M224)*Inputs!B30,E224-M224)</f>
        <v>1.8703273251598326E-3</v>
      </c>
      <c r="O224">
        <f>MIN(F224*Inputs!B31,F224)</f>
        <v>5.2641701947883151E-3</v>
      </c>
      <c r="P224">
        <f>MIN((F224-O224)*Inputs!B34,F224-O224)</f>
        <v>3.374604041757631E-4</v>
      </c>
      <c r="Q224">
        <f>P224*Inputs!B35</f>
        <v>8.4365101043940775E-5</v>
      </c>
      <c r="R224">
        <f>C224*Inputs!B8/12</f>
        <v>7.8630835260515026E-4</v>
      </c>
      <c r="S224">
        <f t="shared" si="43"/>
        <v>7.9770981150162276E-3</v>
      </c>
      <c r="T224">
        <f t="shared" si="44"/>
        <v>0.16440574698399613</v>
      </c>
      <c r="U224">
        <f t="shared" si="45"/>
        <v>1.6693783241511009</v>
      </c>
      <c r="V224">
        <f t="shared" si="46"/>
        <v>1.3134828333454945E-2</v>
      </c>
      <c r="W224">
        <f t="shared" si="47"/>
        <v>4.0136781682765056E-2</v>
      </c>
      <c r="X224">
        <f t="shared" si="48"/>
        <v>1.7226499341673209</v>
      </c>
      <c r="Y224">
        <f t="shared" si="55"/>
        <v>81618.465923528696</v>
      </c>
      <c r="Z224">
        <f>IF(Inputs!B3&gt;0,(V224+W224)/Inputs!B3,0)</f>
        <v>1.775720333874E-10</v>
      </c>
      <c r="AA224">
        <f>IF(OR(Y224/Inputs!B3&gt;=Inputs!B23,Z224&gt;=Inputs!B24),1,0)</f>
        <v>0</v>
      </c>
      <c r="AB224">
        <f t="shared" si="49"/>
        <v>0</v>
      </c>
    </row>
    <row r="225" spans="1:28" x14ac:dyDescent="0.2">
      <c r="A225">
        <v>224</v>
      </c>
      <c r="B225">
        <f t="shared" si="50"/>
        <v>0</v>
      </c>
      <c r="C225">
        <f t="shared" si="51"/>
        <v>1.7226499341673209</v>
      </c>
      <c r="D225">
        <f t="shared" si="52"/>
        <v>1.6693783241511009</v>
      </c>
      <c r="E225">
        <f t="shared" si="53"/>
        <v>1.3134828333454945E-2</v>
      </c>
      <c r="F225">
        <f t="shared" si="54"/>
        <v>4.0136781682765056E-2</v>
      </c>
      <c r="G225">
        <f>MAX(Inputs!B7-A225+1,0)</f>
        <v>77</v>
      </c>
      <c r="H225">
        <f>IF(AND(A225&lt;=Inputs!B7,D225&gt;0),-PMT(Inputs!B6/12,G225,D225),0)</f>
        <v>2.5976496146981061E-2</v>
      </c>
      <c r="I225">
        <f>IF(AND(A225&lt;=Inputs!B7,D225&gt;0),D225*Inputs!B6/12,0)</f>
        <v>7.9991044698906923E-3</v>
      </c>
      <c r="J225">
        <f t="shared" si="42"/>
        <v>1.7977391677090369E-2</v>
      </c>
      <c r="K225">
        <f>MAX((D225-J225)*Inputs!B32,0)</f>
        <v>0.13211207459792085</v>
      </c>
      <c r="L225">
        <f>MAX((D225-J225-K225)*Inputs!B33,0)</f>
        <v>5.1595857858698991E-3</v>
      </c>
      <c r="M225">
        <f>MIN(E225*Inputs!B29,E225)</f>
        <v>4.5971899167092309E-3</v>
      </c>
      <c r="N225">
        <f>MIN((E225-M225)*Inputs!B30,E225-M225)</f>
        <v>1.707527683349143E-3</v>
      </c>
      <c r="O225">
        <f>MIN(F225*Inputs!B31,F225)</f>
        <v>4.8164138019318068E-3</v>
      </c>
      <c r="P225">
        <f>MIN((F225-O225)*Inputs!B34,F225-O225)</f>
        <v>3.0875691479101018E-4</v>
      </c>
      <c r="Q225">
        <f>P225*Inputs!B35</f>
        <v>7.7189228697752544E-5</v>
      </c>
      <c r="R225">
        <f>C225*Inputs!B8/12</f>
        <v>7.1777080590305041E-4</v>
      </c>
      <c r="S225">
        <f t="shared" si="43"/>
        <v>7.2813336639876419E-3</v>
      </c>
      <c r="T225">
        <f t="shared" si="44"/>
        <v>0.15032103396110447</v>
      </c>
      <c r="U225">
        <f t="shared" si="45"/>
        <v>1.5235428758088607</v>
      </c>
      <c r="V225">
        <f t="shared" si="46"/>
        <v>1.1989696519266471E-2</v>
      </c>
      <c r="W225">
        <f t="shared" si="47"/>
        <v>3.6719138649391386E-2</v>
      </c>
      <c r="X225">
        <f t="shared" si="48"/>
        <v>1.5722517109775187</v>
      </c>
      <c r="Y225">
        <f t="shared" si="55"/>
        <v>81618.466000717919</v>
      </c>
      <c r="Z225">
        <f>IF(Inputs!B3&gt;0,(V225+W225)/Inputs!B3,0)</f>
        <v>1.6236278389552618E-10</v>
      </c>
      <c r="AA225">
        <f>IF(OR(Y225/Inputs!B3&gt;=Inputs!B23,Z225&gt;=Inputs!B24),1,0)</f>
        <v>0</v>
      </c>
      <c r="AB225">
        <f t="shared" si="49"/>
        <v>0</v>
      </c>
    </row>
    <row r="226" spans="1:28" x14ac:dyDescent="0.2">
      <c r="A226">
        <v>225</v>
      </c>
      <c r="B226">
        <f t="shared" si="50"/>
        <v>0</v>
      </c>
      <c r="C226">
        <f t="shared" si="51"/>
        <v>1.5722517109775187</v>
      </c>
      <c r="D226">
        <f t="shared" si="52"/>
        <v>1.5235428758088607</v>
      </c>
      <c r="E226">
        <f t="shared" si="53"/>
        <v>1.1989696519266471E-2</v>
      </c>
      <c r="F226">
        <f t="shared" si="54"/>
        <v>3.6719138649391386E-2</v>
      </c>
      <c r="G226">
        <f>MAX(Inputs!B7-A226+1,0)</f>
        <v>76</v>
      </c>
      <c r="H226">
        <f>IF(AND(A226&lt;=Inputs!B7,D226&gt;0),-PMT(Inputs!B6/12,G226,D226),0)</f>
        <v>2.3965292052923168E-2</v>
      </c>
      <c r="I226">
        <f>IF(AND(A226&lt;=Inputs!B7,D226&gt;0),D226*Inputs!B6/12,0)</f>
        <v>7.3003096132507918E-3</v>
      </c>
      <c r="J226">
        <f t="shared" si="42"/>
        <v>1.6664982439672377E-2</v>
      </c>
      <c r="K226">
        <f>MAX((D226-J226)*Inputs!B32,0)</f>
        <v>0.12055023146953507</v>
      </c>
      <c r="L226">
        <f>MAX((D226-J226-K226)*Inputs!B33,0)</f>
        <v>4.7080424909422183E-3</v>
      </c>
      <c r="M226">
        <f>MIN(E226*Inputs!B29,E226)</f>
        <v>4.1963937817432644E-3</v>
      </c>
      <c r="N226">
        <f>MIN((E226-M226)*Inputs!B30,E226-M226)</f>
        <v>1.5586605475046414E-3</v>
      </c>
      <c r="O226">
        <f>MIN(F226*Inputs!B31,F226)</f>
        <v>4.4062966379269661E-3</v>
      </c>
      <c r="P226">
        <f>MIN((F226-O226)*Inputs!B34,F226-O226)</f>
        <v>2.8246629370480184E-4</v>
      </c>
      <c r="Q226">
        <f>P226*Inputs!B35</f>
        <v>7.061657342620046E-5</v>
      </c>
      <c r="R226">
        <f>C226*Inputs!B8/12</f>
        <v>6.5510487957396617E-4</v>
      </c>
      <c r="S226">
        <f t="shared" si="43"/>
        <v>6.6452047336768259E-3</v>
      </c>
      <c r="T226">
        <f t="shared" si="44"/>
        <v>0.13742706362948603</v>
      </c>
      <c r="U226">
        <f t="shared" si="45"/>
        <v>1.3902223098283815</v>
      </c>
      <c r="V226">
        <f t="shared" si="46"/>
        <v>1.0942684680960784E-2</v>
      </c>
      <c r="W226">
        <f t="shared" si="47"/>
        <v>3.3589036265264265E-2</v>
      </c>
      <c r="X226">
        <f t="shared" si="48"/>
        <v>1.4347540307746065</v>
      </c>
      <c r="Y226">
        <f t="shared" si="55"/>
        <v>81618.466071334493</v>
      </c>
      <c r="Z226">
        <f>IF(Inputs!B3&gt;0,(V226+W226)/Inputs!B3,0)</f>
        <v>1.4843906982075017E-10</v>
      </c>
      <c r="AA226">
        <f>IF(OR(Y226/Inputs!B3&gt;=Inputs!B23,Z226&gt;=Inputs!B24),1,0)</f>
        <v>0</v>
      </c>
      <c r="AB226">
        <f t="shared" si="49"/>
        <v>0</v>
      </c>
    </row>
    <row r="227" spans="1:28" x14ac:dyDescent="0.2">
      <c r="A227">
        <v>226</v>
      </c>
      <c r="B227">
        <f t="shared" si="50"/>
        <v>0</v>
      </c>
      <c r="C227">
        <f t="shared" si="51"/>
        <v>1.4347540307746065</v>
      </c>
      <c r="D227">
        <f t="shared" si="52"/>
        <v>1.3902223098283815</v>
      </c>
      <c r="E227">
        <f t="shared" si="53"/>
        <v>1.0942684680960784E-2</v>
      </c>
      <c r="F227">
        <f t="shared" si="54"/>
        <v>3.3589036265264265E-2</v>
      </c>
      <c r="G227">
        <f>MAX(Inputs!B7-A227+1,0)</f>
        <v>75</v>
      </c>
      <c r="H227">
        <f>IF(AND(A227&lt;=Inputs!B7,D227&gt;0),-PMT(Inputs!B6/12,G227,D227),0)</f>
        <v>2.2110008926492251E-2</v>
      </c>
      <c r="I227">
        <f>IF(AND(A227&lt;=Inputs!B7,D227&gt;0),D227*Inputs!B6/12,0)</f>
        <v>6.6614819012609941E-3</v>
      </c>
      <c r="J227">
        <f t="shared" si="42"/>
        <v>1.5448527025231258E-2</v>
      </c>
      <c r="K227">
        <f>MAX((D227-J227)*Inputs!B32,0)</f>
        <v>0.109981902624252</v>
      </c>
      <c r="L227">
        <f>MAX((D227-J227-K227)*Inputs!B33,0)</f>
        <v>4.2953005106465009E-3</v>
      </c>
      <c r="M227">
        <f>MIN(E227*Inputs!B29,E227)</f>
        <v>3.8299396383362741E-3</v>
      </c>
      <c r="N227">
        <f>MIN((E227-M227)*Inputs!B30,E227-M227)</f>
        <v>1.4225490085249021E-3</v>
      </c>
      <c r="O227">
        <f>MIN(F227*Inputs!B31,F227)</f>
        <v>4.0306843518317119E-3</v>
      </c>
      <c r="P227">
        <f>MIN((F227-O227)*Inputs!B34,F227-O227)</f>
        <v>2.5838761288924278E-4</v>
      </c>
      <c r="Q227">
        <f>P227*Inputs!B35</f>
        <v>6.4596903222310695E-5</v>
      </c>
      <c r="R227">
        <f>C227*Inputs!B8/12</f>
        <v>5.9781417948941943E-4</v>
      </c>
      <c r="S227">
        <f t="shared" si="43"/>
        <v>6.0636677217715748E-3</v>
      </c>
      <c r="T227">
        <f t="shared" si="44"/>
        <v>0.12562422035915019</v>
      </c>
      <c r="U227">
        <f t="shared" si="45"/>
        <v>1.2683572036584194</v>
      </c>
      <c r="V227">
        <f t="shared" si="46"/>
        <v>9.9854965447461093E-3</v>
      </c>
      <c r="W227">
        <f t="shared" si="47"/>
        <v>3.0722513309068212E-2</v>
      </c>
      <c r="X227">
        <f t="shared" si="48"/>
        <v>1.3090652135122338</v>
      </c>
      <c r="Y227">
        <f t="shared" si="55"/>
        <v>81618.46613593139</v>
      </c>
      <c r="Z227">
        <f>IF(Inputs!B3&gt;0,(V227+W227)/Inputs!B3,0)</f>
        <v>1.3569336617938106E-10</v>
      </c>
      <c r="AA227">
        <f>IF(OR(Y227/Inputs!B3&gt;=Inputs!B23,Z227&gt;=Inputs!B24),1,0)</f>
        <v>0</v>
      </c>
      <c r="AB227">
        <f t="shared" si="49"/>
        <v>0</v>
      </c>
    </row>
    <row r="228" spans="1:28" x14ac:dyDescent="0.2">
      <c r="A228">
        <v>227</v>
      </c>
      <c r="B228">
        <f t="shared" si="50"/>
        <v>0</v>
      </c>
      <c r="C228">
        <f t="shared" si="51"/>
        <v>1.3090652135122338</v>
      </c>
      <c r="D228">
        <f t="shared" si="52"/>
        <v>1.2683572036584194</v>
      </c>
      <c r="E228">
        <f t="shared" si="53"/>
        <v>9.9854965447461093E-3</v>
      </c>
      <c r="F228">
        <f t="shared" si="54"/>
        <v>3.0722513309068212E-2</v>
      </c>
      <c r="G228">
        <f>MAX(Inputs!B7-A228+1,0)</f>
        <v>74</v>
      </c>
      <c r="H228">
        <f>IF(AND(A228&lt;=Inputs!B7,D228&gt;0),-PMT(Inputs!B6/12,G228,D228),0)</f>
        <v>2.0398548070714746E-2</v>
      </c>
      <c r="I228">
        <f>IF(AND(A228&lt;=Inputs!B7,D228&gt;0),D228*Inputs!B6/12,0)</f>
        <v>6.0775449341965932E-3</v>
      </c>
      <c r="J228">
        <f t="shared" si="42"/>
        <v>1.4321003136518153E-2</v>
      </c>
      <c r="K228">
        <f>MAX((D228-J228)*Inputs!B32,0)</f>
        <v>0.1003228960417521</v>
      </c>
      <c r="L228">
        <f>MAX((D228-J228-K228)*Inputs!B33,0)</f>
        <v>3.9180717583135582E-3</v>
      </c>
      <c r="M228">
        <f>MIN(E228*Inputs!B29,E228)</f>
        <v>3.4949237906611382E-3</v>
      </c>
      <c r="N228">
        <f>MIN((E228-M228)*Inputs!B30,E228-M228)</f>
        <v>1.2981145508169944E-3</v>
      </c>
      <c r="O228">
        <f>MIN(F228*Inputs!B31,F228)</f>
        <v>3.6867015970881854E-3</v>
      </c>
      <c r="P228">
        <f>MIN((F228-O228)*Inputs!B34,F228-O228)</f>
        <v>2.3633654783056251E-4</v>
      </c>
      <c r="Q228">
        <f>P228*Inputs!B35</f>
        <v>5.9084136957640628E-5</v>
      </c>
      <c r="R228">
        <f>C228*Inputs!B8/12</f>
        <v>5.4544383896343079E-4</v>
      </c>
      <c r="S228">
        <f t="shared" si="43"/>
        <v>5.5321010952331627E-3</v>
      </c>
      <c r="T228">
        <f t="shared" si="44"/>
        <v>0.11482115158914317</v>
      </c>
      <c r="U228">
        <f t="shared" si="45"/>
        <v>1.1569768581095849</v>
      </c>
      <c r="V228">
        <f t="shared" si="46"/>
        <v>9.1105299615815358E-3</v>
      </c>
      <c r="W228">
        <f t="shared" si="47"/>
        <v>2.809758971496646E-2</v>
      </c>
      <c r="X228">
        <f t="shared" si="48"/>
        <v>1.1941849777861329</v>
      </c>
      <c r="Y228">
        <f t="shared" si="55"/>
        <v>81618.466195015528</v>
      </c>
      <c r="Z228">
        <f>IF(Inputs!B3&gt;0,(V228+W228)/Inputs!B3,0)</f>
        <v>1.2402706558849332E-10</v>
      </c>
      <c r="AA228">
        <f>IF(OR(Y228/Inputs!B3&gt;=Inputs!B23,Z228&gt;=Inputs!B24),1,0)</f>
        <v>0</v>
      </c>
      <c r="AB228">
        <f t="shared" si="49"/>
        <v>0</v>
      </c>
    </row>
    <row r="229" spans="1:28" x14ac:dyDescent="0.2">
      <c r="A229">
        <v>228</v>
      </c>
      <c r="B229">
        <f t="shared" si="50"/>
        <v>0</v>
      </c>
      <c r="C229">
        <f t="shared" si="51"/>
        <v>1.1941849777861329</v>
      </c>
      <c r="D229">
        <f t="shared" si="52"/>
        <v>1.1569768581095849</v>
      </c>
      <c r="E229">
        <f t="shared" si="53"/>
        <v>9.1105299615815358E-3</v>
      </c>
      <c r="F229">
        <f t="shared" si="54"/>
        <v>2.809758971496646E-2</v>
      </c>
      <c r="G229">
        <f>MAX(Inputs!B7-A229+1,0)</f>
        <v>73</v>
      </c>
      <c r="H229">
        <f>IF(AND(A229&lt;=Inputs!B7,D229&gt;0),-PMT(Inputs!B6/12,G229,D229),0)</f>
        <v>1.8819750216964096E-2</v>
      </c>
      <c r="I229">
        <f>IF(AND(A229&lt;=Inputs!B7,D229&gt;0),D229*Inputs!B6/12,0)</f>
        <v>5.5438474451084277E-3</v>
      </c>
      <c r="J229">
        <f t="shared" si="42"/>
        <v>1.3275902771855669E-2</v>
      </c>
      <c r="K229">
        <f>MAX((D229-J229)*Inputs!B32,0)</f>
        <v>9.1496076427018347E-2</v>
      </c>
      <c r="L229">
        <f>MAX((D229-J229-K229)*Inputs!B33,0)</f>
        <v>3.573343744941383E-3</v>
      </c>
      <c r="M229">
        <f>MIN(E229*Inputs!B29,E229)</f>
        <v>3.1886854865535372E-3</v>
      </c>
      <c r="N229">
        <f>MIN((E229-M229)*Inputs!B30,E229-M229)</f>
        <v>1.1843688950055999E-3</v>
      </c>
      <c r="O229">
        <f>MIN(F229*Inputs!B31,F229)</f>
        <v>3.3717107657959752E-3</v>
      </c>
      <c r="P229">
        <f>MIN((F229-O229)*Inputs!B34,F229-O229)</f>
        <v>2.1614401428657378E-4</v>
      </c>
      <c r="Q229">
        <f>P229*Inputs!B35</f>
        <v>5.4036003571643445E-5</v>
      </c>
      <c r="R229">
        <f>C229*Inputs!B8/12</f>
        <v>4.9757707407755531E-4</v>
      </c>
      <c r="S229">
        <f t="shared" si="43"/>
        <v>5.0462703710308721E-3</v>
      </c>
      <c r="T229">
        <f t="shared" si="44"/>
        <v>0.10493408720958894</v>
      </c>
      <c r="U229">
        <f t="shared" si="45"/>
        <v>1.0551919314181191</v>
      </c>
      <c r="V229">
        <f t="shared" si="46"/>
        <v>8.3108193249637821E-3</v>
      </c>
      <c r="W229">
        <f t="shared" si="47"/>
        <v>2.5694103829889511E-2</v>
      </c>
      <c r="X229">
        <f t="shared" si="48"/>
        <v>1.0891968545729722</v>
      </c>
      <c r="Y229">
        <f t="shared" si="55"/>
        <v>81618.466249051533</v>
      </c>
      <c r="Z229">
        <f>IF(Inputs!B3&gt;0,(V229+W229)/Inputs!B3,0)</f>
        <v>1.1334974384951096E-10</v>
      </c>
      <c r="AA229">
        <f>IF(OR(Y229/Inputs!B3&gt;=Inputs!B23,Z229&gt;=Inputs!B24),1,0)</f>
        <v>0</v>
      </c>
      <c r="AB229">
        <f t="shared" si="49"/>
        <v>0</v>
      </c>
    </row>
    <row r="230" spans="1:28" x14ac:dyDescent="0.2">
      <c r="A230">
        <v>229</v>
      </c>
      <c r="B230">
        <f t="shared" si="50"/>
        <v>0</v>
      </c>
      <c r="C230">
        <f t="shared" si="51"/>
        <v>1.0891968545729722</v>
      </c>
      <c r="D230">
        <f t="shared" si="52"/>
        <v>1.0551919314181191</v>
      </c>
      <c r="E230">
        <f t="shared" si="53"/>
        <v>8.3108193249637821E-3</v>
      </c>
      <c r="F230">
        <f t="shared" si="54"/>
        <v>2.5694103829889511E-2</v>
      </c>
      <c r="G230">
        <f>MAX(Inputs!B7-A230+1,0)</f>
        <v>72</v>
      </c>
      <c r="H230">
        <f>IF(AND(A230&lt;=Inputs!B7,D230&gt;0),-PMT(Inputs!B6/12,G230,D230),0)</f>
        <v>1.7363322542981355E-2</v>
      </c>
      <c r="I230">
        <f>IF(AND(A230&lt;=Inputs!B7,D230&gt;0),D230*Inputs!B6/12,0)</f>
        <v>5.0561280047118204E-3</v>
      </c>
      <c r="J230">
        <f t="shared" si="42"/>
        <v>1.2307194538269534E-2</v>
      </c>
      <c r="K230">
        <f>MAX((D230-J230)*Inputs!B32,0)</f>
        <v>8.343077895038796E-2</v>
      </c>
      <c r="L230">
        <f>MAX((D230-J230-K230)*Inputs!B33,0)</f>
        <v>3.258356683040461E-3</v>
      </c>
      <c r="M230">
        <f>MIN(E230*Inputs!B29,E230)</f>
        <v>2.9087867637373234E-3</v>
      </c>
      <c r="N230">
        <f>MIN((E230-M230)*Inputs!B30,E230-M230)</f>
        <v>1.0804065122452919E-3</v>
      </c>
      <c r="O230">
        <f>MIN(F230*Inputs!B31,F230)</f>
        <v>3.0832924595867411E-3</v>
      </c>
      <c r="P230">
        <f>MIN((F230-O230)*Inputs!B34,F230-O230)</f>
        <v>1.9765491636921986E-4</v>
      </c>
      <c r="Q230">
        <f>P230*Inputs!B35</f>
        <v>4.9413729092304965E-5</v>
      </c>
      <c r="R230">
        <f>C230*Inputs!B8/12</f>
        <v>4.538320227387384E-4</v>
      </c>
      <c r="S230">
        <f t="shared" si="43"/>
        <v>4.602295981973082E-3</v>
      </c>
      <c r="T230">
        <f t="shared" si="44"/>
        <v>9.5886214675934417E-2</v>
      </c>
      <c r="U230">
        <f t="shared" si="45"/>
        <v>0.96218768046974512</v>
      </c>
      <c r="V230">
        <f t="shared" si="46"/>
        <v>7.5799827320216281E-3</v>
      </c>
      <c r="W230">
        <f t="shared" si="47"/>
        <v>2.3493562966178841E-2</v>
      </c>
      <c r="X230">
        <f t="shared" si="48"/>
        <v>0.99326122616794565</v>
      </c>
      <c r="Y230">
        <f t="shared" si="55"/>
        <v>81618.466298465268</v>
      </c>
      <c r="Z230">
        <f>IF(Inputs!B3&gt;0,(V230+W230)/Inputs!B3,0)</f>
        <v>1.0357848566066824E-10</v>
      </c>
      <c r="AA230">
        <f>IF(OR(Y230/Inputs!B3&gt;=Inputs!B23,Z230&gt;=Inputs!B24),1,0)</f>
        <v>0</v>
      </c>
      <c r="AB230">
        <f t="shared" si="49"/>
        <v>0</v>
      </c>
    </row>
    <row r="231" spans="1:28" x14ac:dyDescent="0.2">
      <c r="A231">
        <v>230</v>
      </c>
      <c r="B231">
        <f t="shared" si="50"/>
        <v>0</v>
      </c>
      <c r="C231">
        <f t="shared" si="51"/>
        <v>0.99326122616794565</v>
      </c>
      <c r="D231">
        <f t="shared" si="52"/>
        <v>0.96218768046974512</v>
      </c>
      <c r="E231">
        <f t="shared" si="53"/>
        <v>7.5799827320216281E-3</v>
      </c>
      <c r="F231">
        <f t="shared" si="54"/>
        <v>2.3493562966178841E-2</v>
      </c>
      <c r="G231">
        <f>MAX(Inputs!B7-A231+1,0)</f>
        <v>71</v>
      </c>
      <c r="H231">
        <f>IF(AND(A231&lt;=Inputs!B7,D231&gt;0),-PMT(Inputs!B6/12,G231,D231),0)</f>
        <v>1.6019771363097485E-2</v>
      </c>
      <c r="I231">
        <f>IF(AND(A231&lt;=Inputs!B7,D231&gt;0),D231*Inputs!B6/12,0)</f>
        <v>4.6104826355841955E-3</v>
      </c>
      <c r="J231">
        <f t="shared" si="42"/>
        <v>1.1409288727513289E-2</v>
      </c>
      <c r="K231">
        <f>MAX((D231-J231)*Inputs!B32,0)</f>
        <v>7.6062271339378554E-2</v>
      </c>
      <c r="L231">
        <f>MAX((D231-J231-K231)*Inputs!B33,0)</f>
        <v>2.9705824788388668E-3</v>
      </c>
      <c r="M231">
        <f>MIN(E231*Inputs!B29,E231)</f>
        <v>2.6529939562075695E-3</v>
      </c>
      <c r="N231">
        <f>MIN((E231-M231)*Inputs!B30,E231-M231)</f>
        <v>9.8539775516281189E-4</v>
      </c>
      <c r="O231">
        <f>MIN(F231*Inputs!B31,F231)</f>
        <v>2.8192275559414609E-3</v>
      </c>
      <c r="P231">
        <f>MIN((F231-O231)*Inputs!B34,F231-O231)</f>
        <v>1.8072699690320542E-4</v>
      </c>
      <c r="Q231">
        <f>P231*Inputs!B35</f>
        <v>4.5181749225801354E-5</v>
      </c>
      <c r="R231">
        <f>C231*Inputs!B8/12</f>
        <v>4.1385884423664399E-4</v>
      </c>
      <c r="S231">
        <f t="shared" si="43"/>
        <v>4.1966237913475517E-3</v>
      </c>
      <c r="T231">
        <f t="shared" si="44"/>
        <v>8.760710531456925E-2</v>
      </c>
      <c r="U231">
        <f t="shared" si="45"/>
        <v>0.87721775943616342</v>
      </c>
      <c r="V231">
        <f t="shared" si="46"/>
        <v>6.9121734994901148E-3</v>
      </c>
      <c r="W231">
        <f t="shared" si="47"/>
        <v>2.1479006168496989E-2</v>
      </c>
      <c r="X231">
        <f t="shared" si="48"/>
        <v>0.90560893910415052</v>
      </c>
      <c r="Y231">
        <f t="shared" si="55"/>
        <v>81618.466343647015</v>
      </c>
      <c r="Z231">
        <f>IF(Inputs!B3&gt;0,(V231+W231)/Inputs!B3,0)</f>
        <v>9.4637265559957021E-11</v>
      </c>
      <c r="AA231">
        <f>IF(OR(Y231/Inputs!B3&gt;=Inputs!B23,Z231&gt;=Inputs!B24),1,0)</f>
        <v>0</v>
      </c>
      <c r="AB231">
        <f t="shared" si="49"/>
        <v>0</v>
      </c>
    </row>
    <row r="232" spans="1:28" x14ac:dyDescent="0.2">
      <c r="A232">
        <v>231</v>
      </c>
      <c r="B232">
        <f t="shared" si="50"/>
        <v>0</v>
      </c>
      <c r="C232">
        <f t="shared" si="51"/>
        <v>0.90560893910415052</v>
      </c>
      <c r="D232">
        <f t="shared" si="52"/>
        <v>0.87721775943616342</v>
      </c>
      <c r="E232">
        <f t="shared" si="53"/>
        <v>6.9121734994901148E-3</v>
      </c>
      <c r="F232">
        <f t="shared" si="54"/>
        <v>2.1479006168496989E-2</v>
      </c>
      <c r="G232">
        <f>MAX(Inputs!B7-A232+1,0)</f>
        <v>70</v>
      </c>
      <c r="H232">
        <f>IF(AND(A232&lt;=Inputs!B7,D232&gt;0),-PMT(Inputs!B6/12,G232,D232),0)</f>
        <v>1.4780340049656799E-2</v>
      </c>
      <c r="I232">
        <f>IF(AND(A232&lt;=Inputs!B7,D232&gt;0),D232*Inputs!B6/12,0)</f>
        <v>4.203335097298283E-3</v>
      </c>
      <c r="J232">
        <f t="shared" si="42"/>
        <v>1.0577004952358516E-2</v>
      </c>
      <c r="K232">
        <f>MAX((D232-J232)*Inputs!B32,0)</f>
        <v>6.9331260358704391E-2</v>
      </c>
      <c r="L232">
        <f>MAX((D232-J232-K232)*Inputs!B33,0)</f>
        <v>2.7077054580508884E-3</v>
      </c>
      <c r="M232">
        <f>MIN(E232*Inputs!B29,E232)</f>
        <v>2.4192607248215399E-3</v>
      </c>
      <c r="N232">
        <f>MIN((E232-M232)*Inputs!B30,E232-M232)</f>
        <v>8.9858255493371507E-4</v>
      </c>
      <c r="O232">
        <f>MIN(F232*Inputs!B31,F232)</f>
        <v>2.5774807402196387E-3</v>
      </c>
      <c r="P232">
        <f>MIN((F232-O232)*Inputs!B34,F232-O232)</f>
        <v>1.6522978174430793E-4</v>
      </c>
      <c r="Q232">
        <f>P232*Inputs!B35</f>
        <v>4.1307445436076983E-5</v>
      </c>
      <c r="R232">
        <f>C232*Inputs!B8/12</f>
        <v>3.7733705796006274E-4</v>
      </c>
      <c r="S232">
        <f t="shared" si="43"/>
        <v>3.8259980393382203E-3</v>
      </c>
      <c r="T232">
        <f t="shared" si="44"/>
        <v>8.0032187647371134E-2</v>
      </c>
      <c r="U232">
        <f t="shared" si="45"/>
        <v>0.79959853013209092</v>
      </c>
      <c r="V232">
        <f t="shared" si="46"/>
        <v>6.3020356777857486E-3</v>
      </c>
      <c r="W232">
        <f t="shared" si="47"/>
        <v>1.9634878201466758E-2</v>
      </c>
      <c r="X232">
        <f t="shared" si="48"/>
        <v>0.82553544401134349</v>
      </c>
      <c r="Y232">
        <f t="shared" si="55"/>
        <v>81618.466384954459</v>
      </c>
      <c r="Z232">
        <f>IF(Inputs!B3&gt;0,(V232+W232)/Inputs!B3,0)</f>
        <v>8.6456379597508359E-11</v>
      </c>
      <c r="AA232">
        <f>IF(OR(Y232/Inputs!B3&gt;=Inputs!B23,Z232&gt;=Inputs!B24),1,0)</f>
        <v>0</v>
      </c>
      <c r="AB232">
        <f t="shared" si="49"/>
        <v>0</v>
      </c>
    </row>
    <row r="233" spans="1:28" x14ac:dyDescent="0.2">
      <c r="A233">
        <v>232</v>
      </c>
      <c r="B233">
        <f t="shared" si="50"/>
        <v>0</v>
      </c>
      <c r="C233">
        <f t="shared" si="51"/>
        <v>0.82553544401134349</v>
      </c>
      <c r="D233">
        <f t="shared" si="52"/>
        <v>0.79959853013209092</v>
      </c>
      <c r="E233">
        <f t="shared" si="53"/>
        <v>6.3020356777857486E-3</v>
      </c>
      <c r="F233">
        <f t="shared" si="54"/>
        <v>1.9634878201466758E-2</v>
      </c>
      <c r="G233">
        <f>MAX(Inputs!B7-A233+1,0)</f>
        <v>69</v>
      </c>
      <c r="H233">
        <f>IF(AND(A233&lt;=Inputs!B7,D233&gt;0),-PMT(Inputs!B6/12,G233,D233),0)</f>
        <v>1.363695177893795E-2</v>
      </c>
      <c r="I233">
        <f>IF(AND(A233&lt;=Inputs!B7,D233&gt;0),D233*Inputs!B6/12,0)</f>
        <v>3.8314096235496022E-3</v>
      </c>
      <c r="J233">
        <f t="shared" si="42"/>
        <v>9.8055421553883484E-3</v>
      </c>
      <c r="K233">
        <f>MAX((D233-J233)*Inputs!B32,0)</f>
        <v>6.318343903813621E-2</v>
      </c>
      <c r="L233">
        <f>MAX((D233-J233-K233)*Inputs!B33,0)</f>
        <v>2.4676046830368632E-3</v>
      </c>
      <c r="M233">
        <f>MIN(E233*Inputs!B29,E233)</f>
        <v>2.2057124872250119E-3</v>
      </c>
      <c r="N233">
        <f>MIN((E233-M233)*Inputs!B30,E233-M233)</f>
        <v>8.1926463811214732E-4</v>
      </c>
      <c r="O233">
        <f>MIN(F233*Inputs!B31,F233)</f>
        <v>2.3561853841760107E-3</v>
      </c>
      <c r="P233">
        <f>MIN((F233-O233)*Inputs!B34,F233-O233)</f>
        <v>1.5104361041446836E-4</v>
      </c>
      <c r="Q233">
        <f>P233*Inputs!B35</f>
        <v>3.776090260361709E-5</v>
      </c>
      <c r="R233">
        <f>C233*Inputs!B8/12</f>
        <v>3.4397310167139311E-4</v>
      </c>
      <c r="S233">
        <f t="shared" si="43"/>
        <v>3.4874365218782091E-3</v>
      </c>
      <c r="T233">
        <f t="shared" si="44"/>
        <v>7.3102263901335424E-2</v>
      </c>
      <c r="U233">
        <f t="shared" si="45"/>
        <v>0.72870384212693062</v>
      </c>
      <c r="V233">
        <f t="shared" si="46"/>
        <v>5.744663235485452E-3</v>
      </c>
      <c r="W233">
        <f t="shared" si="47"/>
        <v>1.7946913844988425E-2</v>
      </c>
      <c r="X233">
        <f t="shared" si="48"/>
        <v>0.7523954192074046</v>
      </c>
      <c r="Y233">
        <f t="shared" si="55"/>
        <v>81618.466422715355</v>
      </c>
      <c r="Z233">
        <f>IF(Inputs!B3&gt;0,(V233+W233)/Inputs!B3,0)</f>
        <v>7.8971923601579591E-11</v>
      </c>
      <c r="AA233">
        <f>IF(OR(Y233/Inputs!B3&gt;=Inputs!B23,Z233&gt;=Inputs!B24),1,0)</f>
        <v>0</v>
      </c>
      <c r="AB233">
        <f t="shared" si="49"/>
        <v>0</v>
      </c>
    </row>
    <row r="234" spans="1:28" x14ac:dyDescent="0.2">
      <c r="A234">
        <v>233</v>
      </c>
      <c r="B234">
        <f t="shared" si="50"/>
        <v>0</v>
      </c>
      <c r="C234">
        <f t="shared" si="51"/>
        <v>0.7523954192074046</v>
      </c>
      <c r="D234">
        <f t="shared" si="52"/>
        <v>0.72870384212693062</v>
      </c>
      <c r="E234">
        <f t="shared" si="53"/>
        <v>5.744663235485452E-3</v>
      </c>
      <c r="F234">
        <f t="shared" si="54"/>
        <v>1.7946913844988425E-2</v>
      </c>
      <c r="G234">
        <f>MAX(Inputs!B7-A234+1,0)</f>
        <v>68</v>
      </c>
      <c r="H234">
        <f>IF(AND(A234&lt;=Inputs!B7,D234&gt;0),-PMT(Inputs!B6/12,G234,D234),0)</f>
        <v>1.2582156726497675E-2</v>
      </c>
      <c r="I234">
        <f>IF(AND(A234&lt;=Inputs!B7,D234&gt;0),D234*Inputs!B6/12,0)</f>
        <v>3.4917059101915427E-3</v>
      </c>
      <c r="J234">
        <f t="shared" si="42"/>
        <v>9.090450816306132E-3</v>
      </c>
      <c r="K234">
        <f>MAX((D234-J234)*Inputs!B32,0)</f>
        <v>5.7569071304849964E-2</v>
      </c>
      <c r="L234">
        <f>MAX((D234-J234-K234)*Inputs!B33,0)</f>
        <v>2.2483377307808109E-3</v>
      </c>
      <c r="M234">
        <f>MIN(E234*Inputs!B29,E234)</f>
        <v>2.010632132419908E-3</v>
      </c>
      <c r="N234">
        <f>MIN((E234-M234)*Inputs!B30,E234-M234)</f>
        <v>7.4680622061310887E-4</v>
      </c>
      <c r="O234">
        <f>MIN(F234*Inputs!B31,F234)</f>
        <v>2.153629661398611E-3</v>
      </c>
      <c r="P234">
        <f>MIN((F234-O234)*Inputs!B34,F234-O234)</f>
        <v>1.3805874602990719E-4</v>
      </c>
      <c r="Q234">
        <f>P234*Inputs!B35</f>
        <v>3.4514686507476797E-5</v>
      </c>
      <c r="R234">
        <f>C234*Inputs!B8/12</f>
        <v>3.1349809133641857E-4</v>
      </c>
      <c r="S234">
        <f t="shared" si="43"/>
        <v>3.1782078188551241E-3</v>
      </c>
      <c r="T234">
        <f t="shared" si="44"/>
        <v>6.6763066180678524E-2</v>
      </c>
      <c r="U234">
        <f t="shared" si="45"/>
        <v>0.66396024406881227</v>
      </c>
      <c r="V234">
        <f t="shared" si="46"/>
        <v>5.2355626132332463E-3</v>
      </c>
      <c r="W234">
        <f t="shared" si="47"/>
        <v>1.6402031658173017E-2</v>
      </c>
      <c r="X234">
        <f t="shared" si="48"/>
        <v>0.68559783834021848</v>
      </c>
      <c r="Y234">
        <f t="shared" si="55"/>
        <v>81618.466457230039</v>
      </c>
      <c r="Z234">
        <f>IF(Inputs!B3&gt;0,(V234+W234)/Inputs!B3,0)</f>
        <v>7.2125314238020869E-11</v>
      </c>
      <c r="AA234">
        <f>IF(OR(Y234/Inputs!B3&gt;=Inputs!B23,Z234&gt;=Inputs!B24),1,0)</f>
        <v>0</v>
      </c>
      <c r="AB234">
        <f t="shared" si="49"/>
        <v>0</v>
      </c>
    </row>
    <row r="235" spans="1:28" x14ac:dyDescent="0.2">
      <c r="A235">
        <v>234</v>
      </c>
      <c r="B235">
        <f t="shared" si="50"/>
        <v>0</v>
      </c>
      <c r="C235">
        <f t="shared" si="51"/>
        <v>0.68559783834021848</v>
      </c>
      <c r="D235">
        <f t="shared" si="52"/>
        <v>0.66396024406881227</v>
      </c>
      <c r="E235">
        <f t="shared" si="53"/>
        <v>5.2355626132332463E-3</v>
      </c>
      <c r="F235">
        <f t="shared" si="54"/>
        <v>1.6402031658173017E-2</v>
      </c>
      <c r="G235">
        <f>MAX(Inputs!B7-A235+1,0)</f>
        <v>67</v>
      </c>
      <c r="H235">
        <f>IF(AND(A235&lt;=Inputs!B7,D235&gt;0),-PMT(Inputs!B6/12,G235,D235),0)</f>
        <v>1.1609083366031163E-2</v>
      </c>
      <c r="I235">
        <f>IF(AND(A235&lt;=Inputs!B7,D235&gt;0),D235*Inputs!B6/12,0)</f>
        <v>3.1814761694963921E-3</v>
      </c>
      <c r="J235">
        <f t="shared" si="42"/>
        <v>8.4276071965347713E-3</v>
      </c>
      <c r="K235">
        <f>MAX((D235-J235)*Inputs!B32,0)</f>
        <v>5.2442610949782198E-2</v>
      </c>
      <c r="L235">
        <f>MAX((D235-J235-K235)*Inputs!B33,0)</f>
        <v>2.0481258117693636E-3</v>
      </c>
      <c r="M235">
        <f>MIN(E235*Inputs!B29,E235)</f>
        <v>1.832446914631636E-3</v>
      </c>
      <c r="N235">
        <f>MIN((E235-M235)*Inputs!B30,E235-M235)</f>
        <v>6.8062313972032211E-4</v>
      </c>
      <c r="O235">
        <f>MIN(F235*Inputs!B31,F235)</f>
        <v>1.9682437989807619E-3</v>
      </c>
      <c r="P235">
        <f>MIN((F235-O235)*Inputs!B34,F235-O235)</f>
        <v>1.2617455806768357E-4</v>
      </c>
      <c r="Q235">
        <f>P235*Inputs!B35</f>
        <v>3.1543639516920891E-5</v>
      </c>
      <c r="R235">
        <f>C235*Inputs!B8/12</f>
        <v>2.8566576597509102E-4</v>
      </c>
      <c r="S235">
        <f t="shared" si="43"/>
        <v>2.895810403521301E-3</v>
      </c>
      <c r="T235">
        <f t="shared" si="44"/>
        <v>6.0964849064867731E-2</v>
      </c>
      <c r="U235">
        <f t="shared" si="45"/>
        <v>0.60484259082433833</v>
      </c>
      <c r="V235">
        <f t="shared" si="46"/>
        <v>4.7706183706506516E-3</v>
      </c>
      <c r="W235">
        <f t="shared" si="47"/>
        <v>1.4988236440844894E-2</v>
      </c>
      <c r="X235">
        <f t="shared" si="48"/>
        <v>0.62460144563583386</v>
      </c>
      <c r="Y235">
        <f t="shared" si="55"/>
        <v>81618.466488773673</v>
      </c>
      <c r="Z235">
        <f>IF(Inputs!B3&gt;0,(V235+W235)/Inputs!B3,0)</f>
        <v>6.5862849371651812E-11</v>
      </c>
      <c r="AA235">
        <f>IF(OR(Y235/Inputs!B3&gt;=Inputs!B23,Z235&gt;=Inputs!B24),1,0)</f>
        <v>0</v>
      </c>
      <c r="AB235">
        <f t="shared" si="49"/>
        <v>0</v>
      </c>
    </row>
    <row r="236" spans="1:28" x14ac:dyDescent="0.2">
      <c r="A236">
        <v>235</v>
      </c>
      <c r="B236">
        <f t="shared" si="50"/>
        <v>0</v>
      </c>
      <c r="C236">
        <f t="shared" si="51"/>
        <v>0.62460144563583386</v>
      </c>
      <c r="D236">
        <f t="shared" si="52"/>
        <v>0.60484259082433833</v>
      </c>
      <c r="E236">
        <f t="shared" si="53"/>
        <v>4.7706183706506516E-3</v>
      </c>
      <c r="F236">
        <f t="shared" si="54"/>
        <v>1.4988236440844894E-2</v>
      </c>
      <c r="G236">
        <f>MAX(Inputs!B7-A236+1,0)</f>
        <v>66</v>
      </c>
      <c r="H236">
        <f>IF(AND(A236&lt;=Inputs!B7,D236&gt;0),-PMT(Inputs!B6/12,G236,D236),0)</f>
        <v>1.0711393552742523E-2</v>
      </c>
      <c r="I236">
        <f>IF(AND(A236&lt;=Inputs!B7,D236&gt;0),D236*Inputs!B6/12,0)</f>
        <v>2.8982040810332879E-3</v>
      </c>
      <c r="J236">
        <f t="shared" si="42"/>
        <v>7.8131894717092358E-3</v>
      </c>
      <c r="K236">
        <f>MAX((D236-J236)*Inputs!B32,0)</f>
        <v>4.7762352108210324E-2</v>
      </c>
      <c r="L236">
        <f>MAX((D236-J236-K236)*Inputs!B33,0)</f>
        <v>1.8653401196465167E-3</v>
      </c>
      <c r="M236">
        <f>MIN(E236*Inputs!B29,E236)</f>
        <v>1.6697164297277279E-3</v>
      </c>
      <c r="N236">
        <f>MIN((E236-M236)*Inputs!B30,E236-M236)</f>
        <v>6.2018038818458475E-4</v>
      </c>
      <c r="O236">
        <f>MIN(F236*Inputs!B31,F236)</f>
        <v>1.7985883729013871E-3</v>
      </c>
      <c r="P236">
        <f>MIN((F236-O236)*Inputs!B34,F236-O236)</f>
        <v>1.152987720393294E-4</v>
      </c>
      <c r="Q236">
        <f>P236*Inputs!B35</f>
        <v>2.8824693009832351E-5</v>
      </c>
      <c r="R236">
        <f>C236*Inputs!B8/12</f>
        <v>2.6025060234826411E-4</v>
      </c>
      <c r="S236">
        <f t="shared" si="43"/>
        <v>2.6379534786850236E-3</v>
      </c>
      <c r="T236">
        <f t="shared" si="44"/>
        <v>5.5662015658949057E-2</v>
      </c>
      <c r="U236">
        <f t="shared" si="45"/>
        <v>0.5508700139274012</v>
      </c>
      <c r="V236">
        <f t="shared" si="46"/>
        <v>4.3460616723848553E-3</v>
      </c>
      <c r="W236">
        <f t="shared" si="47"/>
        <v>1.3694529684088762E-2</v>
      </c>
      <c r="X236">
        <f t="shared" si="48"/>
        <v>0.56891060528387483</v>
      </c>
      <c r="Y236">
        <f t="shared" si="55"/>
        <v>81618.466517598368</v>
      </c>
      <c r="Z236">
        <f>IF(Inputs!B3&gt;0,(V236+W236)/Inputs!B3,0)</f>
        <v>6.0135304521578724E-11</v>
      </c>
      <c r="AA236">
        <f>IF(OR(Y236/Inputs!B3&gt;=Inputs!B23,Z236&gt;=Inputs!B24),1,0)</f>
        <v>0</v>
      </c>
      <c r="AB236">
        <f t="shared" si="49"/>
        <v>0</v>
      </c>
    </row>
    <row r="237" spans="1:28" x14ac:dyDescent="0.2">
      <c r="A237">
        <v>236</v>
      </c>
      <c r="B237">
        <f t="shared" si="50"/>
        <v>0</v>
      </c>
      <c r="C237">
        <f t="shared" si="51"/>
        <v>0.56891060528387483</v>
      </c>
      <c r="D237">
        <f t="shared" si="52"/>
        <v>0.5508700139274012</v>
      </c>
      <c r="E237">
        <f t="shared" si="53"/>
        <v>4.3460616723848553E-3</v>
      </c>
      <c r="F237">
        <f t="shared" si="54"/>
        <v>1.3694529684088762E-2</v>
      </c>
      <c r="G237">
        <f>MAX(Inputs!B7-A237+1,0)</f>
        <v>65</v>
      </c>
      <c r="H237">
        <f>IF(AND(A237&lt;=Inputs!B7,D237&gt;0),-PMT(Inputs!B6/12,G237,D237),0)</f>
        <v>9.8832410970260236E-3</v>
      </c>
      <c r="I237">
        <f>IF(AND(A237&lt;=Inputs!B7,D237&gt;0),D237*Inputs!B6/12,0)</f>
        <v>2.6395854834021307E-3</v>
      </c>
      <c r="J237">
        <f t="shared" si="42"/>
        <v>7.2436556136238929E-3</v>
      </c>
      <c r="K237">
        <f>MAX((D237-J237)*Inputs!B32,0)</f>
        <v>4.3490108665102181E-2</v>
      </c>
      <c r="L237">
        <f>MAX((D237-J237-K237)*Inputs!B33,0)</f>
        <v>1.6984893105140139E-3</v>
      </c>
      <c r="M237">
        <f>MIN(E237*Inputs!B29,E237)</f>
        <v>1.5211215853346992E-3</v>
      </c>
      <c r="N237">
        <f>MIN((E237-M237)*Inputs!B30,E237-M237)</f>
        <v>5.649880174100312E-4</v>
      </c>
      <c r="O237">
        <f>MIN(F237*Inputs!B31,F237)</f>
        <v>1.6433435620906514E-3</v>
      </c>
      <c r="P237">
        <f>MIN((F237-O237)*Inputs!B34,F237-O237)</f>
        <v>1.0534678062114778E-4</v>
      </c>
      <c r="Q237">
        <f>P237*Inputs!B35</f>
        <v>2.6336695155286944E-5</v>
      </c>
      <c r="R237">
        <f>C237*Inputs!B8/12</f>
        <v>2.3704608553494784E-4</v>
      </c>
      <c r="S237">
        <f t="shared" si="43"/>
        <v>2.4025393978671828E-3</v>
      </c>
      <c r="T237">
        <f t="shared" si="44"/>
        <v>5.0812774364191932E-2</v>
      </c>
      <c r="U237">
        <f t="shared" si="45"/>
        <v>0.50160222548558642</v>
      </c>
      <c r="V237">
        <f t="shared" si="46"/>
        <v>3.9584413801541391E-3</v>
      </c>
      <c r="W237">
        <f t="shared" si="47"/>
        <v>1.2510827358786992E-2</v>
      </c>
      <c r="X237">
        <f t="shared" si="48"/>
        <v>0.51807149422452747</v>
      </c>
      <c r="Y237">
        <f t="shared" si="55"/>
        <v>81618.466543935065</v>
      </c>
      <c r="Z237">
        <f>IF(Inputs!B3&gt;0,(V237+W237)/Inputs!B3,0)</f>
        <v>5.4897562463137107E-11</v>
      </c>
      <c r="AA237">
        <f>IF(OR(Y237/Inputs!B3&gt;=Inputs!B23,Z237&gt;=Inputs!B24),1,0)</f>
        <v>0</v>
      </c>
      <c r="AB237">
        <f t="shared" si="49"/>
        <v>0</v>
      </c>
    </row>
    <row r="238" spans="1:28" x14ac:dyDescent="0.2">
      <c r="A238">
        <v>237</v>
      </c>
      <c r="B238">
        <f t="shared" si="50"/>
        <v>0</v>
      </c>
      <c r="C238">
        <f t="shared" si="51"/>
        <v>0.51807149422452747</v>
      </c>
      <c r="D238">
        <f t="shared" si="52"/>
        <v>0.50160222548558642</v>
      </c>
      <c r="E238">
        <f t="shared" si="53"/>
        <v>3.9584413801541391E-3</v>
      </c>
      <c r="F238">
        <f t="shared" si="54"/>
        <v>1.2510827358786992E-2</v>
      </c>
      <c r="G238">
        <f>MAX(Inputs!B7-A238+1,0)</f>
        <v>64</v>
      </c>
      <c r="H238">
        <f>IF(AND(A238&lt;=Inputs!B7,D238&gt;0),-PMT(Inputs!B6/12,G238,D238),0)</f>
        <v>9.1192335571364143E-3</v>
      </c>
      <c r="I238">
        <f>IF(AND(A238&lt;=Inputs!B7,D238&gt;0),D238*Inputs!B6/12,0)</f>
        <v>2.4035106637851017E-3</v>
      </c>
      <c r="J238">
        <f t="shared" si="42"/>
        <v>6.7157228933513126E-3</v>
      </c>
      <c r="K238">
        <f>MAX((D238-J238)*Inputs!B32,0)</f>
        <v>3.959092020737881E-2</v>
      </c>
      <c r="L238">
        <f>MAX((D238-J238-K238)*Inputs!B33,0)</f>
        <v>1.5462080190111244E-3</v>
      </c>
      <c r="M238">
        <f>MIN(E238*Inputs!B29,E238)</f>
        <v>1.3854544830539486E-3</v>
      </c>
      <c r="N238">
        <f>MIN((E238-M238)*Inputs!B30,E238-M238)</f>
        <v>5.1459737942003813E-4</v>
      </c>
      <c r="O238">
        <f>MIN(F238*Inputs!B31,F238)</f>
        <v>1.501299283054439E-3</v>
      </c>
      <c r="P238">
        <f>MIN((F238-O238)*Inputs!B34,F238-O238)</f>
        <v>9.6241011232864806E-5</v>
      </c>
      <c r="Q238">
        <f>P238*Inputs!B35</f>
        <v>2.4060252808216202E-5</v>
      </c>
      <c r="R238">
        <f>C238*Inputs!B8/12</f>
        <v>2.1586312259355312E-4</v>
      </c>
      <c r="S238">
        <f t="shared" si="43"/>
        <v>2.1876475411915486E-3</v>
      </c>
      <c r="T238">
        <f t="shared" si="44"/>
        <v>4.6378823859154768E-2</v>
      </c>
      <c r="U238">
        <f t="shared" si="45"/>
        <v>0.45663612813195353</v>
      </c>
      <c r="V238">
        <f t="shared" si="46"/>
        <v>3.6045975366912767E-3</v>
      </c>
      <c r="W238">
        <f t="shared" si="47"/>
        <v>1.1427884443919727E-2</v>
      </c>
      <c r="X238">
        <f t="shared" si="48"/>
        <v>0.47166861011256456</v>
      </c>
      <c r="Y238">
        <f t="shared" si="55"/>
        <v>81618.466567995318</v>
      </c>
      <c r="Z238">
        <f>IF(Inputs!B3&gt;0,(V238+W238)/Inputs!B3,0)</f>
        <v>5.0108273268703341E-11</v>
      </c>
      <c r="AA238">
        <f>IF(OR(Y238/Inputs!B3&gt;=Inputs!B23,Z238&gt;=Inputs!B24),1,0)</f>
        <v>0</v>
      </c>
      <c r="AB238">
        <f t="shared" si="49"/>
        <v>0</v>
      </c>
    </row>
    <row r="239" spans="1:28" x14ac:dyDescent="0.2">
      <c r="A239">
        <v>238</v>
      </c>
      <c r="B239">
        <f t="shared" si="50"/>
        <v>0</v>
      </c>
      <c r="C239">
        <f t="shared" si="51"/>
        <v>0.47166861011256456</v>
      </c>
      <c r="D239">
        <f t="shared" si="52"/>
        <v>0.45663612813195353</v>
      </c>
      <c r="E239">
        <f t="shared" si="53"/>
        <v>3.6045975366912767E-3</v>
      </c>
      <c r="F239">
        <f t="shared" si="54"/>
        <v>1.1427884443919727E-2</v>
      </c>
      <c r="G239">
        <f>MAX(Inputs!B7-A239+1,0)</f>
        <v>63</v>
      </c>
      <c r="H239">
        <f>IF(AND(A239&lt;=Inputs!B7,D239&gt;0),-PMT(Inputs!B6/12,G239,D239),0)</f>
        <v>8.4143970006247074E-3</v>
      </c>
      <c r="I239">
        <f>IF(AND(A239&lt;=Inputs!B7,D239&gt;0),D239*Inputs!B6/12,0)</f>
        <v>2.1880481139656105E-3</v>
      </c>
      <c r="J239">
        <f t="shared" si="42"/>
        <v>6.2263488866590964E-3</v>
      </c>
      <c r="K239">
        <f>MAX((D239-J239)*Inputs!B32,0)</f>
        <v>3.6032782339623558E-2</v>
      </c>
      <c r="L239">
        <f>MAX((D239-J239-K239)*Inputs!B33,0)</f>
        <v>1.4072463258993553E-3</v>
      </c>
      <c r="M239">
        <f>MIN(E239*Inputs!B29,E239)</f>
        <v>1.2616091378419467E-3</v>
      </c>
      <c r="N239">
        <f>MIN((E239-M239)*Inputs!B30,E239-M239)</f>
        <v>4.6859767976986606E-4</v>
      </c>
      <c r="O239">
        <f>MIN(F239*Inputs!B31,F239)</f>
        <v>1.3713461332703672E-3</v>
      </c>
      <c r="P239">
        <f>MIN((F239-O239)*Inputs!B34,F239-O239)</f>
        <v>8.7910345462699697E-5</v>
      </c>
      <c r="Q239">
        <f>P239*Inputs!B35</f>
        <v>2.1977586365674924E-5</v>
      </c>
      <c r="R239">
        <f>C239*Inputs!B8/12</f>
        <v>1.965285875469019E-4</v>
      </c>
      <c r="S239">
        <f t="shared" si="43"/>
        <v>1.9915195264187087E-3</v>
      </c>
      <c r="T239">
        <f t="shared" si="44"/>
        <v>4.232506398537967E-2</v>
      </c>
      <c r="U239">
        <f t="shared" si="45"/>
        <v>0.41560270585088394</v>
      </c>
      <c r="V239">
        <f t="shared" si="46"/>
        <v>3.2816370449788193E-3</v>
      </c>
      <c r="W239">
        <f t="shared" si="47"/>
        <v>1.0437225644956525E-2</v>
      </c>
      <c r="X239">
        <f t="shared" si="48"/>
        <v>0.42932156854081927</v>
      </c>
      <c r="Y239">
        <f t="shared" si="55"/>
        <v>81618.466589972901</v>
      </c>
      <c r="Z239">
        <f>IF(Inputs!B3&gt;0,(V239+W239)/Inputs!B3,0)</f>
        <v>4.5729542299784485E-11</v>
      </c>
      <c r="AA239">
        <f>IF(OR(Y239/Inputs!B3&gt;=Inputs!B23,Z239&gt;=Inputs!B24),1,0)</f>
        <v>0</v>
      </c>
      <c r="AB239">
        <f t="shared" si="49"/>
        <v>0</v>
      </c>
    </row>
    <row r="240" spans="1:28" x14ac:dyDescent="0.2">
      <c r="A240">
        <v>239</v>
      </c>
      <c r="B240">
        <f t="shared" si="50"/>
        <v>0</v>
      </c>
      <c r="C240">
        <f t="shared" si="51"/>
        <v>0.42932156854081927</v>
      </c>
      <c r="D240">
        <f t="shared" si="52"/>
        <v>0.41560270585088394</v>
      </c>
      <c r="E240">
        <f t="shared" si="53"/>
        <v>3.2816370449788193E-3</v>
      </c>
      <c r="F240">
        <f t="shared" si="54"/>
        <v>1.0437225644956525E-2</v>
      </c>
      <c r="G240">
        <f>MAX(Inputs!B7-A240+1,0)</f>
        <v>62</v>
      </c>
      <c r="H240">
        <f>IF(AND(A240&lt;=Inputs!B7,D240&gt;0),-PMT(Inputs!B6/12,G240,D240),0)</f>
        <v>7.7641435037730131E-3</v>
      </c>
      <c r="I240">
        <f>IF(AND(A240&lt;=Inputs!B7,D240&gt;0),D240*Inputs!B6/12,0)</f>
        <v>1.9914296322021525E-3</v>
      </c>
      <c r="J240">
        <f t="shared" si="42"/>
        <v>5.7727138715708611E-3</v>
      </c>
      <c r="K240">
        <f>MAX((D240-J240)*Inputs!B32,0)</f>
        <v>3.2786399358345049E-2</v>
      </c>
      <c r="L240">
        <f>MAX((D240-J240-K240)*Inputs!B33,0)</f>
        <v>1.2804600988518076E-3</v>
      </c>
      <c r="M240">
        <f>MIN(E240*Inputs!B29,E240)</f>
        <v>1.1485729657425866E-3</v>
      </c>
      <c r="N240">
        <f>MIN((E240-M240)*Inputs!B30,E240-M240)</f>
        <v>4.2661281584724657E-4</v>
      </c>
      <c r="O240">
        <f>MIN(F240*Inputs!B31,F240)</f>
        <v>1.252467077394783E-3</v>
      </c>
      <c r="P240">
        <f>MIN((F240-O240)*Inputs!B34,F240-O240)</f>
        <v>8.0289586110442288E-5</v>
      </c>
      <c r="Q240">
        <f>P240*Inputs!B35</f>
        <v>2.0072396527610572E-5</v>
      </c>
      <c r="R240">
        <f>C240*Inputs!B8/12</f>
        <v>1.7888398689200802E-4</v>
      </c>
      <c r="S240">
        <f t="shared" si="43"/>
        <v>1.8125456453101443E-3</v>
      </c>
      <c r="T240">
        <f t="shared" si="44"/>
        <v>3.8619330419498742E-2</v>
      </c>
      <c r="U240">
        <f t="shared" si="45"/>
        <v>0.37816417256525364</v>
      </c>
      <c r="V240">
        <f t="shared" si="46"/>
        <v>2.9869113622407939E-3</v>
      </c>
      <c r="W240">
        <f t="shared" si="47"/>
        <v>9.5310817972985469E-3</v>
      </c>
      <c r="X240">
        <f t="shared" si="48"/>
        <v>0.39068216572479297</v>
      </c>
      <c r="Y240">
        <f t="shared" si="55"/>
        <v>81618.466610045303</v>
      </c>
      <c r="Z240">
        <f>IF(Inputs!B3&gt;0,(V240+W240)/Inputs!B3,0)</f>
        <v>4.1726643865131137E-11</v>
      </c>
      <c r="AA240">
        <f>IF(OR(Y240/Inputs!B3&gt;=Inputs!B23,Z240&gt;=Inputs!B24),1,0)</f>
        <v>0</v>
      </c>
      <c r="AB240">
        <f t="shared" si="49"/>
        <v>0</v>
      </c>
    </row>
    <row r="241" spans="1:28" x14ac:dyDescent="0.2">
      <c r="A241">
        <v>240</v>
      </c>
      <c r="B241">
        <f t="shared" si="50"/>
        <v>0</v>
      </c>
      <c r="C241">
        <f t="shared" si="51"/>
        <v>0.39068216572479297</v>
      </c>
      <c r="D241">
        <f t="shared" si="52"/>
        <v>0.37816417256525364</v>
      </c>
      <c r="E241">
        <f t="shared" si="53"/>
        <v>2.9869113622407939E-3</v>
      </c>
      <c r="F241">
        <f t="shared" si="54"/>
        <v>9.5310817972985469E-3</v>
      </c>
      <c r="G241">
        <f>MAX(Inputs!B7-A241+1,0)</f>
        <v>61</v>
      </c>
      <c r="H241">
        <f>IF(AND(A241&lt;=Inputs!B7,D241&gt;0),-PMT(Inputs!B6/12,G241,D241),0)</f>
        <v>7.1642411762056135E-3</v>
      </c>
      <c r="I241">
        <f>IF(AND(A241&lt;=Inputs!B7,D241&gt;0),D241*Inputs!B6/12,0)</f>
        <v>1.8120366602085072E-3</v>
      </c>
      <c r="J241">
        <f t="shared" si="42"/>
        <v>5.3522045159971063E-3</v>
      </c>
      <c r="K241">
        <f>MAX((D241-J241)*Inputs!B32,0)</f>
        <v>2.9824957443940522E-2</v>
      </c>
      <c r="L241">
        <f>MAX((D241-J241-K241)*Inputs!B33,0)</f>
        <v>1.1648021345533541E-3</v>
      </c>
      <c r="M241">
        <f>MIN(E241*Inputs!B29,E241)</f>
        <v>1.0454189767842778E-3</v>
      </c>
      <c r="N241">
        <f>MIN((E241-M241)*Inputs!B30,E241-M241)</f>
        <v>3.8829847709130323E-4</v>
      </c>
      <c r="O241">
        <f>MIN(F241*Inputs!B31,F241)</f>
        <v>1.1437298156758255E-3</v>
      </c>
      <c r="P241">
        <f>MIN((F241-O241)*Inputs!B34,F241-O241)</f>
        <v>7.3318967963450433E-5</v>
      </c>
      <c r="Q241">
        <f>P241*Inputs!B35</f>
        <v>1.8329741990862608E-5</v>
      </c>
      <c r="R241">
        <f>C241*Inputs!B8/12</f>
        <v>1.6278423571866376E-4</v>
      </c>
      <c r="S241">
        <f t="shared" si="43"/>
        <v>1.6492524244898434E-3</v>
      </c>
      <c r="T241">
        <f t="shared" si="44"/>
        <v>3.5232151185910214E-2</v>
      </c>
      <c r="U241">
        <f t="shared" si="45"/>
        <v>0.34401135726322279</v>
      </c>
      <c r="V241">
        <f t="shared" si="46"/>
        <v>2.717996042918567E-3</v>
      </c>
      <c r="W241">
        <f t="shared" si="47"/>
        <v>8.7023314907505745E-3</v>
      </c>
      <c r="X241">
        <f t="shared" si="48"/>
        <v>0.35543168479689191</v>
      </c>
      <c r="Y241">
        <f t="shared" si="55"/>
        <v>81618.466628375041</v>
      </c>
      <c r="Z241">
        <f>IF(Inputs!B3&gt;0,(V241+W241)/Inputs!B3,0)</f>
        <v>3.8067758445563805E-11</v>
      </c>
      <c r="AA241">
        <f>IF(OR(Y241/Inputs!B3&gt;=Inputs!B23,Z241&gt;=Inputs!B24),1,0)</f>
        <v>0</v>
      </c>
      <c r="AB241">
        <f t="shared" si="49"/>
        <v>0</v>
      </c>
    </row>
    <row r="242" spans="1:28" x14ac:dyDescent="0.2">
      <c r="A242">
        <v>241</v>
      </c>
      <c r="B242">
        <f t="shared" si="50"/>
        <v>0</v>
      </c>
      <c r="C242">
        <f t="shared" si="51"/>
        <v>0.35543168479689191</v>
      </c>
      <c r="D242">
        <f t="shared" si="52"/>
        <v>0.34401135726322279</v>
      </c>
      <c r="E242">
        <f t="shared" si="53"/>
        <v>2.717996042918567E-3</v>
      </c>
      <c r="F242">
        <f t="shared" si="54"/>
        <v>8.7023314907505745E-3</v>
      </c>
      <c r="G242">
        <f>MAX(Inputs!B7-A242+1,0)</f>
        <v>60</v>
      </c>
      <c r="H242">
        <f>IF(AND(A242&lt;=Inputs!B7,D242&gt;0),-PMT(Inputs!B6/12,G242,D242),0)</f>
        <v>6.6107865144016424E-3</v>
      </c>
      <c r="I242">
        <f>IF(AND(A242&lt;=Inputs!B7,D242&gt;0),D242*Inputs!B6/12,0)</f>
        <v>1.6483877535529426E-3</v>
      </c>
      <c r="J242">
        <f t="shared" si="42"/>
        <v>4.9623987608486998E-3</v>
      </c>
      <c r="K242">
        <f>MAX((D242-J242)*Inputs!B32,0)</f>
        <v>2.712391668018993E-2</v>
      </c>
      <c r="L242">
        <f>MAX((D242-J242-K242)*Inputs!B33,0)</f>
        <v>1.0593140361027219E-3</v>
      </c>
      <c r="M242">
        <f>MIN(E242*Inputs!B29,E242)</f>
        <v>9.5129861502149841E-4</v>
      </c>
      <c r="N242">
        <f>MIN((E242-M242)*Inputs!B30,E242-M242)</f>
        <v>3.5333948557941374E-4</v>
      </c>
      <c r="O242">
        <f>MIN(F242*Inputs!B31,F242)</f>
        <v>1.0442797788900689E-3</v>
      </c>
      <c r="P242">
        <f>MIN((F242-O242)*Inputs!B34,F242-O242)</f>
        <v>6.6943708736033768E-5</v>
      </c>
      <c r="Q242">
        <f>P242*Inputs!B35</f>
        <v>1.6735927184008442E-5</v>
      </c>
      <c r="R242">
        <f>C242*Inputs!B8/12</f>
        <v>1.4809653533203829E-4</v>
      </c>
      <c r="S242">
        <f t="shared" si="43"/>
        <v>1.5002912182209042E-3</v>
      </c>
      <c r="T242">
        <f t="shared" si="44"/>
        <v>3.2136523222590654E-2</v>
      </c>
      <c r="U242">
        <f t="shared" si="45"/>
        <v>0.31286130617999303</v>
      </c>
      <c r="V242">
        <f t="shared" si="46"/>
        <v>2.4726719784203769E-3</v>
      </c>
      <c r="W242">
        <f t="shared" si="47"/>
        <v>7.944447488703885E-3</v>
      </c>
      <c r="X242">
        <f t="shared" si="48"/>
        <v>0.32327842564711728</v>
      </c>
      <c r="Y242">
        <f t="shared" si="55"/>
        <v>81618.466645110966</v>
      </c>
      <c r="Z242">
        <f>IF(Inputs!B3&gt;0,(V242+W242)/Inputs!B3,0)</f>
        <v>3.4723731557080874E-11</v>
      </c>
      <c r="AA242">
        <f>IF(OR(Y242/Inputs!B3&gt;=Inputs!B23,Z242&gt;=Inputs!B24),1,0)</f>
        <v>0</v>
      </c>
      <c r="AB242">
        <f t="shared" si="49"/>
        <v>0</v>
      </c>
    </row>
    <row r="243" spans="1:28" x14ac:dyDescent="0.2">
      <c r="A243">
        <v>242</v>
      </c>
      <c r="B243">
        <f t="shared" si="50"/>
        <v>0</v>
      </c>
      <c r="C243">
        <f t="shared" si="51"/>
        <v>0.32327842564711728</v>
      </c>
      <c r="D243">
        <f t="shared" si="52"/>
        <v>0.31286130617999303</v>
      </c>
      <c r="E243">
        <f t="shared" si="53"/>
        <v>2.4726719784203769E-3</v>
      </c>
      <c r="F243">
        <f t="shared" si="54"/>
        <v>7.944447488703885E-3</v>
      </c>
      <c r="G243">
        <f>MAX(Inputs!B7-A243+1,0)</f>
        <v>59</v>
      </c>
      <c r="H243">
        <f>IF(AND(A243&lt;=Inputs!B7,D243&gt;0),-PMT(Inputs!B6/12,G243,D243),0)</f>
        <v>6.1001789030957843E-3</v>
      </c>
      <c r="I243">
        <f>IF(AND(A243&lt;=Inputs!B7,D243&gt;0),D243*Inputs!B6/12,0)</f>
        <v>1.4991270921124666E-3</v>
      </c>
      <c r="J243">
        <f t="shared" si="42"/>
        <v>4.6010518109833179E-3</v>
      </c>
      <c r="K243">
        <f>MAX((D243-J243)*Inputs!B32,0)</f>
        <v>2.4660820349520777E-2</v>
      </c>
      <c r="L243">
        <f>MAX((D243-J243-K243)*Inputs!B33,0)</f>
        <v>9.6311876511309463E-4</v>
      </c>
      <c r="M243">
        <f>MIN(E243*Inputs!B29,E243)</f>
        <v>8.6543519244713181E-4</v>
      </c>
      <c r="N243">
        <f>MIN((E243-M243)*Inputs!B30,E243-M243)</f>
        <v>3.2144735719464901E-4</v>
      </c>
      <c r="O243">
        <f>MIN(F243*Inputs!B31,F243)</f>
        <v>9.5333369864446617E-4</v>
      </c>
      <c r="P243">
        <f>MIN((F243-O243)*Inputs!B34,F243-O243)</f>
        <v>6.1113596892714735E-5</v>
      </c>
      <c r="Q243">
        <f>P243*Inputs!B35</f>
        <v>1.5278399223178684E-5</v>
      </c>
      <c r="R243">
        <f>C243*Inputs!B8/12</f>
        <v>1.346993440196322E-4</v>
      </c>
      <c r="S243">
        <f t="shared" si="43"/>
        <v>1.3644277480928343E-3</v>
      </c>
      <c r="T243">
        <f t="shared" si="44"/>
        <v>2.9307707358173628E-2</v>
      </c>
      <c r="U243">
        <f t="shared" si="45"/>
        <v>0.2844550841454675</v>
      </c>
      <c r="V243">
        <f t="shared" si="46"/>
        <v>2.2489081938916909E-3</v>
      </c>
      <c r="W243">
        <f t="shared" si="47"/>
        <v>7.2514475503613531E-3</v>
      </c>
      <c r="X243">
        <f t="shared" si="48"/>
        <v>0.2939554398897205</v>
      </c>
      <c r="Y243">
        <f t="shared" si="55"/>
        <v>81618.466660389371</v>
      </c>
      <c r="Z243">
        <f>IF(Inputs!B3&gt;0,(V243+W243)/Inputs!B3,0)</f>
        <v>3.1667852480843476E-11</v>
      </c>
      <c r="AA243">
        <f>IF(OR(Y243/Inputs!B3&gt;=Inputs!B23,Z243&gt;=Inputs!B24),1,0)</f>
        <v>0</v>
      </c>
      <c r="AB243">
        <f t="shared" si="49"/>
        <v>0</v>
      </c>
    </row>
    <row r="244" spans="1:28" x14ac:dyDescent="0.2">
      <c r="A244">
        <v>243</v>
      </c>
      <c r="B244">
        <f t="shared" si="50"/>
        <v>0</v>
      </c>
      <c r="C244">
        <f t="shared" si="51"/>
        <v>0.2939554398897205</v>
      </c>
      <c r="D244">
        <f t="shared" si="52"/>
        <v>0.2844550841454675</v>
      </c>
      <c r="E244">
        <f t="shared" si="53"/>
        <v>2.2489081938916909E-3</v>
      </c>
      <c r="F244">
        <f t="shared" si="54"/>
        <v>7.2514475503613531E-3</v>
      </c>
      <c r="G244">
        <f>MAX(Inputs!B7-A244+1,0)</f>
        <v>58</v>
      </c>
      <c r="H244">
        <f>IF(AND(A244&lt;=Inputs!B7,D244&gt;0),-PMT(Inputs!B6/12,G244,D244),0)</f>
        <v>5.6290970976275315E-3</v>
      </c>
      <c r="I244">
        <f>IF(AND(A244&lt;=Inputs!B7,D244&gt;0),D244*Inputs!B6/12,0)</f>
        <v>1.3630139448636985E-3</v>
      </c>
      <c r="J244">
        <f t="shared" si="42"/>
        <v>4.2660831527638332E-3</v>
      </c>
      <c r="K244">
        <f>MAX((D244-J244)*Inputs!B32,0)</f>
        <v>2.2415120079416293E-2</v>
      </c>
      <c r="L244">
        <f>MAX((D244-J244-K244)*Inputs!B33,0)</f>
        <v>8.754138128729634E-4</v>
      </c>
      <c r="M244">
        <f>MIN(E244*Inputs!B29,E244)</f>
        <v>7.8711786786209181E-4</v>
      </c>
      <c r="N244">
        <f>MIN((E244-M244)*Inputs!B30,E244-M244)</f>
        <v>2.9235806520591981E-4</v>
      </c>
      <c r="O244">
        <f>MIN(F244*Inputs!B31,F244)</f>
        <v>8.7017370604336236E-4</v>
      </c>
      <c r="P244">
        <f>MIN((F244-O244)*Inputs!B34,F244-O244)</f>
        <v>5.5782613342409802E-5</v>
      </c>
      <c r="Q244">
        <f>P244*Inputs!B35</f>
        <v>1.394565333560245E-5</v>
      </c>
      <c r="R244">
        <f>C244*Inputs!B8/12</f>
        <v>1.2248143328738356E-4</v>
      </c>
      <c r="S244">
        <f t="shared" si="43"/>
        <v>1.2405325115763149E-3</v>
      </c>
      <c r="T244">
        <f t="shared" si="44"/>
        <v>2.6723040192186933E-2</v>
      </c>
      <c r="U244">
        <f t="shared" si="45"/>
        <v>0.25855575867431985</v>
      </c>
      <c r="V244">
        <f t="shared" si="46"/>
        <v>2.0448460736966429E-3</v>
      </c>
      <c r="W244">
        <f t="shared" si="47"/>
        <v>6.6178492961815006E-3</v>
      </c>
      <c r="X244">
        <f t="shared" si="48"/>
        <v>0.26721845404419797</v>
      </c>
      <c r="Y244">
        <f t="shared" si="55"/>
        <v>81618.466674335024</v>
      </c>
      <c r="Z244">
        <f>IF(Inputs!B3&gt;0,(V244+W244)/Inputs!B3,0)</f>
        <v>2.8875651232927144E-11</v>
      </c>
      <c r="AA244">
        <f>IF(OR(Y244/Inputs!B3&gt;=Inputs!B23,Z244&gt;=Inputs!B24),1,0)</f>
        <v>0</v>
      </c>
      <c r="AB244">
        <f t="shared" si="49"/>
        <v>0</v>
      </c>
    </row>
    <row r="245" spans="1:28" x14ac:dyDescent="0.2">
      <c r="A245">
        <v>244</v>
      </c>
      <c r="B245">
        <f t="shared" si="50"/>
        <v>0</v>
      </c>
      <c r="C245">
        <f t="shared" si="51"/>
        <v>0.26721845404419797</v>
      </c>
      <c r="D245">
        <f t="shared" si="52"/>
        <v>0.25855575867431985</v>
      </c>
      <c r="E245">
        <f t="shared" si="53"/>
        <v>2.0448460736966429E-3</v>
      </c>
      <c r="F245">
        <f t="shared" si="54"/>
        <v>6.6178492961815006E-3</v>
      </c>
      <c r="G245">
        <f>MAX(Inputs!B7-A245+1,0)</f>
        <v>57</v>
      </c>
      <c r="H245">
        <f>IF(AND(A245&lt;=Inputs!B7,D245&gt;0),-PMT(Inputs!B6/12,G245,D245),0)</f>
        <v>5.194477533279041E-3</v>
      </c>
      <c r="I245">
        <f>IF(AND(A245&lt;=Inputs!B7,D245&gt;0),D245*Inputs!B6/12,0)</f>
        <v>1.2389130103144493E-3</v>
      </c>
      <c r="J245">
        <f t="shared" si="42"/>
        <v>3.9555645229645917E-3</v>
      </c>
      <c r="K245">
        <f>MAX((D245-J245)*Inputs!B32,0)</f>
        <v>2.0368015532108423E-2</v>
      </c>
      <c r="L245">
        <f>MAX((D245-J245-K245)*Inputs!B33,0)</f>
        <v>7.9546493948932234E-4</v>
      </c>
      <c r="M245">
        <f>MIN(E245*Inputs!B29,E245)</f>
        <v>7.1569612579382494E-4</v>
      </c>
      <c r="N245">
        <f>MIN((E245-M245)*Inputs!B30,E245-M245)</f>
        <v>2.6582998958056358E-4</v>
      </c>
      <c r="O245">
        <f>MIN(F245*Inputs!B31,F245)</f>
        <v>7.9414191554178003E-4</v>
      </c>
      <c r="P245">
        <f>MIN((F245-O245)*Inputs!B34,F245-O245)</f>
        <v>5.0908584235548328E-5</v>
      </c>
      <c r="Q245">
        <f>P245*Inputs!B35</f>
        <v>1.2727146058887082E-5</v>
      </c>
      <c r="R245">
        <f>C245*Inputs!B8/12</f>
        <v>1.1134102251841583E-4</v>
      </c>
      <c r="S245">
        <f t="shared" si="43"/>
        <v>1.1275719877960335E-3</v>
      </c>
      <c r="T245">
        <f t="shared" si="44"/>
        <v>2.4361761493249673E-2</v>
      </c>
      <c r="U245">
        <f t="shared" si="45"/>
        <v>0.23494655172109313</v>
      </c>
      <c r="V245">
        <f t="shared" si="46"/>
        <v>1.8587848978115766E-3</v>
      </c>
      <c r="W245">
        <f t="shared" si="47"/>
        <v>6.0386287859847355E-3</v>
      </c>
      <c r="X245">
        <f t="shared" si="48"/>
        <v>0.24284396540488945</v>
      </c>
      <c r="Y245">
        <f t="shared" si="55"/>
        <v>81618.466687062173</v>
      </c>
      <c r="Z245">
        <f>IF(Inputs!B3&gt;0,(V245+W245)/Inputs!B3,0)</f>
        <v>2.6324712279321039E-11</v>
      </c>
      <c r="AA245">
        <f>IF(OR(Y245/Inputs!B3&gt;=Inputs!B23,Z245&gt;=Inputs!B24),1,0)</f>
        <v>0</v>
      </c>
      <c r="AB245">
        <f t="shared" si="49"/>
        <v>0</v>
      </c>
    </row>
    <row r="246" spans="1:28" x14ac:dyDescent="0.2">
      <c r="A246">
        <v>245</v>
      </c>
      <c r="B246">
        <f t="shared" si="50"/>
        <v>0</v>
      </c>
      <c r="C246">
        <f t="shared" si="51"/>
        <v>0.24284396540488945</v>
      </c>
      <c r="D246">
        <f t="shared" si="52"/>
        <v>0.23494655172109313</v>
      </c>
      <c r="E246">
        <f t="shared" si="53"/>
        <v>1.8587848978115766E-3</v>
      </c>
      <c r="F246">
        <f t="shared" si="54"/>
        <v>6.0386287859847355E-3</v>
      </c>
      <c r="G246">
        <f>MAX(Inputs!B7-A246+1,0)</f>
        <v>56</v>
      </c>
      <c r="H246">
        <f>IF(AND(A246&lt;=Inputs!B7,D246&gt;0),-PMT(Inputs!B6/12,G246,D246),0)</f>
        <v>4.7934943196118705E-3</v>
      </c>
      <c r="I246">
        <f>IF(AND(A246&lt;=Inputs!B7,D246&gt;0),D246*Inputs!B6/12,0)</f>
        <v>1.125785560330238E-3</v>
      </c>
      <c r="J246">
        <f t="shared" si="42"/>
        <v>3.6677087592816328E-3</v>
      </c>
      <c r="K246">
        <f>MAX((D246-J246)*Inputs!B32,0)</f>
        <v>1.850230743694492E-2</v>
      </c>
      <c r="L246">
        <f>MAX((D246-J246-K246)*Inputs!B33,0)</f>
        <v>7.2260043412381882E-4</v>
      </c>
      <c r="M246">
        <f>MIN(E246*Inputs!B29,E246)</f>
        <v>6.5057471423405179E-4</v>
      </c>
      <c r="N246">
        <f>MIN((E246-M246)*Inputs!B30,E246-M246)</f>
        <v>2.4164203671550499E-4</v>
      </c>
      <c r="O246">
        <f>MIN(F246*Inputs!B31,F246)</f>
        <v>7.2463545431816821E-4</v>
      </c>
      <c r="P246">
        <f>MIN((F246-O246)*Inputs!B34,F246-O246)</f>
        <v>4.6452862321281792E-5</v>
      </c>
      <c r="Q246">
        <f>P246*Inputs!B35</f>
        <v>1.1613215580320448E-5</v>
      </c>
      <c r="R246">
        <f>C246*Inputs!B8/12</f>
        <v>1.0118498558537061E-4</v>
      </c>
      <c r="S246">
        <f t="shared" si="43"/>
        <v>1.0246005747448674E-3</v>
      </c>
      <c r="T246">
        <f t="shared" si="44"/>
        <v>2.2204855842967514E-2</v>
      </c>
      <c r="U246">
        <f t="shared" si="45"/>
        <v>0.21342914525929499</v>
      </c>
      <c r="V246">
        <f t="shared" si="46"/>
        <v>1.6891685809858387E-3</v>
      </c>
      <c r="W246">
        <f t="shared" si="47"/>
        <v>5.5091825060607901E-3</v>
      </c>
      <c r="X246">
        <f t="shared" si="48"/>
        <v>0.2206274963463416</v>
      </c>
      <c r="Y246">
        <f t="shared" si="55"/>
        <v>81618.466698675387</v>
      </c>
      <c r="Z246">
        <f>IF(Inputs!B3&gt;0,(V246+W246)/Inputs!B3,0)</f>
        <v>2.3994503623488764E-11</v>
      </c>
      <c r="AA246">
        <f>IF(OR(Y246/Inputs!B3&gt;=Inputs!B23,Z246&gt;=Inputs!B24),1,0)</f>
        <v>0</v>
      </c>
      <c r="AB246">
        <f t="shared" si="49"/>
        <v>0</v>
      </c>
    </row>
    <row r="247" spans="1:28" x14ac:dyDescent="0.2">
      <c r="A247">
        <v>246</v>
      </c>
      <c r="B247">
        <f t="shared" si="50"/>
        <v>0</v>
      </c>
      <c r="C247">
        <f t="shared" si="51"/>
        <v>0.2206274963463416</v>
      </c>
      <c r="D247">
        <f t="shared" si="52"/>
        <v>0.21342914525929499</v>
      </c>
      <c r="E247">
        <f t="shared" si="53"/>
        <v>1.6891685809858387E-3</v>
      </c>
      <c r="F247">
        <f t="shared" si="54"/>
        <v>5.5091825060607901E-3</v>
      </c>
      <c r="G247">
        <f>MAX(Inputs!B7-A247+1,0)</f>
        <v>55</v>
      </c>
      <c r="H247">
        <f>IF(AND(A247&lt;=Inputs!B7,D247&gt;0),-PMT(Inputs!B6/12,G247,D247),0)</f>
        <v>4.423540788851904E-3</v>
      </c>
      <c r="I247">
        <f>IF(AND(A247&lt;=Inputs!B7,D247&gt;0),D247*Inputs!B6/12,0)</f>
        <v>1.0226813210341219E-3</v>
      </c>
      <c r="J247">
        <f t="shared" si="42"/>
        <v>3.4008594678177819E-3</v>
      </c>
      <c r="K247">
        <f>MAX((D247-J247)*Inputs!B32,0)</f>
        <v>1.6802262863318176E-2</v>
      </c>
      <c r="L247">
        <f>MAX((D247-J247-K247)*Inputs!B33,0)</f>
        <v>6.5620585327929204E-4</v>
      </c>
      <c r="M247">
        <f>MIN(E247*Inputs!B29,E247)</f>
        <v>5.9120900334504352E-4</v>
      </c>
      <c r="N247">
        <f>MIN((E247-M247)*Inputs!B30,E247-M247)</f>
        <v>2.1959191552815903E-4</v>
      </c>
      <c r="O247">
        <f>MIN(F247*Inputs!B31,F247)</f>
        <v>6.6110190072729482E-4</v>
      </c>
      <c r="P247">
        <f>MIN((F247-O247)*Inputs!B34,F247-O247)</f>
        <v>4.2380034528835999E-5</v>
      </c>
      <c r="Q247">
        <f>P247*Inputs!B35</f>
        <v>1.0595008632209E-5</v>
      </c>
      <c r="R247">
        <f>C247*Inputs!B8/12</f>
        <v>9.1928123477642341E-5</v>
      </c>
      <c r="S247">
        <f t="shared" si="43"/>
        <v>9.3075319755647962E-4</v>
      </c>
      <c r="T247">
        <f t="shared" si="44"/>
        <v>2.0234907357032584E-2</v>
      </c>
      <c r="U247">
        <f t="shared" si="45"/>
        <v>0.19382212797895207</v>
      </c>
      <c r="V247">
        <f t="shared" si="46"/>
        <v>1.5345735153919282E-3</v>
      </c>
      <c r="W247">
        <f t="shared" si="47"/>
        <v>5.0252924863328184E-3</v>
      </c>
      <c r="X247">
        <f t="shared" si="48"/>
        <v>0.20038199398067683</v>
      </c>
      <c r="Y247">
        <f t="shared" si="55"/>
        <v>81618.466709270389</v>
      </c>
      <c r="Z247">
        <f>IF(Inputs!B3&gt;0,(V247+W247)/Inputs!B3,0)</f>
        <v>2.1866220005749154E-11</v>
      </c>
      <c r="AA247">
        <f>IF(OR(Y247/Inputs!B3&gt;=Inputs!B23,Z247&gt;=Inputs!B24),1,0)</f>
        <v>0</v>
      </c>
      <c r="AB247">
        <f t="shared" si="49"/>
        <v>0</v>
      </c>
    </row>
    <row r="248" spans="1:28" x14ac:dyDescent="0.2">
      <c r="A248">
        <v>247</v>
      </c>
      <c r="B248">
        <f t="shared" si="50"/>
        <v>0</v>
      </c>
      <c r="C248">
        <f t="shared" si="51"/>
        <v>0.20038199398067683</v>
      </c>
      <c r="D248">
        <f t="shared" si="52"/>
        <v>0.19382212797895207</v>
      </c>
      <c r="E248">
        <f t="shared" si="53"/>
        <v>1.5345735153919282E-3</v>
      </c>
      <c r="F248">
        <f t="shared" si="54"/>
        <v>5.0252924863328184E-3</v>
      </c>
      <c r="G248">
        <f>MAX(Inputs!B7-A248+1,0)</f>
        <v>54</v>
      </c>
      <c r="H248">
        <f>IF(AND(A248&lt;=Inputs!B7,D248&gt;0),-PMT(Inputs!B6/12,G248,D248),0)</f>
        <v>4.0822124775526788E-3</v>
      </c>
      <c r="I248">
        <f>IF(AND(A248&lt;=Inputs!B7,D248&gt;0),D248*Inputs!B6/12,0)</f>
        <v>9.2873102989914547E-4</v>
      </c>
      <c r="J248">
        <f t="shared" si="42"/>
        <v>3.1534814476535332E-3</v>
      </c>
      <c r="K248">
        <f>MAX((D248-J248)*Inputs!B32,0)</f>
        <v>1.5253491722503882E-2</v>
      </c>
      <c r="L248">
        <f>MAX((D248-J248-K248)*Inputs!B33,0)</f>
        <v>5.9571919762702594E-4</v>
      </c>
      <c r="M248">
        <f>MIN(E248*Inputs!B29,E248)</f>
        <v>5.3710073038717478E-4</v>
      </c>
      <c r="N248">
        <f>MIN((E248-M248)*Inputs!B30,E248-M248)</f>
        <v>1.9949455700095069E-4</v>
      </c>
      <c r="O248">
        <f>MIN(F248*Inputs!B31,F248)</f>
        <v>6.0303509835993817E-4</v>
      </c>
      <c r="P248">
        <f>MIN((F248-O248)*Inputs!B34,F248-O248)</f>
        <v>3.865765362719224E-5</v>
      </c>
      <c r="Q248">
        <f>P248*Inputs!B35</f>
        <v>9.6644134067980599E-6</v>
      </c>
      <c r="R248">
        <f>C248*Inputs!B8/12</f>
        <v>8.3492497491948685E-5</v>
      </c>
      <c r="S248">
        <f t="shared" si="43"/>
        <v>8.4523853240719678E-4</v>
      </c>
      <c r="T248">
        <f t="shared" si="44"/>
        <v>1.843596641037781E-2</v>
      </c>
      <c r="U248">
        <f t="shared" si="45"/>
        <v>0.17595957143991475</v>
      </c>
      <c r="V248">
        <f t="shared" si="46"/>
        <v>1.3936974256308285E-3</v>
      </c>
      <c r="W248">
        <f t="shared" si="47"/>
        <v>4.583094291346638E-3</v>
      </c>
      <c r="X248">
        <f t="shared" si="48"/>
        <v>0.18193636315689224</v>
      </c>
      <c r="Y248">
        <f t="shared" si="55"/>
        <v>81618.466718934797</v>
      </c>
      <c r="Z248">
        <f>IF(Inputs!B3&gt;0,(V248+W248)/Inputs!B3,0)</f>
        <v>1.9922639056591554E-11</v>
      </c>
      <c r="AA248">
        <f>IF(OR(Y248/Inputs!B3&gt;=Inputs!B23,Z248&gt;=Inputs!B24),1,0)</f>
        <v>0</v>
      </c>
      <c r="AB248">
        <f t="shared" si="49"/>
        <v>0</v>
      </c>
    </row>
    <row r="249" spans="1:28" x14ac:dyDescent="0.2">
      <c r="A249">
        <v>248</v>
      </c>
      <c r="B249">
        <f t="shared" si="50"/>
        <v>0</v>
      </c>
      <c r="C249">
        <f t="shared" si="51"/>
        <v>0.18193636315689224</v>
      </c>
      <c r="D249">
        <f t="shared" si="52"/>
        <v>0.17595957143991475</v>
      </c>
      <c r="E249">
        <f t="shared" si="53"/>
        <v>1.3936974256308285E-3</v>
      </c>
      <c r="F249">
        <f t="shared" si="54"/>
        <v>4.583094291346638E-3</v>
      </c>
      <c r="G249">
        <f>MAX(Inputs!B7-A249+1,0)</f>
        <v>53</v>
      </c>
      <c r="H249">
        <f>IF(AND(A249&lt;=Inputs!B7,D249&gt;0),-PMT(Inputs!B6/12,G249,D249),0)</f>
        <v>3.7672914301561974E-3</v>
      </c>
      <c r="I249">
        <f>IF(AND(A249&lt;=Inputs!B7,D249&gt;0),D249*Inputs!B6/12,0)</f>
        <v>8.4313961314959156E-4</v>
      </c>
      <c r="J249">
        <f t="shared" si="42"/>
        <v>2.9241518170066059E-3</v>
      </c>
      <c r="K249">
        <f>MAX((D249-J249)*Inputs!B32,0)</f>
        <v>1.3842833569832652E-2</v>
      </c>
      <c r="L249">
        <f>MAX((D249-J249-K249)*Inputs!B33,0)</f>
        <v>5.4062649110950582E-4</v>
      </c>
      <c r="M249">
        <f>MIN(E249*Inputs!B29,E249)</f>
        <v>4.8779409897078995E-4</v>
      </c>
      <c r="N249">
        <f>MIN((E249-M249)*Inputs!B30,E249-M249)</f>
        <v>1.8118066533200772E-4</v>
      </c>
      <c r="O249">
        <f>MIN(F249*Inputs!B31,F249)</f>
        <v>5.4997131496159653E-4</v>
      </c>
      <c r="P249">
        <f>MIN((F249-O249)*Inputs!B34,F249-O249)</f>
        <v>3.5255991992006524E-5</v>
      </c>
      <c r="Q249">
        <f>P249*Inputs!B35</f>
        <v>8.8139979980016309E-6</v>
      </c>
      <c r="R249">
        <f>C249*Inputs!B8/12</f>
        <v>7.5806817982038439E-5</v>
      </c>
      <c r="S249">
        <f t="shared" si="43"/>
        <v>7.6733279516755313E-4</v>
      </c>
      <c r="T249">
        <f t="shared" si="44"/>
        <v>1.6793427380833264E-2</v>
      </c>
      <c r="U249">
        <f t="shared" si="45"/>
        <v>0.15968972497589837</v>
      </c>
      <c r="V249">
        <f t="shared" si="46"/>
        <v>1.2653491524375368E-3</v>
      </c>
      <c r="W249">
        <f t="shared" si="47"/>
        <v>4.1790476497250428E-3</v>
      </c>
      <c r="X249">
        <f t="shared" si="48"/>
        <v>0.16513412177806094</v>
      </c>
      <c r="Y249">
        <f t="shared" si="55"/>
        <v>81618.46672774879</v>
      </c>
      <c r="Z249">
        <f>IF(Inputs!B3&gt;0,(V249+W249)/Inputs!B3,0)</f>
        <v>1.8147989340541934E-11</v>
      </c>
      <c r="AA249">
        <f>IF(OR(Y249/Inputs!B3&gt;=Inputs!B23,Z249&gt;=Inputs!B24),1,0)</f>
        <v>0</v>
      </c>
      <c r="AB249">
        <f t="shared" si="49"/>
        <v>0</v>
      </c>
    </row>
    <row r="250" spans="1:28" x14ac:dyDescent="0.2">
      <c r="A250">
        <v>249</v>
      </c>
      <c r="B250">
        <f t="shared" si="50"/>
        <v>0</v>
      </c>
      <c r="C250">
        <f t="shared" si="51"/>
        <v>0.16513412177806094</v>
      </c>
      <c r="D250">
        <f t="shared" si="52"/>
        <v>0.15968972497589837</v>
      </c>
      <c r="E250">
        <f t="shared" si="53"/>
        <v>1.2653491524375368E-3</v>
      </c>
      <c r="F250">
        <f t="shared" si="54"/>
        <v>4.1790476497250428E-3</v>
      </c>
      <c r="G250">
        <f>MAX(Inputs!B7-A250+1,0)</f>
        <v>52</v>
      </c>
      <c r="H250">
        <f>IF(AND(A250&lt;=Inputs!B7,D250&gt;0),-PMT(Inputs!B6/12,G250,D250),0)</f>
        <v>3.4767317217292799E-3</v>
      </c>
      <c r="I250">
        <f>IF(AND(A250&lt;=Inputs!B7,D250&gt;0),D250*Inputs!B6/12,0)</f>
        <v>7.6517993217617962E-4</v>
      </c>
      <c r="J250">
        <f t="shared" si="42"/>
        <v>2.7115517895531004E-3</v>
      </c>
      <c r="K250">
        <f>MAX((D250-J250)*Inputs!B32,0)</f>
        <v>1.2558253854907622E-2</v>
      </c>
      <c r="L250">
        <f>MAX((D250-J250-K250)*Inputs!B33,0)</f>
        <v>4.9045772903294471E-4</v>
      </c>
      <c r="M250">
        <f>MIN(E250*Inputs!B29,E250)</f>
        <v>4.4287220335313785E-4</v>
      </c>
      <c r="N250">
        <f>MIN((E250-M250)*Inputs!B30,E250-M250)</f>
        <v>1.644953898168798E-4</v>
      </c>
      <c r="O250">
        <f>MIN(F250*Inputs!B31,F250)</f>
        <v>5.0148571796700516E-4</v>
      </c>
      <c r="P250">
        <f>MIN((F250-O250)*Inputs!B34,F250-O250)</f>
        <v>3.2147815669231697E-5</v>
      </c>
      <c r="Q250">
        <f>P250*Inputs!B35</f>
        <v>8.0369539173079243E-6</v>
      </c>
      <c r="R250">
        <f>C250*Inputs!B8/12</f>
        <v>6.8805884074192057E-5</v>
      </c>
      <c r="S250">
        <f t="shared" si="43"/>
        <v>6.963740481019876E-4</v>
      </c>
      <c r="T250">
        <f t="shared" si="44"/>
        <v>1.5293916506212646E-2</v>
      </c>
      <c r="U250">
        <f t="shared" si="45"/>
        <v>0.14487381952372488</v>
      </c>
      <c r="V250">
        <f t="shared" si="46"/>
        <v>1.1484392883004638E-3</v>
      </c>
      <c r="W250">
        <f t="shared" si="47"/>
        <v>3.809909505905686E-3</v>
      </c>
      <c r="X250">
        <f t="shared" si="48"/>
        <v>0.14983216831793103</v>
      </c>
      <c r="Y250">
        <f t="shared" si="55"/>
        <v>81618.46673578574</v>
      </c>
      <c r="Z250">
        <f>IF(Inputs!B3&gt;0,(V250+W250)/Inputs!B3,0)</f>
        <v>1.6527829314020499E-11</v>
      </c>
      <c r="AA250">
        <f>IF(OR(Y250/Inputs!B3&gt;=Inputs!B23,Z250&gt;=Inputs!B24),1,0)</f>
        <v>0</v>
      </c>
      <c r="AB250">
        <f t="shared" si="49"/>
        <v>0</v>
      </c>
    </row>
    <row r="251" spans="1:28" x14ac:dyDescent="0.2">
      <c r="A251">
        <v>250</v>
      </c>
      <c r="B251">
        <f t="shared" si="50"/>
        <v>0</v>
      </c>
      <c r="C251">
        <f t="shared" si="51"/>
        <v>0.14983216831793103</v>
      </c>
      <c r="D251">
        <f t="shared" si="52"/>
        <v>0.14487381952372488</v>
      </c>
      <c r="E251">
        <f t="shared" si="53"/>
        <v>1.1484392883004638E-3</v>
      </c>
      <c r="F251">
        <f t="shared" si="54"/>
        <v>3.809909505905686E-3</v>
      </c>
      <c r="G251">
        <f>MAX(Inputs!B7-A251+1,0)</f>
        <v>51</v>
      </c>
      <c r="H251">
        <f>IF(AND(A251&lt;=Inputs!B7,D251&gt;0),-PMT(Inputs!B6/12,G251,D251),0)</f>
        <v>3.2086461051390944E-3</v>
      </c>
      <c r="I251">
        <f>IF(AND(A251&lt;=Inputs!B7,D251&gt;0),D251*Inputs!B6/12,0)</f>
        <v>6.941870518845151E-4</v>
      </c>
      <c r="J251">
        <f t="shared" si="42"/>
        <v>2.5144590532545793E-3</v>
      </c>
      <c r="K251">
        <f>MAX((D251-J251)*Inputs!B32,0)</f>
        <v>1.1388748837637623E-2</v>
      </c>
      <c r="L251">
        <f>MAX((D251-J251-K251)*Inputs!B33,0)</f>
        <v>4.4478316459987065E-4</v>
      </c>
      <c r="M251">
        <f>MIN(E251*Inputs!B29,E251)</f>
        <v>4.019537509051623E-4</v>
      </c>
      <c r="N251">
        <f>MIN((E251-M251)*Inputs!B30,E251-M251)</f>
        <v>1.4929710747906032E-4</v>
      </c>
      <c r="O251">
        <f>MIN(F251*Inputs!B31,F251)</f>
        <v>4.5718914070868233E-4</v>
      </c>
      <c r="P251">
        <f>MIN((F251-O251)*Inputs!B34,F251-O251)</f>
        <v>2.9308177072440919E-5</v>
      </c>
      <c r="Q251">
        <f>P251*Inputs!B35</f>
        <v>7.3270442681102299E-6</v>
      </c>
      <c r="R251">
        <f>C251*Inputs!B8/12</f>
        <v>6.2430070132471266E-5</v>
      </c>
      <c r="S251">
        <f t="shared" si="43"/>
        <v>6.3175698175204384E-4</v>
      </c>
      <c r="T251">
        <f t="shared" si="44"/>
        <v>1.3925189023696534E-2</v>
      </c>
      <c r="U251">
        <f t="shared" si="45"/>
        <v>0.13138497135984664</v>
      </c>
      <c r="V251">
        <f t="shared" si="46"/>
        <v>1.0419715945161117E-3</v>
      </c>
      <c r="W251">
        <f t="shared" si="47"/>
        <v>3.4727092956036232E-3</v>
      </c>
      <c r="X251">
        <f t="shared" si="48"/>
        <v>0.13589965224996636</v>
      </c>
      <c r="Y251">
        <f t="shared" si="55"/>
        <v>81618.466743112789</v>
      </c>
      <c r="Z251">
        <f>IF(Inputs!B3&gt;0,(V251+W251)/Inputs!B3,0)</f>
        <v>1.5048936300399117E-11</v>
      </c>
      <c r="AA251">
        <f>IF(OR(Y251/Inputs!B3&gt;=Inputs!B23,Z251&gt;=Inputs!B24),1,0)</f>
        <v>0</v>
      </c>
      <c r="AB251">
        <f t="shared" si="49"/>
        <v>0</v>
      </c>
    </row>
    <row r="252" spans="1:28" x14ac:dyDescent="0.2">
      <c r="A252">
        <v>251</v>
      </c>
      <c r="B252">
        <f t="shared" si="50"/>
        <v>0</v>
      </c>
      <c r="C252">
        <f t="shared" si="51"/>
        <v>0.13589965224996636</v>
      </c>
      <c r="D252">
        <f t="shared" si="52"/>
        <v>0.13138497135984664</v>
      </c>
      <c r="E252">
        <f t="shared" si="53"/>
        <v>1.0419715945161117E-3</v>
      </c>
      <c r="F252">
        <f t="shared" si="54"/>
        <v>3.4727092956036232E-3</v>
      </c>
      <c r="G252">
        <f>MAX(Inputs!B7-A252+1,0)</f>
        <v>50</v>
      </c>
      <c r="H252">
        <f>IF(AND(A252&lt;=Inputs!B7,D252&gt;0),-PMT(Inputs!B6/12,G252,D252),0)</f>
        <v>2.9612936952960636E-3</v>
      </c>
      <c r="I252">
        <f>IF(AND(A252&lt;=Inputs!B7,D252&gt;0),D252*Inputs!B6/12,0)</f>
        <v>6.2955298776593189E-4</v>
      </c>
      <c r="J252">
        <f t="shared" si="42"/>
        <v>2.3317407075301318E-3</v>
      </c>
      <c r="K252">
        <f>MAX((D252-J252)*Inputs!B32,0)</f>
        <v>1.032425845218532E-2</v>
      </c>
      <c r="L252">
        <f>MAX((D252-J252-K252)*Inputs!B33,0)</f>
        <v>4.0320990584444944E-4</v>
      </c>
      <c r="M252">
        <f>MIN(E252*Inputs!B29,E252)</f>
        <v>3.6469005808063907E-4</v>
      </c>
      <c r="N252">
        <f>MIN((E252-M252)*Inputs!B30,E252-M252)</f>
        <v>1.3545630728709456E-4</v>
      </c>
      <c r="O252">
        <f>MIN(F252*Inputs!B31,F252)</f>
        <v>4.1672511547243479E-4</v>
      </c>
      <c r="P252">
        <f>MIN((F252-O252)*Inputs!B34,F252-O252)</f>
        <v>2.6714224786414677E-5</v>
      </c>
      <c r="Q252">
        <f>P252*Inputs!B35</f>
        <v>6.6785561966036692E-6</v>
      </c>
      <c r="R252">
        <f>C252*Inputs!B8/12</f>
        <v>5.6624855104152653E-5</v>
      </c>
      <c r="S252">
        <f t="shared" si="43"/>
        <v>5.7292813266177924E-4</v>
      </c>
      <c r="T252">
        <f t="shared" si="44"/>
        <v>1.2676034828305262E-2</v>
      </c>
      <c r="U252">
        <f t="shared" si="45"/>
        <v>0.1191071774678398</v>
      </c>
      <c r="V252">
        <f t="shared" si="46"/>
        <v>9.4503513499282757E-4</v>
      </c>
      <c r="W252">
        <f t="shared" si="47"/>
        <v>3.1647262626318686E-3</v>
      </c>
      <c r="X252">
        <f t="shared" si="48"/>
        <v>0.1232169388654645</v>
      </c>
      <c r="Y252">
        <f t="shared" si="55"/>
        <v>81618.466749791347</v>
      </c>
      <c r="Z252">
        <f>IF(Inputs!B3&gt;0,(V252+W252)/Inputs!B3,0)</f>
        <v>1.3699204658748987E-11</v>
      </c>
      <c r="AA252">
        <f>IF(OR(Y252/Inputs!B3&gt;=Inputs!B23,Z252&gt;=Inputs!B24),1,0)</f>
        <v>0</v>
      </c>
      <c r="AB252">
        <f t="shared" si="49"/>
        <v>0</v>
      </c>
    </row>
    <row r="253" spans="1:28" x14ac:dyDescent="0.2">
      <c r="A253">
        <v>252</v>
      </c>
      <c r="B253">
        <f t="shared" si="50"/>
        <v>0</v>
      </c>
      <c r="C253">
        <f t="shared" si="51"/>
        <v>0.1232169388654645</v>
      </c>
      <c r="D253">
        <f t="shared" si="52"/>
        <v>0.1191071774678398</v>
      </c>
      <c r="E253">
        <f t="shared" si="53"/>
        <v>9.4503513499282757E-4</v>
      </c>
      <c r="F253">
        <f t="shared" si="54"/>
        <v>3.1647262626318686E-3</v>
      </c>
      <c r="G253">
        <f>MAX(Inputs!B7-A253+1,0)</f>
        <v>49</v>
      </c>
      <c r="H253">
        <f>IF(AND(A253&lt;=Inputs!B7,D253&gt;0),-PMT(Inputs!B6/12,G253,D253),0)</f>
        <v>2.7330686098844459E-3</v>
      </c>
      <c r="I253">
        <f>IF(AND(A253&lt;=Inputs!B7,D253&gt;0),D253*Inputs!B6/12,0)</f>
        <v>5.7072189203339902E-4</v>
      </c>
      <c r="J253">
        <f t="shared" si="42"/>
        <v>2.1623467178510467E-3</v>
      </c>
      <c r="K253">
        <f>MAX((D253-J253)*Inputs!B32,0)</f>
        <v>9.3555864599991004E-3</v>
      </c>
      <c r="L253">
        <f>MAX((D253-J253-K253)*Inputs!B33,0)</f>
        <v>3.6537879724014204E-4</v>
      </c>
      <c r="M253">
        <f>MIN(E253*Inputs!B29,E253)</f>
        <v>3.307622972474896E-4</v>
      </c>
      <c r="N253">
        <f>MIN((E253-M253)*Inputs!B30,E253-M253)</f>
        <v>1.228545675490676E-4</v>
      </c>
      <c r="O253">
        <f>MIN(F253*Inputs!B31,F253)</f>
        <v>3.7976715151582423E-4</v>
      </c>
      <c r="P253">
        <f>MIN((F253-O253)*Inputs!B34,F253-O253)</f>
        <v>2.4345029074114455E-5</v>
      </c>
      <c r="Q253">
        <f>P253*Inputs!B35</f>
        <v>6.0862572685286138E-6</v>
      </c>
      <c r="R253">
        <f>C253*Inputs!B8/12</f>
        <v>5.1340391193943544E-5</v>
      </c>
      <c r="S253">
        <f t="shared" si="43"/>
        <v>5.1938150083945549E-4</v>
      </c>
      <c r="T253">
        <f t="shared" si="44"/>
        <v>1.1536191949655734E-2</v>
      </c>
      <c r="U253">
        <f t="shared" si="45"/>
        <v>0.10793439494151282</v>
      </c>
      <c r="V253">
        <f t="shared" si="46"/>
        <v>8.5679706743641243E-4</v>
      </c>
      <c r="W253">
        <f t="shared" si="47"/>
        <v>2.8834686495909975E-3</v>
      </c>
      <c r="X253">
        <f t="shared" si="48"/>
        <v>0.11167466065854022</v>
      </c>
      <c r="Y253">
        <f t="shared" si="55"/>
        <v>81618.466755877598</v>
      </c>
      <c r="Z253">
        <f>IF(Inputs!B3&gt;0,(V253+W253)/Inputs!B3,0)</f>
        <v>1.2467552390091367E-11</v>
      </c>
      <c r="AA253">
        <f>IF(OR(Y253/Inputs!B3&gt;=Inputs!B23,Z253&gt;=Inputs!B24),1,0)</f>
        <v>0</v>
      </c>
      <c r="AB253">
        <f t="shared" si="49"/>
        <v>0</v>
      </c>
    </row>
    <row r="254" spans="1:28" x14ac:dyDescent="0.2">
      <c r="A254">
        <v>253</v>
      </c>
      <c r="B254">
        <f t="shared" si="50"/>
        <v>0</v>
      </c>
      <c r="C254">
        <f t="shared" si="51"/>
        <v>0.11167466065854022</v>
      </c>
      <c r="D254">
        <f t="shared" si="52"/>
        <v>0.10793439494151282</v>
      </c>
      <c r="E254">
        <f t="shared" si="53"/>
        <v>8.5679706743641243E-4</v>
      </c>
      <c r="F254">
        <f t="shared" si="54"/>
        <v>2.8834686495909975E-3</v>
      </c>
      <c r="G254">
        <f>MAX(Inputs!B7-A254+1,0)</f>
        <v>48</v>
      </c>
      <c r="H254">
        <f>IF(AND(A254&lt;=Inputs!B7,D254&gt;0),-PMT(Inputs!B6/12,G254,D254),0)</f>
        <v>2.5224894922646892E-3</v>
      </c>
      <c r="I254">
        <f>IF(AND(A254&lt;=Inputs!B7,D254&gt;0),D254*Inputs!B6/12,0)</f>
        <v>5.1718564242808228E-4</v>
      </c>
      <c r="J254">
        <f t="shared" si="42"/>
        <v>2.0053038498366068E-3</v>
      </c>
      <c r="K254">
        <f>MAX((D254-J254)*Inputs!B32,0)</f>
        <v>8.4743272873340977E-3</v>
      </c>
      <c r="L254">
        <f>MAX((D254-J254-K254)*Inputs!B33,0)</f>
        <v>3.3096156236749123E-4</v>
      </c>
      <c r="M254">
        <f>MIN(E254*Inputs!B29,E254)</f>
        <v>2.9987897360274433E-4</v>
      </c>
      <c r="N254">
        <f>MIN((E254-M254)*Inputs!B30,E254-M254)</f>
        <v>1.1138361876673361E-4</v>
      </c>
      <c r="O254">
        <f>MIN(F254*Inputs!B31,F254)</f>
        <v>3.460162379509197E-4</v>
      </c>
      <c r="P254">
        <f>MIN((F254-O254)*Inputs!B34,F254-O254)</f>
        <v>2.2181421798614519E-5</v>
      </c>
      <c r="Q254">
        <f>P254*Inputs!B35</f>
        <v>5.5453554496536299E-6</v>
      </c>
      <c r="R254">
        <f>C254*Inputs!B8/12</f>
        <v>4.6531108607725094E-5</v>
      </c>
      <c r="S254">
        <f t="shared" si="43"/>
        <v>4.706545338203572E-4</v>
      </c>
      <c r="T254">
        <f t="shared" si="44"/>
        <v>1.0496267203519666E-2</v>
      </c>
      <c r="U254">
        <f t="shared" si="45"/>
        <v>9.7769697453528287E-2</v>
      </c>
      <c r="V254">
        <f t="shared" si="46"/>
        <v>7.7649603743442568E-4</v>
      </c>
      <c r="W254">
        <f t="shared" si="47"/>
        <v>2.6266546086081968E-3</v>
      </c>
      <c r="X254">
        <f t="shared" si="48"/>
        <v>0.10117284809957092</v>
      </c>
      <c r="Y254">
        <f t="shared" si="55"/>
        <v>81618.466761422955</v>
      </c>
      <c r="Z254">
        <f>IF(Inputs!B3&gt;0,(V254+W254)/Inputs!B3,0)</f>
        <v>1.1343835486808741E-11</v>
      </c>
      <c r="AA254">
        <f>IF(OR(Y254/Inputs!B3&gt;=Inputs!B23,Z254&gt;=Inputs!B24),1,0)</f>
        <v>0</v>
      </c>
      <c r="AB254">
        <f t="shared" si="49"/>
        <v>0</v>
      </c>
    </row>
    <row r="255" spans="1:28" x14ac:dyDescent="0.2">
      <c r="A255">
        <v>254</v>
      </c>
      <c r="B255">
        <f t="shared" si="50"/>
        <v>0</v>
      </c>
      <c r="C255">
        <f t="shared" si="51"/>
        <v>0.10117284809957092</v>
      </c>
      <c r="D255">
        <f t="shared" si="52"/>
        <v>9.7769697453528287E-2</v>
      </c>
      <c r="E255">
        <f t="shared" si="53"/>
        <v>7.7649603743442568E-4</v>
      </c>
      <c r="F255">
        <f t="shared" si="54"/>
        <v>2.6266546086081968E-3</v>
      </c>
      <c r="G255">
        <f>MAX(Inputs!B7-A255+1,0)</f>
        <v>47</v>
      </c>
      <c r="H255">
        <f>IF(AND(A255&lt;=Inputs!B7,D255&gt;0),-PMT(Inputs!B6/12,G255,D255),0)</f>
        <v>2.3281898480086382E-3</v>
      </c>
      <c r="I255">
        <f>IF(AND(A255&lt;=Inputs!B7,D255&gt;0),D255*Inputs!B6/12,0)</f>
        <v>4.6847980029815641E-4</v>
      </c>
      <c r="J255">
        <f t="shared" si="42"/>
        <v>1.8597100477104817E-3</v>
      </c>
      <c r="K255">
        <f>MAX((D255-J255)*Inputs!B32,0)</f>
        <v>7.6727989924654247E-3</v>
      </c>
      <c r="L255">
        <f>MAX((D255-J255-K255)*Inputs!B33,0)</f>
        <v>2.9965818597465675E-4</v>
      </c>
      <c r="M255">
        <f>MIN(E255*Inputs!B29,E255)</f>
        <v>2.7177361310204895E-4</v>
      </c>
      <c r="N255">
        <f>MIN((E255-M255)*Inputs!B30,E255-M255)</f>
        <v>1.0094448486647535E-4</v>
      </c>
      <c r="O255">
        <f>MIN(F255*Inputs!B31,F255)</f>
        <v>3.151985530329836E-4</v>
      </c>
      <c r="P255">
        <f>MIN((F255-O255)*Inputs!B34,F255-O255)</f>
        <v>2.0205849576716358E-5</v>
      </c>
      <c r="Q255">
        <f>P255*Inputs!B35</f>
        <v>5.0514623941790894E-6</v>
      </c>
      <c r="R255">
        <f>C255*Inputs!B8/12</f>
        <v>4.2155353374821211E-5</v>
      </c>
      <c r="S255">
        <f t="shared" si="43"/>
        <v>4.2632444692333521E-4</v>
      </c>
      <c r="T255">
        <f t="shared" si="44"/>
        <v>9.5476634273584434E-3</v>
      </c>
      <c r="U255">
        <f t="shared" si="45"/>
        <v>8.8524502393512755E-2</v>
      </c>
      <c r="V255">
        <f t="shared" si="46"/>
        <v>7.0343612544055811E-4</v>
      </c>
      <c r="W255">
        <f t="shared" si="47"/>
        <v>2.3921946908649723E-3</v>
      </c>
      <c r="X255">
        <f t="shared" si="48"/>
        <v>9.1620133209818294E-2</v>
      </c>
      <c r="Y255">
        <f t="shared" si="55"/>
        <v>81618.466766474419</v>
      </c>
      <c r="Z255">
        <f>IF(Inputs!B3&gt;0,(V255+W255)/Inputs!B3,0)</f>
        <v>1.0318769387685102E-11</v>
      </c>
      <c r="AA255">
        <f>IF(OR(Y255/Inputs!B3&gt;=Inputs!B23,Z255&gt;=Inputs!B24),1,0)</f>
        <v>0</v>
      </c>
      <c r="AB255">
        <f t="shared" si="49"/>
        <v>0</v>
      </c>
    </row>
    <row r="256" spans="1:28" x14ac:dyDescent="0.2">
      <c r="A256">
        <v>255</v>
      </c>
      <c r="B256">
        <f t="shared" si="50"/>
        <v>0</v>
      </c>
      <c r="C256">
        <f t="shared" si="51"/>
        <v>9.1620133209818294E-2</v>
      </c>
      <c r="D256">
        <f t="shared" si="52"/>
        <v>8.8524502393512755E-2</v>
      </c>
      <c r="E256">
        <f t="shared" si="53"/>
        <v>7.0343612544055811E-4</v>
      </c>
      <c r="F256">
        <f t="shared" si="54"/>
        <v>2.3921946908649723E-3</v>
      </c>
      <c r="G256">
        <f>MAX(Inputs!B7-A256+1,0)</f>
        <v>46</v>
      </c>
      <c r="H256">
        <f>IF(AND(A256&lt;=Inputs!B7,D256&gt;0),-PMT(Inputs!B6/12,G256,D256),0)</f>
        <v>2.1489091318563857E-3</v>
      </c>
      <c r="I256">
        <f>IF(AND(A256&lt;=Inputs!B7,D256&gt;0),D256*Inputs!B6/12,0)</f>
        <v>4.2417990730224858E-4</v>
      </c>
      <c r="J256">
        <f t="shared" si="42"/>
        <v>1.7247292245541372E-3</v>
      </c>
      <c r="K256">
        <f>MAX((D256-J256)*Inputs!B32,0)</f>
        <v>6.9439818535166897E-3</v>
      </c>
      <c r="L256">
        <f>MAX((D256-J256-K256)*Inputs!B33,0)</f>
        <v>2.7119451554889962E-4</v>
      </c>
      <c r="M256">
        <f>MIN(E256*Inputs!B29,E256)</f>
        <v>2.4620264390419532E-4</v>
      </c>
      <c r="N256">
        <f>MIN((E256-M256)*Inputs!B30,E256-M256)</f>
        <v>9.1446696307272561E-5</v>
      </c>
      <c r="O256">
        <f>MIN(F256*Inputs!B31,F256)</f>
        <v>2.8706336290379664E-4</v>
      </c>
      <c r="P256">
        <f>MIN((F256-O256)*Inputs!B34,F256-O256)</f>
        <v>1.8402239077580671E-5</v>
      </c>
      <c r="Q256">
        <f>P256*Inputs!B35</f>
        <v>4.6005597693951677E-6</v>
      </c>
      <c r="R256">
        <f>C256*Inputs!B8/12</f>
        <v>3.817505550409096E-5</v>
      </c>
      <c r="S256">
        <f t="shared" si="43"/>
        <v>3.8600485179815763E-4</v>
      </c>
      <c r="T256">
        <f t="shared" si="44"/>
        <v>8.6825127573790135E-3</v>
      </c>
      <c r="U256">
        <f t="shared" si="45"/>
        <v>8.0117862806701023E-2</v>
      </c>
      <c r="V256">
        <f t="shared" si="46"/>
        <v>6.3698130077798987E-4</v>
      </c>
      <c r="W256">
        <f t="shared" si="47"/>
        <v>2.1781757851908677E-3</v>
      </c>
      <c r="X256">
        <f t="shared" si="48"/>
        <v>8.2933019892669879E-2</v>
      </c>
      <c r="Y256">
        <f t="shared" si="55"/>
        <v>81618.466771074978</v>
      </c>
      <c r="Z256">
        <f>IF(Inputs!B3&gt;0,(V256+W256)/Inputs!B3,0)</f>
        <v>9.3838569532295242E-12</v>
      </c>
      <c r="AA256">
        <f>IF(OR(Y256/Inputs!B3&gt;=Inputs!B23,Z256&gt;=Inputs!B24),1,0)</f>
        <v>0</v>
      </c>
      <c r="AB256">
        <f t="shared" si="49"/>
        <v>0</v>
      </c>
    </row>
    <row r="257" spans="1:28" x14ac:dyDescent="0.2">
      <c r="A257">
        <v>256</v>
      </c>
      <c r="B257">
        <f t="shared" si="50"/>
        <v>0</v>
      </c>
      <c r="C257">
        <f t="shared" si="51"/>
        <v>8.2933019892669879E-2</v>
      </c>
      <c r="D257">
        <f t="shared" si="52"/>
        <v>8.0117862806701023E-2</v>
      </c>
      <c r="E257">
        <f t="shared" si="53"/>
        <v>6.3698130077798987E-4</v>
      </c>
      <c r="F257">
        <f t="shared" si="54"/>
        <v>2.1781757851908677E-3</v>
      </c>
      <c r="G257">
        <f>MAX(Inputs!B7-A257+1,0)</f>
        <v>45</v>
      </c>
      <c r="H257">
        <f>IF(AND(A257&lt;=Inputs!B7,D257&gt;0),-PMT(Inputs!B6/12,G257,D257),0)</f>
        <v>1.9834845267972085E-3</v>
      </c>
      <c r="I257">
        <f>IF(AND(A257&lt;=Inputs!B7,D257&gt;0),D257*Inputs!B6/12,0)</f>
        <v>3.8389809261544242E-4</v>
      </c>
      <c r="J257">
        <f t="shared" si="42"/>
        <v>1.5995864341817661E-3</v>
      </c>
      <c r="K257">
        <f>MAX((D257-J257)*Inputs!B32,0)</f>
        <v>6.2814621098015409E-3</v>
      </c>
      <c r="L257">
        <f>MAX((D257-J257-K257)*Inputs!B33,0)</f>
        <v>2.4532006415651608E-4</v>
      </c>
      <c r="M257">
        <f>MIN(E257*Inputs!B29,E257)</f>
        <v>2.2294345527229645E-4</v>
      </c>
      <c r="N257">
        <f>MIN((E257-M257)*Inputs!B30,E257-M257)</f>
        <v>8.2807569101138687E-5</v>
      </c>
      <c r="O257">
        <f>MIN(F257*Inputs!B31,F257)</f>
        <v>2.6138109422290409E-4</v>
      </c>
      <c r="P257">
        <f>MIN((F257-O257)*Inputs!B34,F257-O257)</f>
        <v>1.6755873468470067E-5</v>
      </c>
      <c r="Q257">
        <f>P257*Inputs!B35</f>
        <v>4.1889683671175167E-6</v>
      </c>
      <c r="R257">
        <f>C257*Inputs!B8/12</f>
        <v>3.4555424955279113E-5</v>
      </c>
      <c r="S257">
        <f t="shared" si="43"/>
        <v>3.4934266766016331E-4</v>
      </c>
      <c r="T257">
        <f t="shared" si="44"/>
        <v>7.8936154490846597E-3</v>
      </c>
      <c r="U257">
        <f t="shared" si="45"/>
        <v>7.2475818748056392E-2</v>
      </c>
      <c r="V257">
        <f t="shared" si="46"/>
        <v>5.7655034056107077E-4</v>
      </c>
      <c r="W257">
        <f t="shared" si="47"/>
        <v>1.9828463866006325E-3</v>
      </c>
      <c r="X257">
        <f t="shared" si="48"/>
        <v>7.5035215475218103E-2</v>
      </c>
      <c r="Y257">
        <f t="shared" si="55"/>
        <v>81618.466775263951</v>
      </c>
      <c r="Z257">
        <f>IF(Inputs!B3&gt;0,(V257+W257)/Inputs!B3,0)</f>
        <v>8.5313224238723446E-12</v>
      </c>
      <c r="AA257">
        <f>IF(OR(Y257/Inputs!B3&gt;=Inputs!B23,Z257&gt;=Inputs!B24),1,0)</f>
        <v>0</v>
      </c>
      <c r="AB257">
        <f t="shared" si="49"/>
        <v>0</v>
      </c>
    </row>
    <row r="258" spans="1:28" x14ac:dyDescent="0.2">
      <c r="A258">
        <v>257</v>
      </c>
      <c r="B258">
        <f t="shared" si="50"/>
        <v>0</v>
      </c>
      <c r="C258">
        <f t="shared" si="51"/>
        <v>7.5035215475218103E-2</v>
      </c>
      <c r="D258">
        <f t="shared" si="52"/>
        <v>7.2475818748056392E-2</v>
      </c>
      <c r="E258">
        <f t="shared" si="53"/>
        <v>5.7655034056107077E-4</v>
      </c>
      <c r="F258">
        <f t="shared" si="54"/>
        <v>1.9828463866006325E-3</v>
      </c>
      <c r="G258">
        <f>MAX(Inputs!B7-A258+1,0)</f>
        <v>44</v>
      </c>
      <c r="H258">
        <f>IF(AND(A258&lt;=Inputs!B7,D258&gt;0),-PMT(Inputs!B6/12,G258,D258),0)</f>
        <v>1.8308433615086565E-3</v>
      </c>
      <c r="I258">
        <f>IF(AND(A258&lt;=Inputs!B7,D258&gt;0),D258*Inputs!B6/12,0)</f>
        <v>3.4727996483443693E-4</v>
      </c>
      <c r="J258">
        <f t="shared" ref="J258:J321" si="56">MAX(H258-I258,0)</f>
        <v>1.4835633966742195E-3</v>
      </c>
      <c r="K258">
        <f>MAX((D258-J258)*Inputs!B32,0)</f>
        <v>5.6793804281105743E-3</v>
      </c>
      <c r="L258">
        <f>MAX((D258-J258-K258)*Inputs!B33,0)</f>
        <v>2.2180599781367895E-4</v>
      </c>
      <c r="M258">
        <f>MIN(E258*Inputs!B29,E258)</f>
        <v>2.0179261919637477E-4</v>
      </c>
      <c r="N258">
        <f>MIN((E258-M258)*Inputs!B30,E258-M258)</f>
        <v>7.4951544272939212E-5</v>
      </c>
      <c r="O258">
        <f>MIN(F258*Inputs!B31,F258)</f>
        <v>2.379415663920759E-4</v>
      </c>
      <c r="P258">
        <f>MIN((F258-O258)*Inputs!B34,F258-O258)</f>
        <v>1.5253279091238233E-5</v>
      </c>
      <c r="Q258">
        <f>P258*Inputs!B35</f>
        <v>3.8133197728095582E-6</v>
      </c>
      <c r="R258">
        <f>C258*Inputs!B8/12</f>
        <v>3.1264673114674212E-5</v>
      </c>
      <c r="S258">
        <f t="shared" ref="S258:S321" si="57">MAX(I258-R258,0)</f>
        <v>3.1601529171976271E-4</v>
      </c>
      <c r="T258">
        <f t="shared" ref="T258:T321" si="58">MAX(J258+K258+P258-Q258,0)</f>
        <v>7.1743837841032228E-3</v>
      </c>
      <c r="U258">
        <f t="shared" ref="U258:U321" si="59">MAX(D258-J258-K258-L258+M258+O258,0)</f>
        <v>6.5530803111046379E-2</v>
      </c>
      <c r="V258">
        <f t="shared" ref="V258:V321" si="60">MAX(E258-M258-N258+L258,0)</f>
        <v>5.216121749054358E-4</v>
      </c>
      <c r="W258">
        <f t="shared" ref="W258:W321" si="61">MAX(F258-O258-P258+N258,0)</f>
        <v>1.8046030853902577E-3</v>
      </c>
      <c r="X258">
        <f t="shared" ref="X258:X321" si="62">U258+V258+W258</f>
        <v>6.7857018371342073E-2</v>
      </c>
      <c r="Y258">
        <f t="shared" si="55"/>
        <v>81618.466779077266</v>
      </c>
      <c r="Z258">
        <f>IF(Inputs!B3&gt;0,(V258+W258)/Inputs!B3,0)</f>
        <v>7.7540508676523119E-12</v>
      </c>
      <c r="AA258">
        <f>IF(OR(Y258/Inputs!B3&gt;=Inputs!B23,Z258&gt;=Inputs!B24),1,0)</f>
        <v>0</v>
      </c>
      <c r="AB258">
        <f t="shared" ref="AB258:AB321" si="63">MAX(C258-J258-K258-P258,0)-X258</f>
        <v>0</v>
      </c>
    </row>
    <row r="259" spans="1:28" x14ac:dyDescent="0.2">
      <c r="A259">
        <v>258</v>
      </c>
      <c r="B259">
        <f t="shared" ref="B259:B322" si="64">MAX(B258,AA259)</f>
        <v>0</v>
      </c>
      <c r="C259">
        <f t="shared" ref="C259:C322" si="65">X258</f>
        <v>6.7857018371342073E-2</v>
      </c>
      <c r="D259">
        <f t="shared" ref="D259:D322" si="66">U258</f>
        <v>6.5530803111046379E-2</v>
      </c>
      <c r="E259">
        <f t="shared" ref="E259:E322" si="67">V258</f>
        <v>5.216121749054358E-4</v>
      </c>
      <c r="F259">
        <f t="shared" ref="F259:F322" si="68">W258</f>
        <v>1.8046030853902577E-3</v>
      </c>
      <c r="G259">
        <f>MAX(Inputs!B7-A259+1,0)</f>
        <v>43</v>
      </c>
      <c r="H259">
        <f>IF(AND(A259&lt;=Inputs!B7,D259&gt;0),-PMT(Inputs!B6/12,G259,D259),0)</f>
        <v>1.6899961165673012E-3</v>
      </c>
      <c r="I259">
        <f>IF(AND(A259&lt;=Inputs!B7,D259&gt;0),D259*Inputs!B6/12,0)</f>
        <v>3.1400176490709725E-4</v>
      </c>
      <c r="J259">
        <f t="shared" si="56"/>
        <v>1.375994351660204E-3</v>
      </c>
      <c r="K259">
        <f>MAX((D259-J259)*Inputs!B32,0)</f>
        <v>5.1323847007508942E-3</v>
      </c>
      <c r="L259">
        <f>MAX((D259-J259-K259)*Inputs!B33,0)</f>
        <v>2.0044329203219705E-4</v>
      </c>
      <c r="M259">
        <f>MIN(E259*Inputs!B29,E259)</f>
        <v>1.8256426121690251E-4</v>
      </c>
      <c r="N259">
        <f>MIN((E259-M259)*Inputs!B30,E259-M259)</f>
        <v>6.7809582737706655E-5</v>
      </c>
      <c r="O259">
        <f>MIN(F259*Inputs!B31,F259)</f>
        <v>2.1655237024683093E-4</v>
      </c>
      <c r="P259">
        <f>MIN((F259-O259)*Inputs!B34,F259-O259)</f>
        <v>1.3882121528111742E-5</v>
      </c>
      <c r="Q259">
        <f>P259*Inputs!B35</f>
        <v>3.4705303820279355E-6</v>
      </c>
      <c r="R259">
        <f>C259*Inputs!B8/12</f>
        <v>2.8273757654725866E-5</v>
      </c>
      <c r="S259">
        <f t="shared" si="57"/>
        <v>2.8572800725237141E-4</v>
      </c>
      <c r="T259">
        <f t="shared" si="58"/>
        <v>6.5187906435571824E-3</v>
      </c>
      <c r="U259">
        <f t="shared" si="59"/>
        <v>5.9221097398066816E-2</v>
      </c>
      <c r="V259">
        <f t="shared" si="60"/>
        <v>4.7168162298302367E-4</v>
      </c>
      <c r="W259">
        <f t="shared" si="61"/>
        <v>1.6419781763530217E-3</v>
      </c>
      <c r="X259">
        <f t="shared" si="62"/>
        <v>6.1334757197402862E-2</v>
      </c>
      <c r="Y259">
        <f t="shared" ref="Y259:Y322" si="69">Y258+Q259</f>
        <v>81618.466782547795</v>
      </c>
      <c r="Z259">
        <f>IF(Inputs!B3&gt;0,(V259+W259)/Inputs!B3,0)</f>
        <v>7.045532664453484E-12</v>
      </c>
      <c r="AA259">
        <f>IF(OR(Y259/Inputs!B3&gt;=Inputs!B23,Z259&gt;=Inputs!B24),1,0)</f>
        <v>0</v>
      </c>
      <c r="AB259">
        <f t="shared" si="63"/>
        <v>0</v>
      </c>
    </row>
    <row r="260" spans="1:28" x14ac:dyDescent="0.2">
      <c r="A260">
        <v>259</v>
      </c>
      <c r="B260">
        <f t="shared" si="64"/>
        <v>0</v>
      </c>
      <c r="C260">
        <f t="shared" si="65"/>
        <v>6.1334757197402862E-2</v>
      </c>
      <c r="D260">
        <f t="shared" si="66"/>
        <v>5.9221097398066816E-2</v>
      </c>
      <c r="E260">
        <f t="shared" si="67"/>
        <v>4.7168162298302367E-4</v>
      </c>
      <c r="F260">
        <f t="shared" si="68"/>
        <v>1.6419781763530217E-3</v>
      </c>
      <c r="G260">
        <f>MAX(Inputs!B7-A260+1,0)</f>
        <v>42</v>
      </c>
      <c r="H260">
        <f>IF(AND(A260&lt;=Inputs!B7,D260&gt;0),-PMT(Inputs!B6/12,G260,D260),0)</f>
        <v>1.5600299736992685E-3</v>
      </c>
      <c r="I260">
        <f>IF(AND(A260&lt;=Inputs!B7,D260&gt;0),D260*Inputs!B6/12,0)</f>
        <v>2.8376775836573684E-4</v>
      </c>
      <c r="J260">
        <f t="shared" si="56"/>
        <v>1.2762622153335316E-3</v>
      </c>
      <c r="K260">
        <f>MAX((D260-J260)*Inputs!B32,0)</f>
        <v>4.635586814618663E-3</v>
      </c>
      <c r="L260">
        <f>MAX((D260-J260-K260)*Inputs!B33,0)</f>
        <v>1.8104104345242634E-4</v>
      </c>
      <c r="M260">
        <f>MIN(E260*Inputs!B29,E260)</f>
        <v>1.6508856804405827E-4</v>
      </c>
      <c r="N260">
        <f>MIN((E260-M260)*Inputs!B30,E260-M260)</f>
        <v>6.1318610987793086E-5</v>
      </c>
      <c r="O260">
        <f>MIN(F260*Inputs!B31,F260)</f>
        <v>1.9703738116236261E-4</v>
      </c>
      <c r="P260">
        <f>MIN((F260-O260)*Inputs!B34,F260-O260)</f>
        <v>1.2631110284126856E-5</v>
      </c>
      <c r="Q260">
        <f>P260*Inputs!B35</f>
        <v>3.1577775710317139E-6</v>
      </c>
      <c r="R260">
        <f>C260*Inputs!B8/12</f>
        <v>2.5556148832251194E-5</v>
      </c>
      <c r="S260">
        <f t="shared" si="57"/>
        <v>2.5821160953348564E-4</v>
      </c>
      <c r="T260">
        <f t="shared" si="58"/>
        <v>5.9213223626652899E-3</v>
      </c>
      <c r="U260">
        <f t="shared" si="59"/>
        <v>5.3490333273868616E-2</v>
      </c>
      <c r="V260">
        <f t="shared" si="60"/>
        <v>4.2631548740359868E-4</v>
      </c>
      <c r="W260">
        <f t="shared" si="61"/>
        <v>1.4936282958943252E-3</v>
      </c>
      <c r="X260">
        <f t="shared" si="62"/>
        <v>5.5410277057166543E-2</v>
      </c>
      <c r="Y260">
        <f t="shared" si="69"/>
        <v>81618.466785705576</v>
      </c>
      <c r="Z260">
        <f>IF(Inputs!B3&gt;0,(V260+W260)/Inputs!B3,0)</f>
        <v>6.3998126109930795E-12</v>
      </c>
      <c r="AA260">
        <f>IF(OR(Y260/Inputs!B3&gt;=Inputs!B23,Z260&gt;=Inputs!B24),1,0)</f>
        <v>0</v>
      </c>
      <c r="AB260">
        <f t="shared" si="63"/>
        <v>0</v>
      </c>
    </row>
    <row r="261" spans="1:28" x14ac:dyDescent="0.2">
      <c r="A261">
        <v>260</v>
      </c>
      <c r="B261">
        <f t="shared" si="64"/>
        <v>0</v>
      </c>
      <c r="C261">
        <f t="shared" si="65"/>
        <v>5.5410277057166543E-2</v>
      </c>
      <c r="D261">
        <f t="shared" si="66"/>
        <v>5.3490333273868616E-2</v>
      </c>
      <c r="E261">
        <f t="shared" si="67"/>
        <v>4.2631548740359868E-4</v>
      </c>
      <c r="F261">
        <f t="shared" si="68"/>
        <v>1.4936282958943252E-3</v>
      </c>
      <c r="G261">
        <f>MAX(Inputs!B7-A261+1,0)</f>
        <v>41</v>
      </c>
      <c r="H261">
        <f>IF(AND(A261&lt;=Inputs!B7,D261&gt;0),-PMT(Inputs!B6/12,G261,D261),0)</f>
        <v>1.4401028658938045E-3</v>
      </c>
      <c r="I261">
        <f>IF(AND(A261&lt;=Inputs!B7,D261&gt;0),D261*Inputs!B6/12,0)</f>
        <v>2.5630784693728712E-4</v>
      </c>
      <c r="J261">
        <f t="shared" si="56"/>
        <v>1.1837950189565174E-3</v>
      </c>
      <c r="K261">
        <f>MAX((D261-J261)*Inputs!B32,0)</f>
        <v>4.1845230603929683E-3</v>
      </c>
      <c r="L261">
        <f>MAX((D261-J261-K261)*Inputs!B33,0)</f>
        <v>1.6342492363970607E-4</v>
      </c>
      <c r="M261">
        <f>MIN(E261*Inputs!B29,E261)</f>
        <v>1.4921042059125954E-4</v>
      </c>
      <c r="N261">
        <f>MIN((E261-M261)*Inputs!B30,E261-M261)</f>
        <v>5.5421013362467827E-5</v>
      </c>
      <c r="O261">
        <f>MIN(F261*Inputs!B31,F261)</f>
        <v>1.7923539550731901E-4</v>
      </c>
      <c r="P261">
        <f>MIN((F261-O261)*Inputs!B34,F261-O261)</f>
        <v>1.1489911376798649E-5</v>
      </c>
      <c r="Q261">
        <f>P261*Inputs!B35</f>
        <v>2.8724778441996623E-6</v>
      </c>
      <c r="R261">
        <f>C261*Inputs!B8/12</f>
        <v>2.3087615440486057E-5</v>
      </c>
      <c r="S261">
        <f t="shared" si="57"/>
        <v>2.3322023149680105E-4</v>
      </c>
      <c r="T261">
        <f t="shared" si="58"/>
        <v>5.3769355128820842E-3</v>
      </c>
      <c r="U261">
        <f t="shared" si="59"/>
        <v>4.8287036086978E-2</v>
      </c>
      <c r="V261">
        <f t="shared" si="60"/>
        <v>3.8510897708957738E-4</v>
      </c>
      <c r="W261">
        <f t="shared" si="61"/>
        <v>1.3583240023726754E-3</v>
      </c>
      <c r="X261">
        <f t="shared" si="62"/>
        <v>5.003046906644025E-2</v>
      </c>
      <c r="Y261">
        <f t="shared" si="69"/>
        <v>81618.466788578051</v>
      </c>
      <c r="Z261">
        <f>IF(Inputs!B3&gt;0,(V261+W261)/Inputs!B3,0)</f>
        <v>5.811443264874176E-12</v>
      </c>
      <c r="AA261">
        <f>IF(OR(Y261/Inputs!B3&gt;=Inputs!B23,Z261&gt;=Inputs!B24),1,0)</f>
        <v>0</v>
      </c>
      <c r="AB261">
        <f t="shared" si="63"/>
        <v>0</v>
      </c>
    </row>
    <row r="262" spans="1:28" x14ac:dyDescent="0.2">
      <c r="A262">
        <v>261</v>
      </c>
      <c r="B262">
        <f t="shared" si="64"/>
        <v>0</v>
      </c>
      <c r="C262">
        <f t="shared" si="65"/>
        <v>5.003046906644025E-2</v>
      </c>
      <c r="D262">
        <f t="shared" si="66"/>
        <v>4.8287036086978E-2</v>
      </c>
      <c r="E262">
        <f t="shared" si="67"/>
        <v>3.8510897708957738E-4</v>
      </c>
      <c r="F262">
        <f t="shared" si="68"/>
        <v>1.3583240023726754E-3</v>
      </c>
      <c r="G262">
        <f>MAX(Inputs!B7-A262+1,0)</f>
        <v>40</v>
      </c>
      <c r="H262">
        <f>IF(AND(A262&lt;=Inputs!B7,D262&gt;0),-PMT(Inputs!B6/12,G262,D262),0)</f>
        <v>1.3294379894820177E-3</v>
      </c>
      <c r="I262">
        <f>IF(AND(A262&lt;=Inputs!B7,D262&gt;0),D262*Inputs!B6/12,0)</f>
        <v>2.3137538125010291E-4</v>
      </c>
      <c r="J262">
        <f t="shared" si="56"/>
        <v>1.0980626082319148E-3</v>
      </c>
      <c r="K262">
        <f>MAX((D262-J262)*Inputs!B32,0)</f>
        <v>3.775117878299687E-3</v>
      </c>
      <c r="L262">
        <f>MAX((D262-J262-K262)*Inputs!B33,0)</f>
        <v>1.4743576318924098E-4</v>
      </c>
      <c r="M262">
        <f>MIN(E262*Inputs!B29,E262)</f>
        <v>1.3478814198135207E-4</v>
      </c>
      <c r="N262">
        <f>MIN((E262-M262)*Inputs!B30,E262-M262)</f>
        <v>5.0064167021645064E-5</v>
      </c>
      <c r="O262">
        <f>MIN(F262*Inputs!B31,F262)</f>
        <v>1.6299888028472104E-4</v>
      </c>
      <c r="P262">
        <f>MIN((F262-O262)*Inputs!B34,F262-O262)</f>
        <v>1.0449067181668256E-5</v>
      </c>
      <c r="Q262">
        <f>P262*Inputs!B35</f>
        <v>2.6122667954170641E-6</v>
      </c>
      <c r="R262">
        <f>C262*Inputs!B8/12</f>
        <v>2.0846028777683439E-5</v>
      </c>
      <c r="S262">
        <f t="shared" si="57"/>
        <v>2.1052935247241946E-4</v>
      </c>
      <c r="T262">
        <f t="shared" si="58"/>
        <v>4.8810172869178528E-3</v>
      </c>
      <c r="U262">
        <f t="shared" si="59"/>
        <v>4.3564206859523232E-2</v>
      </c>
      <c r="V262">
        <f t="shared" si="60"/>
        <v>3.4769243127582124E-4</v>
      </c>
      <c r="W262">
        <f t="shared" si="61"/>
        <v>1.234940221927931E-3</v>
      </c>
      <c r="X262">
        <f t="shared" si="62"/>
        <v>4.5146839512726987E-2</v>
      </c>
      <c r="Y262">
        <f t="shared" si="69"/>
        <v>81618.466791190323</v>
      </c>
      <c r="Z262">
        <f>IF(Inputs!B3&gt;0,(V262+W262)/Inputs!B3,0)</f>
        <v>5.2754421773458406E-12</v>
      </c>
      <c r="AA262">
        <f>IF(OR(Y262/Inputs!B3&gt;=Inputs!B23,Z262&gt;=Inputs!B24),1,0)</f>
        <v>0</v>
      </c>
      <c r="AB262">
        <f t="shared" si="63"/>
        <v>0</v>
      </c>
    </row>
    <row r="263" spans="1:28" x14ac:dyDescent="0.2">
      <c r="A263">
        <v>262</v>
      </c>
      <c r="B263">
        <f t="shared" si="64"/>
        <v>0</v>
      </c>
      <c r="C263">
        <f t="shared" si="65"/>
        <v>4.5146839512726987E-2</v>
      </c>
      <c r="D263">
        <f t="shared" si="66"/>
        <v>4.3564206859523232E-2</v>
      </c>
      <c r="E263">
        <f t="shared" si="67"/>
        <v>3.4769243127582124E-4</v>
      </c>
      <c r="F263">
        <f t="shared" si="68"/>
        <v>1.234940221927931E-3</v>
      </c>
      <c r="G263">
        <f>MAX(Inputs!B7-A263+1,0)</f>
        <v>39</v>
      </c>
      <c r="H263">
        <f>IF(AND(A263&lt;=Inputs!B7,D263&gt;0),-PMT(Inputs!B6/12,G263,D263),0)</f>
        <v>1.2273187423072179E-3</v>
      </c>
      <c r="I263">
        <f>IF(AND(A263&lt;=Inputs!B7,D263&gt;0),D263*Inputs!B6/12,0)</f>
        <v>2.0874515786854884E-4</v>
      </c>
      <c r="J263">
        <f t="shared" si="56"/>
        <v>1.0185735844386689E-3</v>
      </c>
      <c r="K263">
        <f>MAX((D263-J263)*Inputs!B32,0)</f>
        <v>3.4036506620067652E-3</v>
      </c>
      <c r="L263">
        <f>MAX((D263-J263-K263)*Inputs!B33,0)</f>
        <v>1.3292825526511835E-4</v>
      </c>
      <c r="M263">
        <f>MIN(E263*Inputs!B29,E263)</f>
        <v>1.2169235094653743E-4</v>
      </c>
      <c r="N263">
        <f>MIN((E263-M263)*Inputs!B30,E263-M263)</f>
        <v>4.5200016065856769E-5</v>
      </c>
      <c r="O263">
        <f>MIN(F263*Inputs!B31,F263)</f>
        <v>1.4819282663135173E-4</v>
      </c>
      <c r="P263">
        <f>MIN((F263-O263)*Inputs!B34,F263-O263)</f>
        <v>9.4999229357127047E-6</v>
      </c>
      <c r="Q263">
        <f>P263*Inputs!B35</f>
        <v>2.3749807339281762E-6</v>
      </c>
      <c r="R263">
        <f>C263*Inputs!B8/12</f>
        <v>1.8811183130302911E-5</v>
      </c>
      <c r="S263">
        <f t="shared" si="57"/>
        <v>1.8993397473824591E-4</v>
      </c>
      <c r="T263">
        <f t="shared" si="58"/>
        <v>4.4293491886472185E-3</v>
      </c>
      <c r="U263">
        <f t="shared" si="59"/>
        <v>3.9278939535390571E-2</v>
      </c>
      <c r="V263">
        <f t="shared" si="60"/>
        <v>3.1372831952854543E-4</v>
      </c>
      <c r="W263">
        <f t="shared" si="61"/>
        <v>1.1224474884267233E-3</v>
      </c>
      <c r="X263">
        <f t="shared" si="62"/>
        <v>4.0715115343345841E-2</v>
      </c>
      <c r="Y263">
        <f t="shared" si="69"/>
        <v>81618.466793565298</v>
      </c>
      <c r="Z263">
        <f>IF(Inputs!B3&gt;0,(V263+W263)/Inputs!B3,0)</f>
        <v>4.787252693184229E-12</v>
      </c>
      <c r="AA263">
        <f>IF(OR(Y263/Inputs!B3&gt;=Inputs!B23,Z263&gt;=Inputs!B24),1,0)</f>
        <v>0</v>
      </c>
      <c r="AB263">
        <f t="shared" si="63"/>
        <v>0</v>
      </c>
    </row>
    <row r="264" spans="1:28" x14ac:dyDescent="0.2">
      <c r="A264">
        <v>263</v>
      </c>
      <c r="B264">
        <f t="shared" si="64"/>
        <v>0</v>
      </c>
      <c r="C264">
        <f t="shared" si="65"/>
        <v>4.0715115343345841E-2</v>
      </c>
      <c r="D264">
        <f t="shared" si="66"/>
        <v>3.9278939535390571E-2</v>
      </c>
      <c r="E264">
        <f t="shared" si="67"/>
        <v>3.1372831952854543E-4</v>
      </c>
      <c r="F264">
        <f t="shared" si="68"/>
        <v>1.1224474884267233E-3</v>
      </c>
      <c r="G264">
        <f>MAX(Inputs!B7-A264+1,0)</f>
        <v>38</v>
      </c>
      <c r="H264">
        <f>IF(AND(A264&lt;=Inputs!B7,D264&gt;0),-PMT(Inputs!B6/12,G264,D264),0)</f>
        <v>1.1330840549027177E-3</v>
      </c>
      <c r="I264">
        <f>IF(AND(A264&lt;=Inputs!B7,D264&gt;0),D264*Inputs!B6/12,0)</f>
        <v>1.8821158527374652E-4</v>
      </c>
      <c r="J264">
        <f t="shared" si="56"/>
        <v>9.4487246962897116E-4</v>
      </c>
      <c r="K264">
        <f>MAX((D264-J264)*Inputs!B32,0)</f>
        <v>3.066725365260928E-3</v>
      </c>
      <c r="L264">
        <f>MAX((D264-J264-K264)*Inputs!B33,0)</f>
        <v>1.1976976859930394E-4</v>
      </c>
      <c r="M264">
        <f>MIN(E264*Inputs!B29,E264)</f>
        <v>1.0980491183499089E-4</v>
      </c>
      <c r="N264">
        <f>MIN((E264-M264)*Inputs!B30,E264-M264)</f>
        <v>4.0784681538710912E-5</v>
      </c>
      <c r="O264">
        <f>MIN(F264*Inputs!B31,F264)</f>
        <v>1.346936986112068E-4</v>
      </c>
      <c r="P264">
        <f>MIN((F264-O264)*Inputs!B34,F264-O264)</f>
        <v>8.6345593495945207E-6</v>
      </c>
      <c r="Q264">
        <f>P264*Inputs!B35</f>
        <v>2.1586398373986302E-6</v>
      </c>
      <c r="R264">
        <f>C264*Inputs!B8/12</f>
        <v>1.6964631393060765E-5</v>
      </c>
      <c r="S264">
        <f t="shared" si="57"/>
        <v>1.7124695388068576E-4</v>
      </c>
      <c r="T264">
        <f t="shared" si="58"/>
        <v>4.0180737544020951E-3</v>
      </c>
      <c r="U264">
        <f t="shared" si="59"/>
        <v>3.5392070542347567E-2</v>
      </c>
      <c r="V264">
        <f t="shared" si="60"/>
        <v>2.8290849475414755E-4</v>
      </c>
      <c r="W264">
        <f t="shared" si="61"/>
        <v>1.0199039120046328E-3</v>
      </c>
      <c r="X264">
        <f t="shared" si="62"/>
        <v>3.6694882949106347E-2</v>
      </c>
      <c r="Y264">
        <f t="shared" si="69"/>
        <v>81618.466795723944</v>
      </c>
      <c r="Z264">
        <f>IF(Inputs!B3&gt;0,(V264+W264)/Inputs!B3,0)</f>
        <v>4.3427080225292679E-12</v>
      </c>
      <c r="AA264">
        <f>IF(OR(Y264/Inputs!B3&gt;=Inputs!B23,Z264&gt;=Inputs!B24),1,0)</f>
        <v>0</v>
      </c>
      <c r="AB264">
        <f t="shared" si="63"/>
        <v>0</v>
      </c>
    </row>
    <row r="265" spans="1:28" x14ac:dyDescent="0.2">
      <c r="A265">
        <v>264</v>
      </c>
      <c r="B265">
        <f t="shared" si="64"/>
        <v>0</v>
      </c>
      <c r="C265">
        <f t="shared" si="65"/>
        <v>3.6694882949106347E-2</v>
      </c>
      <c r="D265">
        <f t="shared" si="66"/>
        <v>3.5392070542347567E-2</v>
      </c>
      <c r="E265">
        <f t="shared" si="67"/>
        <v>2.8290849475414755E-4</v>
      </c>
      <c r="F265">
        <f t="shared" si="68"/>
        <v>1.0199039120046328E-3</v>
      </c>
      <c r="G265">
        <f>MAX(Inputs!B7-A265+1,0)</f>
        <v>37</v>
      </c>
      <c r="H265">
        <f>IF(AND(A265&lt;=Inputs!B7,D265&gt;0),-PMT(Inputs!B6/12,G265,D265),0)</f>
        <v>1.0461240841659562E-3</v>
      </c>
      <c r="I265">
        <f>IF(AND(A265&lt;=Inputs!B7,D265&gt;0),D265*Inputs!B6/12,0)</f>
        <v>1.695870046820821E-4</v>
      </c>
      <c r="J265">
        <f t="shared" si="56"/>
        <v>8.7653707948387406E-4</v>
      </c>
      <c r="K265">
        <f>MAX((D265-J265)*Inputs!B32,0)</f>
        <v>2.7612426770290957E-3</v>
      </c>
      <c r="L265">
        <f>MAX((D265-J265-K265)*Inputs!B33,0)</f>
        <v>1.0783926080259195E-4</v>
      </c>
      <c r="M265">
        <f>MIN(E265*Inputs!B29,E265)</f>
        <v>9.9017973163951635E-5</v>
      </c>
      <c r="N265">
        <f>MIN((E265-M265)*Inputs!B30,E265-M265)</f>
        <v>3.6778104318039185E-5</v>
      </c>
      <c r="O265">
        <f>MIN(F265*Inputs!B31,F265)</f>
        <v>1.2238846944055592E-4</v>
      </c>
      <c r="P265">
        <f>MIN((F265-O265)*Inputs!B34,F265-O265)</f>
        <v>7.8457308247276107E-6</v>
      </c>
      <c r="Q265">
        <f>P265*Inputs!B35</f>
        <v>1.9614327061819027E-6</v>
      </c>
      <c r="R265">
        <f>C265*Inputs!B8/12</f>
        <v>1.5289534562127645E-5</v>
      </c>
      <c r="S265">
        <f t="shared" si="57"/>
        <v>1.5429747011995446E-4</v>
      </c>
      <c r="T265">
        <f t="shared" si="58"/>
        <v>3.6436640546315155E-3</v>
      </c>
      <c r="U265">
        <f t="shared" si="59"/>
        <v>3.1867857967636512E-2</v>
      </c>
      <c r="V265">
        <f t="shared" si="60"/>
        <v>2.549516780747487E-4</v>
      </c>
      <c r="W265">
        <f t="shared" si="61"/>
        <v>9.264478160573885E-4</v>
      </c>
      <c r="X265">
        <f t="shared" si="62"/>
        <v>3.3049257461768643E-2</v>
      </c>
      <c r="Y265">
        <f t="shared" si="69"/>
        <v>81618.466797685382</v>
      </c>
      <c r="Z265">
        <f>IF(Inputs!B3&gt;0,(V265+W265)/Inputs!B3,0)</f>
        <v>3.9379983137737909E-12</v>
      </c>
      <c r="AA265">
        <f>IF(OR(Y265/Inputs!B3&gt;=Inputs!B23,Z265&gt;=Inputs!B24),1,0)</f>
        <v>0</v>
      </c>
      <c r="AB265">
        <f t="shared" si="63"/>
        <v>0</v>
      </c>
    </row>
    <row r="266" spans="1:28" x14ac:dyDescent="0.2">
      <c r="A266">
        <v>265</v>
      </c>
      <c r="B266">
        <f t="shared" si="64"/>
        <v>0</v>
      </c>
      <c r="C266">
        <f t="shared" si="65"/>
        <v>3.3049257461768643E-2</v>
      </c>
      <c r="D266">
        <f t="shared" si="66"/>
        <v>3.1867857967636512E-2</v>
      </c>
      <c r="E266">
        <f t="shared" si="67"/>
        <v>2.549516780747487E-4</v>
      </c>
      <c r="F266">
        <f t="shared" si="68"/>
        <v>9.264478160573885E-4</v>
      </c>
      <c r="G266">
        <f>MAX(Inputs!B7-A266+1,0)</f>
        <v>36</v>
      </c>
      <c r="H266">
        <f>IF(AND(A266&lt;=Inputs!B7,D266&gt;0),-PMT(Inputs!B6/12,G266,D266),0)</f>
        <v>9.6587624139124473E-4</v>
      </c>
      <c r="I266">
        <f>IF(AND(A266&lt;=Inputs!B7,D266&gt;0),D266*Inputs!B6/12,0)</f>
        <v>1.5270015276159162E-4</v>
      </c>
      <c r="J266">
        <f t="shared" si="56"/>
        <v>8.1317608862965308E-4</v>
      </c>
      <c r="K266">
        <f>MAX((D266-J266)*Inputs!B32,0)</f>
        <v>2.4843745503205488E-3</v>
      </c>
      <c r="L266">
        <f>MAX((D266-J266-K266)*Inputs!B33,0)</f>
        <v>9.702628359764293E-5</v>
      </c>
      <c r="M266">
        <f>MIN(E266*Inputs!B29,E266)</f>
        <v>8.9233087326162039E-5</v>
      </c>
      <c r="N266">
        <f>MIN((E266-M266)*Inputs!B30,E266-M266)</f>
        <v>3.3143718149717331E-5</v>
      </c>
      <c r="O266">
        <f>MIN(F266*Inputs!B31,F266)</f>
        <v>1.1117373792688662E-4</v>
      </c>
      <c r="P266">
        <f>MIN((F266-O266)*Inputs!B34,F266-O266)</f>
        <v>7.1268088124658659E-6</v>
      </c>
      <c r="Q266">
        <f>P266*Inputs!B35</f>
        <v>1.7817022031164665E-6</v>
      </c>
      <c r="R266">
        <f>C266*Inputs!B8/12</f>
        <v>1.3770523942403601E-5</v>
      </c>
      <c r="S266">
        <f t="shared" si="57"/>
        <v>1.3892962881918803E-4</v>
      </c>
      <c r="T266">
        <f t="shared" si="58"/>
        <v>3.3028957455595513E-3</v>
      </c>
      <c r="U266">
        <f t="shared" si="59"/>
        <v>2.8673687870341715E-2</v>
      </c>
      <c r="V266">
        <f t="shared" si="60"/>
        <v>2.2960115619651225E-4</v>
      </c>
      <c r="W266">
        <f t="shared" si="61"/>
        <v>8.4129098746775336E-4</v>
      </c>
      <c r="X266">
        <f t="shared" si="62"/>
        <v>2.9744580014005984E-2</v>
      </c>
      <c r="Y266">
        <f t="shared" si="69"/>
        <v>81618.466799467089</v>
      </c>
      <c r="Z266">
        <f>IF(Inputs!B3&gt;0,(V266+W266)/Inputs!B3,0)</f>
        <v>3.5696404788808851E-12</v>
      </c>
      <c r="AA266">
        <f>IF(OR(Y266/Inputs!B3&gt;=Inputs!B23,Z266&gt;=Inputs!B24),1,0)</f>
        <v>0</v>
      </c>
      <c r="AB266">
        <f t="shared" si="63"/>
        <v>0</v>
      </c>
    </row>
    <row r="267" spans="1:28" x14ac:dyDescent="0.2">
      <c r="A267">
        <v>266</v>
      </c>
      <c r="B267">
        <f t="shared" si="64"/>
        <v>0</v>
      </c>
      <c r="C267">
        <f t="shared" si="65"/>
        <v>2.9744580014005984E-2</v>
      </c>
      <c r="D267">
        <f t="shared" si="66"/>
        <v>2.8673687870341715E-2</v>
      </c>
      <c r="E267">
        <f t="shared" si="67"/>
        <v>2.2960115619651225E-4</v>
      </c>
      <c r="F267">
        <f t="shared" si="68"/>
        <v>8.4129098746775336E-4</v>
      </c>
      <c r="G267">
        <f>MAX(Inputs!B7-A267+1,0)</f>
        <v>35</v>
      </c>
      <c r="H267">
        <f>IF(AND(A267&lt;=Inputs!B7,D267&gt;0),-PMT(Inputs!B6/12,G267,D267),0)</f>
        <v>8.9182152871298669E-4</v>
      </c>
      <c r="I267">
        <f>IF(AND(A267&lt;=Inputs!B7,D267&gt;0),D267*Inputs!B6/12,0)</f>
        <v>1.3739475437872072E-4</v>
      </c>
      <c r="J267">
        <f t="shared" si="56"/>
        <v>7.5442677433426597E-4</v>
      </c>
      <c r="K267">
        <f>MAX((D267-J267)*Inputs!B32,0)</f>
        <v>2.2335408876805961E-3</v>
      </c>
      <c r="L267">
        <f>MAX((D267-J267-K267)*Inputs!B33,0)</f>
        <v>8.7230072279989804E-5</v>
      </c>
      <c r="M267">
        <f>MIN(E267*Inputs!B29,E267)</f>
        <v>8.036040466877929E-5</v>
      </c>
      <c r="N267">
        <f>MIN((E267-M267)*Inputs!B30,E267-M267)</f>
        <v>2.9848150305546597E-5</v>
      </c>
      <c r="O267">
        <f>MIN(F267*Inputs!B31,F267)</f>
        <v>1.009549184961304E-4</v>
      </c>
      <c r="P267">
        <f>MIN((F267-O267)*Inputs!B34,F267-O267)</f>
        <v>6.4717298906794467E-6</v>
      </c>
      <c r="Q267">
        <f>P267*Inputs!B35</f>
        <v>1.6179324726698617E-6</v>
      </c>
      <c r="R267">
        <f>C267*Inputs!B8/12</f>
        <v>1.2393575005835828E-5</v>
      </c>
      <c r="S267">
        <f t="shared" si="57"/>
        <v>1.2500117937288489E-4</v>
      </c>
      <c r="T267">
        <f t="shared" si="58"/>
        <v>2.9928214594328716E-3</v>
      </c>
      <c r="U267">
        <f t="shared" si="59"/>
        <v>2.5779805459211776E-2</v>
      </c>
      <c r="V267">
        <f t="shared" si="60"/>
        <v>2.0662267350217618E-4</v>
      </c>
      <c r="W267">
        <f t="shared" si="61"/>
        <v>7.6371248938649015E-4</v>
      </c>
      <c r="X267">
        <f t="shared" si="62"/>
        <v>2.6750140622100443E-2</v>
      </c>
      <c r="Y267">
        <f t="shared" si="69"/>
        <v>81618.466801085015</v>
      </c>
      <c r="Z267">
        <f>IF(Inputs!B3&gt;0,(V267+W267)/Inputs!B3,0)</f>
        <v>3.2344505429622211E-12</v>
      </c>
      <c r="AA267">
        <f>IF(OR(Y267/Inputs!B3&gt;=Inputs!B23,Z267&gt;=Inputs!B24),1,0)</f>
        <v>0</v>
      </c>
      <c r="AB267">
        <f t="shared" si="63"/>
        <v>0</v>
      </c>
    </row>
    <row r="268" spans="1:28" x14ac:dyDescent="0.2">
      <c r="A268">
        <v>267</v>
      </c>
      <c r="B268">
        <f t="shared" si="64"/>
        <v>0</v>
      </c>
      <c r="C268">
        <f t="shared" si="65"/>
        <v>2.6750140622100443E-2</v>
      </c>
      <c r="D268">
        <f t="shared" si="66"/>
        <v>2.5779805459211776E-2</v>
      </c>
      <c r="E268">
        <f t="shared" si="67"/>
        <v>2.0662267350217618E-4</v>
      </c>
      <c r="F268">
        <f t="shared" si="68"/>
        <v>7.6371248938649015E-4</v>
      </c>
      <c r="G268">
        <f>MAX(Inputs!B7-A268+1,0)</f>
        <v>34</v>
      </c>
      <c r="H268">
        <f>IF(AND(A268&lt;=Inputs!B7,D268&gt;0),-PMT(Inputs!B6/12,G268,D268),0)</f>
        <v>8.2348116003132449E-4</v>
      </c>
      <c r="I268">
        <f>IF(AND(A268&lt;=Inputs!B7,D268&gt;0),D268*Inputs!B6/12,0)</f>
        <v>1.2352823449205642E-4</v>
      </c>
      <c r="J268">
        <f t="shared" si="56"/>
        <v>6.9995292553926805E-4</v>
      </c>
      <c r="K268">
        <f>MAX((D268-J268)*Inputs!B32,0)</f>
        <v>2.0063882026938006E-3</v>
      </c>
      <c r="L268">
        <f>MAX((D268-J268-K268)*Inputs!B33,0)</f>
        <v>7.8358712351330441E-5</v>
      </c>
      <c r="M268">
        <f>MIN(E268*Inputs!B29,E268)</f>
        <v>7.2317935725761651E-5</v>
      </c>
      <c r="N268">
        <f>MIN((E268-M268)*Inputs!B30,E268-M268)</f>
        <v>2.6860947555282905E-5</v>
      </c>
      <c r="O268">
        <f>MIN(F268*Inputs!B31,F268)</f>
        <v>9.164549872637882E-5</v>
      </c>
      <c r="P268">
        <f>MIN((F268-O268)*Inputs!B34,F268-O268)</f>
        <v>5.8749481678444887E-6</v>
      </c>
      <c r="Q268">
        <f>P268*Inputs!B35</f>
        <v>1.4687370419611222E-6</v>
      </c>
      <c r="R268">
        <f>C268*Inputs!B8/12</f>
        <v>1.1145891925875185E-5</v>
      </c>
      <c r="S268">
        <f t="shared" si="57"/>
        <v>1.1238234256618123E-4</v>
      </c>
      <c r="T268">
        <f t="shared" si="58"/>
        <v>2.7107473393589519E-3</v>
      </c>
      <c r="U268">
        <f t="shared" si="59"/>
        <v>2.3159069053079517E-2</v>
      </c>
      <c r="V268">
        <f t="shared" si="60"/>
        <v>1.8580250257246205E-4</v>
      </c>
      <c r="W268">
        <f t="shared" si="61"/>
        <v>6.9305299004754979E-4</v>
      </c>
      <c r="X268">
        <f t="shared" si="62"/>
        <v>2.4037924545699529E-2</v>
      </c>
      <c r="Y268">
        <f t="shared" si="69"/>
        <v>81618.466802553754</v>
      </c>
      <c r="Z268">
        <f>IF(Inputs!B3&gt;0,(V268+W268)/Inputs!B3,0)</f>
        <v>2.929518308733373E-12</v>
      </c>
      <c r="AA268">
        <f>IF(OR(Y268/Inputs!B3&gt;=Inputs!B23,Z268&gt;=Inputs!B24),1,0)</f>
        <v>0</v>
      </c>
      <c r="AB268">
        <f t="shared" si="63"/>
        <v>0</v>
      </c>
    </row>
    <row r="269" spans="1:28" x14ac:dyDescent="0.2">
      <c r="A269">
        <v>268</v>
      </c>
      <c r="B269">
        <f t="shared" si="64"/>
        <v>0</v>
      </c>
      <c r="C269">
        <f t="shared" si="65"/>
        <v>2.4037924545699529E-2</v>
      </c>
      <c r="D269">
        <f t="shared" si="66"/>
        <v>2.3159069053079517E-2</v>
      </c>
      <c r="E269">
        <f t="shared" si="67"/>
        <v>1.8580250257246205E-4</v>
      </c>
      <c r="F269">
        <f t="shared" si="68"/>
        <v>6.9305299004754979E-4</v>
      </c>
      <c r="G269">
        <f>MAX(Inputs!B7-A269+1,0)</f>
        <v>33</v>
      </c>
      <c r="H269">
        <f>IF(AND(A269&lt;=Inputs!B7,D269&gt;0),-PMT(Inputs!B6/12,G269,D269),0)</f>
        <v>7.6041344435619966E-4</v>
      </c>
      <c r="I269">
        <f>IF(AND(A269&lt;=Inputs!B7,D269&gt;0),D269*Inputs!B6/12,0)</f>
        <v>1.1097053921267268E-4</v>
      </c>
      <c r="J269">
        <f t="shared" si="56"/>
        <v>6.4944290514352694E-4</v>
      </c>
      <c r="K269">
        <f>MAX((D269-J269)*Inputs!B32,0)</f>
        <v>1.8007700918348793E-3</v>
      </c>
      <c r="L269">
        <f>MAX((D269-J269-K269)*Inputs!B33,0)</f>
        <v>7.032837685524545E-5</v>
      </c>
      <c r="M269">
        <f>MIN(E269*Inputs!B29,E269)</f>
        <v>6.5030875900361714E-5</v>
      </c>
      <c r="N269">
        <f>MIN((E269-M269)*Inputs!B30,E269-M269)</f>
        <v>2.4154325334420068E-5</v>
      </c>
      <c r="O269">
        <f>MIN(F269*Inputs!B31,F269)</f>
        <v>8.3166358805705968E-5</v>
      </c>
      <c r="P269">
        <f>MIN((F269-O269)*Inputs!B34,F269-O269)</f>
        <v>5.3313916567867823E-6</v>
      </c>
      <c r="Q269">
        <f>P269*Inputs!B35</f>
        <v>1.3328479141966956E-6</v>
      </c>
      <c r="R269">
        <f>C269*Inputs!B8/12</f>
        <v>1.0015801894041471E-5</v>
      </c>
      <c r="S269">
        <f t="shared" si="57"/>
        <v>1.0095473731863121E-4</v>
      </c>
      <c r="T269">
        <f t="shared" si="58"/>
        <v>2.4542115407209962E-3</v>
      </c>
      <c r="U269">
        <f t="shared" si="59"/>
        <v>2.0786724913951934E-2</v>
      </c>
      <c r="V269">
        <f t="shared" si="60"/>
        <v>1.6694567819292572E-4</v>
      </c>
      <c r="W269">
        <f t="shared" si="61"/>
        <v>6.2870956491947716E-4</v>
      </c>
      <c r="X269">
        <f t="shared" si="62"/>
        <v>2.1582380157064339E-2</v>
      </c>
      <c r="Y269">
        <f t="shared" si="69"/>
        <v>81618.466803886608</v>
      </c>
      <c r="Z269">
        <f>IF(Inputs!B3&gt;0,(V269+W269)/Inputs!B3,0)</f>
        <v>2.6521841437080096E-12</v>
      </c>
      <c r="AA269">
        <f>IF(OR(Y269/Inputs!B3&gt;=Inputs!B23,Z269&gt;=Inputs!B24),1,0)</f>
        <v>0</v>
      </c>
      <c r="AB269">
        <f t="shared" si="63"/>
        <v>0</v>
      </c>
    </row>
    <row r="270" spans="1:28" x14ac:dyDescent="0.2">
      <c r="A270">
        <v>269</v>
      </c>
      <c r="B270">
        <f t="shared" si="64"/>
        <v>0</v>
      </c>
      <c r="C270">
        <f t="shared" si="65"/>
        <v>2.1582380157064339E-2</v>
      </c>
      <c r="D270">
        <f t="shared" si="66"/>
        <v>2.0786724913951934E-2</v>
      </c>
      <c r="E270">
        <f t="shared" si="67"/>
        <v>1.6694567819292572E-4</v>
      </c>
      <c r="F270">
        <f t="shared" si="68"/>
        <v>6.2870956491947716E-4</v>
      </c>
      <c r="G270">
        <f>MAX(Inputs!B7-A270+1,0)</f>
        <v>32</v>
      </c>
      <c r="H270">
        <f>IF(AND(A270&lt;=Inputs!B7,D270&gt;0),-PMT(Inputs!B6/12,G270,D270),0)</f>
        <v>7.0221091122619052E-4</v>
      </c>
      <c r="I270">
        <f>IF(AND(A270&lt;=Inputs!B7,D270&gt;0),D270*Inputs!B6/12,0)</f>
        <v>9.9603056879353022E-5</v>
      </c>
      <c r="J270">
        <f t="shared" si="56"/>
        <v>6.0260785434683754E-4</v>
      </c>
      <c r="K270">
        <f>MAX((D270-J270)*Inputs!B32,0)</f>
        <v>1.6147293647684078E-3</v>
      </c>
      <c r="L270">
        <f>MAX((D270-J270-K270)*Inputs!B33,0)</f>
        <v>6.306262848299049E-5</v>
      </c>
      <c r="M270">
        <f>MIN(E270*Inputs!B29,E270)</f>
        <v>5.8430987367523999E-5</v>
      </c>
      <c r="N270">
        <f>MIN((E270-M270)*Inputs!B30,E270-M270)</f>
        <v>2.1702938165080347E-5</v>
      </c>
      <c r="O270">
        <f>MIN(F270*Inputs!B31,F270)</f>
        <v>7.5445147790337253E-5</v>
      </c>
      <c r="P270">
        <f>MIN((F270-O270)*Inputs!B34,F270-O270)</f>
        <v>4.8364222896199864E-6</v>
      </c>
      <c r="Q270">
        <f>P270*Inputs!B35</f>
        <v>1.2091055724049966E-6</v>
      </c>
      <c r="R270">
        <f>C270*Inputs!B8/12</f>
        <v>8.9926583987768075E-6</v>
      </c>
      <c r="S270">
        <f t="shared" si="57"/>
        <v>9.0610398480576215E-5</v>
      </c>
      <c r="T270">
        <f t="shared" si="58"/>
        <v>2.2209645358324606E-3</v>
      </c>
      <c r="U270">
        <f t="shared" si="59"/>
        <v>1.8640201201511556E-2</v>
      </c>
      <c r="V270">
        <f t="shared" si="60"/>
        <v>1.4987438114331188E-4</v>
      </c>
      <c r="W270">
        <f t="shared" si="61"/>
        <v>5.701309330046003E-4</v>
      </c>
      <c r="X270">
        <f t="shared" si="62"/>
        <v>1.9360206515659468E-2</v>
      </c>
      <c r="Y270">
        <f t="shared" si="69"/>
        <v>81618.466805095712</v>
      </c>
      <c r="Z270">
        <f>IF(Inputs!B3&gt;0,(V270+W270)/Inputs!B3,0)</f>
        <v>2.400017713826374E-12</v>
      </c>
      <c r="AA270">
        <f>IF(OR(Y270/Inputs!B3&gt;=Inputs!B23,Z270&gt;=Inputs!B24),1,0)</f>
        <v>0</v>
      </c>
      <c r="AB270">
        <f t="shared" si="63"/>
        <v>0</v>
      </c>
    </row>
    <row r="271" spans="1:28" x14ac:dyDescent="0.2">
      <c r="A271">
        <v>270</v>
      </c>
      <c r="B271">
        <f t="shared" si="64"/>
        <v>0</v>
      </c>
      <c r="C271">
        <f t="shared" si="65"/>
        <v>1.9360206515659468E-2</v>
      </c>
      <c r="D271">
        <f t="shared" si="66"/>
        <v>1.8640201201511556E-2</v>
      </c>
      <c r="E271">
        <f t="shared" si="67"/>
        <v>1.4987438114331188E-4</v>
      </c>
      <c r="F271">
        <f t="shared" si="68"/>
        <v>5.701309330046003E-4</v>
      </c>
      <c r="G271">
        <f>MAX(Inputs!B7-A271+1,0)</f>
        <v>31</v>
      </c>
      <c r="H271">
        <f>IF(AND(A271&lt;=Inputs!B7,D271&gt;0),-PMT(Inputs!B6/12,G271,D271),0)</f>
        <v>6.4849765944674195E-4</v>
      </c>
      <c r="I271">
        <f>IF(AND(A271&lt;=Inputs!B7,D271&gt;0),D271*Inputs!B6/12,0)</f>
        <v>8.9317630757242876E-5</v>
      </c>
      <c r="J271">
        <f t="shared" si="56"/>
        <v>5.5918002868949907E-4</v>
      </c>
      <c r="K271">
        <f>MAX((D271-J271)*Inputs!B32,0)</f>
        <v>1.4464816938257647E-3</v>
      </c>
      <c r="L271">
        <f>MAX((D271-J271-K271)*Inputs!B33,0)</f>
        <v>5.6491781010165793E-5</v>
      </c>
      <c r="M271">
        <f>MIN(E271*Inputs!B29,E271)</f>
        <v>5.2456033400159158E-5</v>
      </c>
      <c r="N271">
        <f>MIN((E271-M271)*Inputs!B30,E271-M271)</f>
        <v>1.9483669548630544E-5</v>
      </c>
      <c r="O271">
        <f>MIN(F271*Inputs!B31,F271)</f>
        <v>6.8415711960552038E-5</v>
      </c>
      <c r="P271">
        <f>MIN((F271-O271)*Inputs!B34,F271-O271)</f>
        <v>4.3857992724167397E-6</v>
      </c>
      <c r="Q271">
        <f>P271*Inputs!B35</f>
        <v>1.0964498181041849E-6</v>
      </c>
      <c r="R271">
        <f>C271*Inputs!B8/12</f>
        <v>8.0667527148581119E-6</v>
      </c>
      <c r="S271">
        <f t="shared" si="57"/>
        <v>8.1250878042384768E-5</v>
      </c>
      <c r="T271">
        <f t="shared" si="58"/>
        <v>2.0089510719695767E-3</v>
      </c>
      <c r="U271">
        <f t="shared" si="59"/>
        <v>1.6698919443346841E-2</v>
      </c>
      <c r="V271">
        <f t="shared" si="60"/>
        <v>1.3442645920468796E-4</v>
      </c>
      <c r="W271">
        <f t="shared" si="61"/>
        <v>5.1681309132026209E-4</v>
      </c>
      <c r="X271">
        <f t="shared" si="62"/>
        <v>1.7350158993871791E-2</v>
      </c>
      <c r="Y271">
        <f t="shared" si="69"/>
        <v>81618.466806192155</v>
      </c>
      <c r="Z271">
        <f>IF(Inputs!B3&gt;0,(V271+W271)/Inputs!B3,0)</f>
        <v>2.1707985017498335E-12</v>
      </c>
      <c r="AA271">
        <f>IF(OR(Y271/Inputs!B3&gt;=Inputs!B23,Z271&gt;=Inputs!B24),1,0)</f>
        <v>0</v>
      </c>
      <c r="AB271">
        <f t="shared" si="63"/>
        <v>0</v>
      </c>
    </row>
    <row r="272" spans="1:28" x14ac:dyDescent="0.2">
      <c r="A272">
        <v>271</v>
      </c>
      <c r="B272">
        <f t="shared" si="64"/>
        <v>0</v>
      </c>
      <c r="C272">
        <f t="shared" si="65"/>
        <v>1.7350158993871791E-2</v>
      </c>
      <c r="D272">
        <f t="shared" si="66"/>
        <v>1.6698919443346841E-2</v>
      </c>
      <c r="E272">
        <f t="shared" si="67"/>
        <v>1.3442645920468796E-4</v>
      </c>
      <c r="F272">
        <f t="shared" si="68"/>
        <v>5.1681309132026209E-4</v>
      </c>
      <c r="G272">
        <f>MAX(Inputs!B7-A272+1,0)</f>
        <v>30</v>
      </c>
      <c r="H272">
        <f>IF(AND(A272&lt;=Inputs!B7,D272&gt;0),-PMT(Inputs!B6/12,G272,D272),0)</f>
        <v>5.9892691185925483E-4</v>
      </c>
      <c r="I272">
        <f>IF(AND(A272&lt;=Inputs!B7,D272&gt;0),D272*Inputs!B6/12,0)</f>
        <v>8.0015655666036952E-5</v>
      </c>
      <c r="J272">
        <f t="shared" si="56"/>
        <v>5.1891125619321784E-4</v>
      </c>
      <c r="K272">
        <f>MAX((D272-J272)*Inputs!B32,0)</f>
        <v>1.29440065497229E-3</v>
      </c>
      <c r="L272">
        <f>MAX((D272-J272-K272)*Inputs!B33,0)</f>
        <v>5.0552315077495737E-5</v>
      </c>
      <c r="M272">
        <f>MIN(E272*Inputs!B29,E272)</f>
        <v>4.7049260721640786E-5</v>
      </c>
      <c r="N272">
        <f>MIN((E272-M272)*Inputs!B30,E272-M272)</f>
        <v>1.7475439696609436E-5</v>
      </c>
      <c r="O272">
        <f>MIN(F272*Inputs!B31,F272)</f>
        <v>6.2017570958431453E-5</v>
      </c>
      <c r="P272">
        <f>MIN((F272-O272)*Inputs!B34,F272-O272)</f>
        <v>3.9756455029419741E-6</v>
      </c>
      <c r="Q272">
        <f>P272*Inputs!B35</f>
        <v>9.9391137573549353E-7</v>
      </c>
      <c r="R272">
        <f>C272*Inputs!B8/12</f>
        <v>7.2292329141132465E-6</v>
      </c>
      <c r="S272">
        <f t="shared" si="57"/>
        <v>7.2786422751923709E-5</v>
      </c>
      <c r="T272">
        <f t="shared" si="58"/>
        <v>1.8162936452927143E-3</v>
      </c>
      <c r="U272">
        <f t="shared" si="59"/>
        <v>1.4944122048783912E-2</v>
      </c>
      <c r="V272">
        <f t="shared" si="60"/>
        <v>1.2045407386393348E-4</v>
      </c>
      <c r="W272">
        <f t="shared" si="61"/>
        <v>4.6829531455549811E-4</v>
      </c>
      <c r="X272">
        <f t="shared" si="62"/>
        <v>1.5532871437203343E-2</v>
      </c>
      <c r="Y272">
        <f t="shared" si="69"/>
        <v>81618.466807186065</v>
      </c>
      <c r="Z272">
        <f>IF(Inputs!B3&gt;0,(V272+W272)/Inputs!B3,0)</f>
        <v>1.9624979613981052E-12</v>
      </c>
      <c r="AA272">
        <f>IF(OR(Y272/Inputs!B3&gt;=Inputs!B23,Z272&gt;=Inputs!B24),1,0)</f>
        <v>0</v>
      </c>
      <c r="AB272">
        <f t="shared" si="63"/>
        <v>0</v>
      </c>
    </row>
    <row r="273" spans="1:28" x14ac:dyDescent="0.2">
      <c r="A273">
        <v>272</v>
      </c>
      <c r="B273">
        <f t="shared" si="64"/>
        <v>0</v>
      </c>
      <c r="C273">
        <f t="shared" si="65"/>
        <v>1.5532871437203343E-2</v>
      </c>
      <c r="D273">
        <f t="shared" si="66"/>
        <v>1.4944122048783912E-2</v>
      </c>
      <c r="E273">
        <f t="shared" si="67"/>
        <v>1.2045407386393348E-4</v>
      </c>
      <c r="F273">
        <f t="shared" si="68"/>
        <v>4.6829531455549811E-4</v>
      </c>
      <c r="G273">
        <f>MAX(Inputs!B7-A273+1,0)</f>
        <v>29</v>
      </c>
      <c r="H273">
        <f>IF(AND(A273&lt;=Inputs!B7,D273&gt;0),-PMT(Inputs!B6/12,G273,D273),0)</f>
        <v>5.5317876020806304E-4</v>
      </c>
      <c r="I273">
        <f>IF(AND(A273&lt;=Inputs!B7,D273&gt;0),D273*Inputs!B6/12,0)</f>
        <v>7.1607251483756244E-5</v>
      </c>
      <c r="J273">
        <f t="shared" si="56"/>
        <v>4.8157150872430679E-4</v>
      </c>
      <c r="K273">
        <f>MAX((D273-J273)*Inputs!B32,0)</f>
        <v>1.1570040432047684E-3</v>
      </c>
      <c r="L273">
        <f>MAX((D273-J273-K273)*Inputs!B33,0)</f>
        <v>4.5186343743990192E-5</v>
      </c>
      <c r="M273">
        <f>MIN(E273*Inputs!B29,E273)</f>
        <v>4.2158925852376718E-5</v>
      </c>
      <c r="N273">
        <f>MIN((E273-M273)*Inputs!B30,E273-M273)</f>
        <v>1.5659029602311356E-5</v>
      </c>
      <c r="O273">
        <f>MIN(F273*Inputs!B31,F273)</f>
        <v>5.6195437746659769E-5</v>
      </c>
      <c r="P273">
        <f>MIN((F273-O273)*Inputs!B34,F273-O273)</f>
        <v>3.6024167975413107E-6</v>
      </c>
      <c r="Q273">
        <f>P273*Inputs!B35</f>
        <v>9.0060419938532767E-7</v>
      </c>
      <c r="R273">
        <f>C273*Inputs!B8/12</f>
        <v>6.472029765501393E-6</v>
      </c>
      <c r="S273">
        <f t="shared" si="57"/>
        <v>6.5135221718254846E-5</v>
      </c>
      <c r="T273">
        <f t="shared" si="58"/>
        <v>1.6412773645272311E-3</v>
      </c>
      <c r="U273">
        <f t="shared" si="59"/>
        <v>1.3358714516709882E-2</v>
      </c>
      <c r="V273">
        <f t="shared" si="60"/>
        <v>1.078224621532356E-4</v>
      </c>
      <c r="W273">
        <f t="shared" si="61"/>
        <v>4.2415648961360836E-4</v>
      </c>
      <c r="X273">
        <f t="shared" si="62"/>
        <v>1.3890693468476727E-2</v>
      </c>
      <c r="Y273">
        <f t="shared" si="69"/>
        <v>81618.466808086669</v>
      </c>
      <c r="Z273">
        <f>IF(Inputs!B3&gt;0,(V273+W273)/Inputs!B3,0)</f>
        <v>1.7732631725561465E-12</v>
      </c>
      <c r="AA273">
        <f>IF(OR(Y273/Inputs!B3&gt;=Inputs!B23,Z273&gt;=Inputs!B24),1,0)</f>
        <v>0</v>
      </c>
      <c r="AB273">
        <f t="shared" si="63"/>
        <v>0</v>
      </c>
    </row>
    <row r="274" spans="1:28" x14ac:dyDescent="0.2">
      <c r="A274">
        <v>273</v>
      </c>
      <c r="B274">
        <f t="shared" si="64"/>
        <v>0</v>
      </c>
      <c r="C274">
        <f t="shared" si="65"/>
        <v>1.3890693468476727E-2</v>
      </c>
      <c r="D274">
        <f t="shared" si="66"/>
        <v>1.3358714516709882E-2</v>
      </c>
      <c r="E274">
        <f t="shared" si="67"/>
        <v>1.078224621532356E-4</v>
      </c>
      <c r="F274">
        <f t="shared" si="68"/>
        <v>4.2415648961360836E-4</v>
      </c>
      <c r="G274">
        <f>MAX(Inputs!B7-A274+1,0)</f>
        <v>28</v>
      </c>
      <c r="H274">
        <f>IF(AND(A274&lt;=Inputs!B7,D274&gt;0),-PMT(Inputs!B6/12,G274,D274),0)</f>
        <v>5.1095808542609745E-4</v>
      </c>
      <c r="I274">
        <f>IF(AND(A274&lt;=Inputs!B7,D274&gt;0),D274*Inputs!B6/12,0)</f>
        <v>6.4010507059234856E-5</v>
      </c>
      <c r="J274">
        <f t="shared" si="56"/>
        <v>4.469475783668626E-4</v>
      </c>
      <c r="K274">
        <f>MAX((D274-J274)*Inputs!B32,0)</f>
        <v>1.0329413550674415E-3</v>
      </c>
      <c r="L274">
        <f>MAX((D274-J274-K274)*Inputs!B33,0)</f>
        <v>4.0341123621466768E-5</v>
      </c>
      <c r="M274">
        <f>MIN(E274*Inputs!B29,E274)</f>
        <v>3.7737861753632457E-5</v>
      </c>
      <c r="N274">
        <f>MIN((E274-M274)*Inputs!B30,E274-M274)</f>
        <v>1.4016920079920631E-5</v>
      </c>
      <c r="O274">
        <f>MIN(F274*Inputs!B31,F274)</f>
        <v>5.0898778753633004E-5</v>
      </c>
      <c r="P274">
        <f>MIN((F274-O274)*Inputs!B34,F274-O274)</f>
        <v>3.2628736941785819E-6</v>
      </c>
      <c r="Q274">
        <f>P274*Inputs!B35</f>
        <v>8.1571842354464547E-7</v>
      </c>
      <c r="R274">
        <f>C274*Inputs!B8/12</f>
        <v>5.7877889451986368E-6</v>
      </c>
      <c r="S274">
        <f t="shared" si="57"/>
        <v>5.8222718114036218E-5</v>
      </c>
      <c r="T274">
        <f t="shared" si="58"/>
        <v>1.4823360887049383E-3</v>
      </c>
      <c r="U274">
        <f t="shared" si="59"/>
        <v>1.1927121100161378E-2</v>
      </c>
      <c r="V274">
        <f t="shared" si="60"/>
        <v>9.6408803941149291E-5</v>
      </c>
      <c r="W274">
        <f t="shared" si="61"/>
        <v>3.8401175724571738E-4</v>
      </c>
      <c r="X274">
        <f t="shared" si="62"/>
        <v>1.2407541661348245E-2</v>
      </c>
      <c r="Y274">
        <f t="shared" si="69"/>
        <v>81618.466808902391</v>
      </c>
      <c r="Z274">
        <f>IF(Inputs!B3&gt;0,(V274+W274)/Inputs!B3,0)</f>
        <v>1.6014018706228889E-12</v>
      </c>
      <c r="AA274">
        <f>IF(OR(Y274/Inputs!B3&gt;=Inputs!B23,Z274&gt;=Inputs!B24),1,0)</f>
        <v>0</v>
      </c>
      <c r="AB274">
        <f t="shared" si="63"/>
        <v>0</v>
      </c>
    </row>
    <row r="275" spans="1:28" x14ac:dyDescent="0.2">
      <c r="A275">
        <v>274</v>
      </c>
      <c r="B275">
        <f t="shared" si="64"/>
        <v>0</v>
      </c>
      <c r="C275">
        <f t="shared" si="65"/>
        <v>1.2407541661348245E-2</v>
      </c>
      <c r="D275">
        <f t="shared" si="66"/>
        <v>1.1927121100161378E-2</v>
      </c>
      <c r="E275">
        <f t="shared" si="67"/>
        <v>9.6408803941149291E-5</v>
      </c>
      <c r="F275">
        <f t="shared" si="68"/>
        <v>3.8401175724571738E-4</v>
      </c>
      <c r="G275">
        <f>MAX(Inputs!B7-A275+1,0)</f>
        <v>27</v>
      </c>
      <c r="H275">
        <f>IF(AND(A275&lt;=Inputs!B7,D275&gt;0),-PMT(Inputs!B6/12,G275,D275),0)</f>
        <v>4.7199263982112644E-4</v>
      </c>
      <c r="I275">
        <f>IF(AND(A275&lt;=Inputs!B7,D275&gt;0),D275*Inputs!B6/12,0)</f>
        <v>5.7150788604939935E-5</v>
      </c>
      <c r="J275">
        <f t="shared" si="56"/>
        <v>4.1484185121618651E-4</v>
      </c>
      <c r="K275">
        <f>MAX((D275-J275)*Inputs!B32,0)</f>
        <v>9.2098233991561528E-4</v>
      </c>
      <c r="L275">
        <f>MAX((D275-J275-K275)*Inputs!B33,0)</f>
        <v>3.5968607748595548E-5</v>
      </c>
      <c r="M275">
        <f>MIN(E275*Inputs!B29,E275)</f>
        <v>3.3743081379402253E-5</v>
      </c>
      <c r="N275">
        <f>MIN((E275-M275)*Inputs!B30,E275-M275)</f>
        <v>1.2533144512349407E-5</v>
      </c>
      <c r="O275">
        <f>MIN(F275*Inputs!B31,F275)</f>
        <v>4.6081410869486086E-5</v>
      </c>
      <c r="P275">
        <f>MIN((F275-O275)*Inputs!B34,F275-O275)</f>
        <v>2.9540556178069209E-6</v>
      </c>
      <c r="Q275">
        <f>P275*Inputs!B35</f>
        <v>7.3851390445173023E-7</v>
      </c>
      <c r="R275">
        <f>C275*Inputs!B8/12</f>
        <v>5.1698090255617684E-6</v>
      </c>
      <c r="S275">
        <f t="shared" si="57"/>
        <v>5.1980979579378164E-5</v>
      </c>
      <c r="T275">
        <f t="shared" si="58"/>
        <v>1.338039732845157E-3</v>
      </c>
      <c r="U275">
        <f t="shared" si="59"/>
        <v>1.0635152793529869E-2</v>
      </c>
      <c r="V275">
        <f t="shared" si="60"/>
        <v>8.6101185797993169E-5</v>
      </c>
      <c r="W275">
        <f t="shared" si="61"/>
        <v>3.4750943527077382E-4</v>
      </c>
      <c r="X275">
        <f t="shared" si="62"/>
        <v>1.1068763414598635E-2</v>
      </c>
      <c r="Y275">
        <f t="shared" si="69"/>
        <v>81618.4668096409</v>
      </c>
      <c r="Z275">
        <f>IF(Inputs!B3&gt;0,(V275+W275)/Inputs!B3,0)</f>
        <v>1.44536873689589E-12</v>
      </c>
      <c r="AA275">
        <f>IF(OR(Y275/Inputs!B3&gt;=Inputs!B23,Z275&gt;=Inputs!B24),1,0)</f>
        <v>0</v>
      </c>
      <c r="AB275">
        <f t="shared" si="63"/>
        <v>0</v>
      </c>
    </row>
    <row r="276" spans="1:28" x14ac:dyDescent="0.2">
      <c r="A276">
        <v>275</v>
      </c>
      <c r="B276">
        <f t="shared" si="64"/>
        <v>0</v>
      </c>
      <c r="C276">
        <f t="shared" si="65"/>
        <v>1.1068763414598635E-2</v>
      </c>
      <c r="D276">
        <f t="shared" si="66"/>
        <v>1.0635152793529869E-2</v>
      </c>
      <c r="E276">
        <f t="shared" si="67"/>
        <v>8.6101185797993169E-5</v>
      </c>
      <c r="F276">
        <f t="shared" si="68"/>
        <v>3.4750943527077382E-4</v>
      </c>
      <c r="G276">
        <f>MAX(Inputs!B7-A276+1,0)</f>
        <v>26</v>
      </c>
      <c r="H276">
        <f>IF(AND(A276&lt;=Inputs!B7,D276&gt;0),-PMT(Inputs!B6/12,G276,D276),0)</f>
        <v>4.3603127872172829E-4</v>
      </c>
      <c r="I276">
        <f>IF(AND(A276&lt;=Inputs!B7,D276&gt;0),D276*Inputs!B6/12,0)</f>
        <v>5.0960107135663961E-5</v>
      </c>
      <c r="J276">
        <f t="shared" si="56"/>
        <v>3.8507117158606433E-4</v>
      </c>
      <c r="K276">
        <f>MAX((D276-J276)*Inputs!B32,0)</f>
        <v>8.2000652975550441E-4</v>
      </c>
      <c r="L276">
        <f>MAX((D276-J276-K276)*Inputs!B33,0)</f>
        <v>3.2025036682858871E-5</v>
      </c>
      <c r="M276">
        <f>MIN(E276*Inputs!B29,E276)</f>
        <v>3.0135415029297606E-5</v>
      </c>
      <c r="N276">
        <f>MIN((E276-M276)*Inputs!B30,E276-M276)</f>
        <v>1.1193154153739113E-5</v>
      </c>
      <c r="O276">
        <f>MIN(F276*Inputs!B31,F276)</f>
        <v>4.1701132232492858E-5</v>
      </c>
      <c r="P276">
        <f>MIN((F276-O276)*Inputs!B34,F276-O276)</f>
        <v>2.6732572118766514E-6</v>
      </c>
      <c r="Q276">
        <f>P276*Inputs!B35</f>
        <v>6.6831430296916284E-7</v>
      </c>
      <c r="R276">
        <f>C276*Inputs!B8/12</f>
        <v>4.6119847560827647E-6</v>
      </c>
      <c r="S276">
        <f t="shared" si="57"/>
        <v>4.6348122379581198E-5</v>
      </c>
      <c r="T276">
        <f t="shared" si="58"/>
        <v>1.2070826442504763E-3</v>
      </c>
      <c r="U276">
        <f t="shared" si="59"/>
        <v>9.4698866027672305E-3</v>
      </c>
      <c r="V276">
        <f t="shared" si="60"/>
        <v>7.6797653297815317E-5</v>
      </c>
      <c r="W276">
        <f t="shared" si="61"/>
        <v>3.143281999801434E-4</v>
      </c>
      <c r="X276">
        <f t="shared" si="62"/>
        <v>9.8610124560451883E-3</v>
      </c>
      <c r="Y276">
        <f t="shared" si="69"/>
        <v>81618.466810309212</v>
      </c>
      <c r="Z276">
        <f>IF(Inputs!B3&gt;0,(V276+W276)/Inputs!B3,0)</f>
        <v>1.3037528442598623E-12</v>
      </c>
      <c r="AA276">
        <f>IF(OR(Y276/Inputs!B3&gt;=Inputs!B23,Z276&gt;=Inputs!B24),1,0)</f>
        <v>0</v>
      </c>
      <c r="AB276">
        <f t="shared" si="63"/>
        <v>0</v>
      </c>
    </row>
    <row r="277" spans="1:28" x14ac:dyDescent="0.2">
      <c r="A277">
        <v>276</v>
      </c>
      <c r="B277">
        <f t="shared" si="64"/>
        <v>0</v>
      </c>
      <c r="C277">
        <f t="shared" si="65"/>
        <v>9.8610124560451883E-3</v>
      </c>
      <c r="D277">
        <f t="shared" si="66"/>
        <v>9.4698866027672305E-3</v>
      </c>
      <c r="E277">
        <f t="shared" si="67"/>
        <v>7.6797653297815317E-5</v>
      </c>
      <c r="F277">
        <f t="shared" si="68"/>
        <v>3.143281999801434E-4</v>
      </c>
      <c r="G277">
        <f>MAX(Inputs!B7-A277+1,0)</f>
        <v>25</v>
      </c>
      <c r="H277">
        <f>IF(AND(A277&lt;=Inputs!B7,D277&gt;0),-PMT(Inputs!B6/12,G277,D277),0)</f>
        <v>4.028423301444221E-4</v>
      </c>
      <c r="I277">
        <f>IF(AND(A277&lt;=Inputs!B7,D277&gt;0),D277*Inputs!B6/12,0)</f>
        <v>4.5376539971592979E-5</v>
      </c>
      <c r="J277">
        <f t="shared" si="56"/>
        <v>3.5746579017282914E-4</v>
      </c>
      <c r="K277">
        <f>MAX((D277-J277)*Inputs!B32,0)</f>
        <v>7.2899366500755211E-4</v>
      </c>
      <c r="L277">
        <f>MAX((D277-J277-K277)*Inputs!B33,0)</f>
        <v>2.8470564582454627E-5</v>
      </c>
      <c r="M277">
        <f>MIN(E277*Inputs!B29,E277)</f>
        <v>2.6879178654235358E-5</v>
      </c>
      <c r="N277">
        <f>MIN((E277-M277)*Inputs!B30,E277-M277)</f>
        <v>9.9836949287159928E-6</v>
      </c>
      <c r="O277">
        <f>MIN(F277*Inputs!B31,F277)</f>
        <v>3.7719383997617208E-5</v>
      </c>
      <c r="P277">
        <f>MIN((F277-O277)*Inputs!B34,F277-O277)</f>
        <v>2.4180066559585407E-6</v>
      </c>
      <c r="Q277">
        <f>P277*Inputs!B35</f>
        <v>6.0450166398963517E-7</v>
      </c>
      <c r="R277">
        <f>C277*Inputs!B8/12</f>
        <v>4.1087551900188285E-6</v>
      </c>
      <c r="S277">
        <f t="shared" si="57"/>
        <v>4.1267784781574154E-5</v>
      </c>
      <c r="T277">
        <f t="shared" si="58"/>
        <v>1.0882729601723502E-3</v>
      </c>
      <c r="U277">
        <f t="shared" si="59"/>
        <v>8.4195551456562479E-3</v>
      </c>
      <c r="V277">
        <f t="shared" si="60"/>
        <v>6.8405344297318594E-5</v>
      </c>
      <c r="W277">
        <f t="shared" si="61"/>
        <v>2.8417450425528368E-4</v>
      </c>
      <c r="X277">
        <f t="shared" si="62"/>
        <v>8.7721349942088498E-3</v>
      </c>
      <c r="Y277">
        <f t="shared" si="69"/>
        <v>81618.466810913713</v>
      </c>
      <c r="Z277">
        <f>IF(Inputs!B3&gt;0,(V277+W277)/Inputs!B3,0)</f>
        <v>1.1752661618420076E-12</v>
      </c>
      <c r="AA277">
        <f>IF(OR(Y277/Inputs!B3&gt;=Inputs!B23,Z277&gt;=Inputs!B24),1,0)</f>
        <v>0</v>
      </c>
      <c r="AB277">
        <f t="shared" si="63"/>
        <v>0</v>
      </c>
    </row>
    <row r="278" spans="1:28" x14ac:dyDescent="0.2">
      <c r="A278">
        <v>277</v>
      </c>
      <c r="B278">
        <f t="shared" si="64"/>
        <v>0</v>
      </c>
      <c r="C278">
        <f t="shared" si="65"/>
        <v>8.7721349942088498E-3</v>
      </c>
      <c r="D278">
        <f t="shared" si="66"/>
        <v>8.4195551456562479E-3</v>
      </c>
      <c r="E278">
        <f t="shared" si="67"/>
        <v>6.8405344297318594E-5</v>
      </c>
      <c r="F278">
        <f t="shared" si="68"/>
        <v>2.8417450425528368E-4</v>
      </c>
      <c r="G278">
        <f>MAX(Inputs!B7-A278+1,0)</f>
        <v>24</v>
      </c>
      <c r="H278">
        <f>IF(AND(A278&lt;=Inputs!B7,D278&gt;0),-PMT(Inputs!B6/12,G278,D278),0)</f>
        <v>3.7221209197975505E-4</v>
      </c>
      <c r="I278">
        <f>IF(AND(A278&lt;=Inputs!B7,D278&gt;0),D278*Inputs!B6/12,0)</f>
        <v>4.0343701739602858E-5</v>
      </c>
      <c r="J278">
        <f t="shared" si="56"/>
        <v>3.3186839024015218E-4</v>
      </c>
      <c r="K278">
        <f>MAX((D278-J278)*Inputs!B32,0)</f>
        <v>6.4701494043328768E-4</v>
      </c>
      <c r="L278">
        <f>MAX((D278-J278-K278)*Inputs!B33,0)</f>
        <v>2.5268917319368085E-5</v>
      </c>
      <c r="M278">
        <f>MIN(E278*Inputs!B29,E278)</f>
        <v>2.3941870504061507E-5</v>
      </c>
      <c r="N278">
        <f>MIN((E278-M278)*Inputs!B30,E278-M278)</f>
        <v>8.8926947586514177E-6</v>
      </c>
      <c r="O278">
        <f>MIN(F278*Inputs!B31,F278)</f>
        <v>3.4100940510634043E-5</v>
      </c>
      <c r="P278">
        <f>MIN((F278-O278)*Inputs!B34,F278-O278)</f>
        <v>2.1860458043102784E-6</v>
      </c>
      <c r="Q278">
        <f>P278*Inputs!B35</f>
        <v>5.4651145107756959E-7</v>
      </c>
      <c r="R278">
        <f>C278*Inputs!B8/12</f>
        <v>3.6550562475870207E-6</v>
      </c>
      <c r="S278">
        <f t="shared" si="57"/>
        <v>3.6688645492015834E-5</v>
      </c>
      <c r="T278">
        <f t="shared" si="58"/>
        <v>9.8052286502667263E-4</v>
      </c>
      <c r="U278">
        <f t="shared" si="59"/>
        <v>7.4734457086781357E-3</v>
      </c>
      <c r="V278">
        <f t="shared" si="60"/>
        <v>6.0839696353973756E-5</v>
      </c>
      <c r="W278">
        <f t="shared" si="61"/>
        <v>2.5678021269899082E-4</v>
      </c>
      <c r="X278">
        <f t="shared" si="62"/>
        <v>7.7910656177311004E-3</v>
      </c>
      <c r="Y278">
        <f t="shared" si="69"/>
        <v>81618.466811460225</v>
      </c>
      <c r="Z278">
        <f>IF(Inputs!B3&gt;0,(V278+W278)/Inputs!B3,0)</f>
        <v>1.0587330301765486E-12</v>
      </c>
      <c r="AA278">
        <f>IF(OR(Y278/Inputs!B3&gt;=Inputs!B23,Z278&gt;=Inputs!B24),1,0)</f>
        <v>0</v>
      </c>
      <c r="AB278">
        <f t="shared" si="63"/>
        <v>0</v>
      </c>
    </row>
    <row r="279" spans="1:28" x14ac:dyDescent="0.2">
      <c r="A279">
        <v>278</v>
      </c>
      <c r="B279">
        <f t="shared" si="64"/>
        <v>0</v>
      </c>
      <c r="C279">
        <f t="shared" si="65"/>
        <v>7.7910656177311004E-3</v>
      </c>
      <c r="D279">
        <f t="shared" si="66"/>
        <v>7.4734457086781357E-3</v>
      </c>
      <c r="E279">
        <f t="shared" si="67"/>
        <v>6.0839696353973756E-5</v>
      </c>
      <c r="F279">
        <f t="shared" si="68"/>
        <v>2.5678021269899082E-4</v>
      </c>
      <c r="G279">
        <f>MAX(Inputs!B7-A279+1,0)</f>
        <v>23</v>
      </c>
      <c r="H279">
        <f>IF(AND(A279&lt;=Inputs!B7,D279&gt;0),-PMT(Inputs!B6/12,G279,D279),0)</f>
        <v>3.4394344707544241E-4</v>
      </c>
      <c r="I279">
        <f>IF(AND(A279&lt;=Inputs!B7,D279&gt;0),D279*Inputs!B6/12,0)</f>
        <v>3.5810260687416069E-5</v>
      </c>
      <c r="J279">
        <f t="shared" si="56"/>
        <v>3.0813318638802636E-4</v>
      </c>
      <c r="K279">
        <f>MAX((D279-J279)*Inputs!B32,0)</f>
        <v>5.732250017832088E-4</v>
      </c>
      <c r="L279">
        <f>MAX((D279-J279-K279)*Inputs!B33,0)</f>
        <v>2.2387079911561981E-5</v>
      </c>
      <c r="M279">
        <f>MIN(E279*Inputs!B29,E279)</f>
        <v>2.1293893723890813E-5</v>
      </c>
      <c r="N279">
        <f>MIN((E279-M279)*Inputs!B30,E279-M279)</f>
        <v>7.9091605260165889E-6</v>
      </c>
      <c r="O279">
        <f>MIN(F279*Inputs!B31,F279)</f>
        <v>3.0813625523878895E-5</v>
      </c>
      <c r="P279">
        <f>MIN((F279-O279)*Inputs!B34,F279-O279)</f>
        <v>1.9753119938453899E-6</v>
      </c>
      <c r="Q279">
        <f>P279*Inputs!B35</f>
        <v>4.9382799846134747E-7</v>
      </c>
      <c r="R279">
        <f>C279*Inputs!B8/12</f>
        <v>3.2462773407212919E-6</v>
      </c>
      <c r="S279">
        <f t="shared" si="57"/>
        <v>3.2563983346694775E-5</v>
      </c>
      <c r="T279">
        <f t="shared" si="58"/>
        <v>8.8283967216661919E-4</v>
      </c>
      <c r="U279">
        <f t="shared" si="59"/>
        <v>6.6218079598431073E-3</v>
      </c>
      <c r="V279">
        <f t="shared" si="60"/>
        <v>5.4023722015628337E-5</v>
      </c>
      <c r="W279">
        <f t="shared" si="61"/>
        <v>2.319004357072831E-4</v>
      </c>
      <c r="X279">
        <f t="shared" si="62"/>
        <v>6.9077321175660183E-3</v>
      </c>
      <c r="Y279">
        <f t="shared" si="69"/>
        <v>81618.466811954058</v>
      </c>
      <c r="Z279">
        <f>IF(Inputs!B3&gt;0,(V279+W279)/Inputs!B3,0)</f>
        <v>9.5308052574303812E-13</v>
      </c>
      <c r="AA279">
        <f>IF(OR(Y279/Inputs!B3&gt;=Inputs!B23,Z279&gt;=Inputs!B24),1,0)</f>
        <v>0</v>
      </c>
      <c r="AB279">
        <f t="shared" si="63"/>
        <v>0</v>
      </c>
    </row>
    <row r="280" spans="1:28" x14ac:dyDescent="0.2">
      <c r="A280">
        <v>279</v>
      </c>
      <c r="B280">
        <f t="shared" si="64"/>
        <v>0</v>
      </c>
      <c r="C280">
        <f t="shared" si="65"/>
        <v>6.9077321175660183E-3</v>
      </c>
      <c r="D280">
        <f t="shared" si="66"/>
        <v>6.6218079598431073E-3</v>
      </c>
      <c r="E280">
        <f t="shared" si="67"/>
        <v>5.4023722015628337E-5</v>
      </c>
      <c r="F280">
        <f t="shared" si="68"/>
        <v>2.319004357072831E-4</v>
      </c>
      <c r="G280">
        <f>MAX(Inputs!B7-A280+1,0)</f>
        <v>22</v>
      </c>
      <c r="H280">
        <f>IF(AND(A280&lt;=Inputs!B7,D280&gt;0),-PMT(Inputs!B6/12,G280,D280),0)</f>
        <v>3.1785458743007053E-4</v>
      </c>
      <c r="I280">
        <f>IF(AND(A280&lt;=Inputs!B7,D280&gt;0),D280*Inputs!B6/12,0)</f>
        <v>3.1729496474248222E-5</v>
      </c>
      <c r="J280">
        <f t="shared" si="56"/>
        <v>2.8612509095582233E-4</v>
      </c>
      <c r="K280">
        <f>MAX((D280-J280)*Inputs!B32,0)</f>
        <v>5.0685462951098278E-4</v>
      </c>
      <c r="L280">
        <f>MAX((D280-J280-K280)*Inputs!B33,0)</f>
        <v>1.9795010788274895E-5</v>
      </c>
      <c r="M280">
        <f>MIN(E280*Inputs!B29,E280)</f>
        <v>1.8908302705469915E-5</v>
      </c>
      <c r="N280">
        <f>MIN((E280-M280)*Inputs!B30,E280-M280)</f>
        <v>7.023083862031684E-6</v>
      </c>
      <c r="O280">
        <f>MIN(F280*Inputs!B31,F280)</f>
        <v>2.7828052284873973E-5</v>
      </c>
      <c r="P280">
        <f>MIN((F280-O280)*Inputs!B34,F280-O280)</f>
        <v>1.7839213824764012E-6</v>
      </c>
      <c r="Q280">
        <f>P280*Inputs!B35</f>
        <v>4.4598034561910031E-7</v>
      </c>
      <c r="R280">
        <f>C280*Inputs!B8/12</f>
        <v>2.8782217156525075E-6</v>
      </c>
      <c r="S280">
        <f t="shared" si="57"/>
        <v>2.8851274758595716E-5</v>
      </c>
      <c r="T280">
        <f t="shared" si="58"/>
        <v>7.943176615036624E-4</v>
      </c>
      <c r="U280">
        <f t="shared" si="59"/>
        <v>5.8557695835783708E-3</v>
      </c>
      <c r="V280">
        <f t="shared" si="60"/>
        <v>4.7887346236401634E-5</v>
      </c>
      <c r="W280">
        <f t="shared" si="61"/>
        <v>2.093115459019644E-4</v>
      </c>
      <c r="X280">
        <f t="shared" si="62"/>
        <v>6.1129684757167367E-3</v>
      </c>
      <c r="Y280">
        <f t="shared" si="69"/>
        <v>81618.466812400045</v>
      </c>
      <c r="Z280">
        <f>IF(Inputs!B3&gt;0,(V280+W280)/Inputs!B3,0)</f>
        <v>8.573296404612202E-13</v>
      </c>
      <c r="AA280">
        <f>IF(OR(Y280/Inputs!B3&gt;=Inputs!B23,Z280&gt;=Inputs!B24),1,0)</f>
        <v>0</v>
      </c>
      <c r="AB280">
        <f t="shared" si="63"/>
        <v>0</v>
      </c>
    </row>
    <row r="281" spans="1:28" x14ac:dyDescent="0.2">
      <c r="A281">
        <v>280</v>
      </c>
      <c r="B281">
        <f t="shared" si="64"/>
        <v>0</v>
      </c>
      <c r="C281">
        <f t="shared" si="65"/>
        <v>6.1129684757167367E-3</v>
      </c>
      <c r="D281">
        <f t="shared" si="66"/>
        <v>5.8557695835783708E-3</v>
      </c>
      <c r="E281">
        <f t="shared" si="67"/>
        <v>4.7887346236401634E-5</v>
      </c>
      <c r="F281">
        <f t="shared" si="68"/>
        <v>2.093115459019644E-4</v>
      </c>
      <c r="G281">
        <f>MAX(Inputs!B7-A281+1,0)</f>
        <v>21</v>
      </c>
      <c r="H281">
        <f>IF(AND(A281&lt;=Inputs!B7,D281&gt;0),-PMT(Inputs!B6/12,G281,D281),0)</f>
        <v>2.9377783951499295E-4</v>
      </c>
      <c r="I281">
        <f>IF(AND(A281&lt;=Inputs!B7,D281&gt;0),D281*Inputs!B6/12,0)</f>
        <v>2.8058895921313027E-5</v>
      </c>
      <c r="J281">
        <f t="shared" si="56"/>
        <v>2.6571894359367994E-4</v>
      </c>
      <c r="K281">
        <f>MAX((D281-J281)*Inputs!B32,0)</f>
        <v>4.4720405119877529E-4</v>
      </c>
      <c r="L281">
        <f>MAX((D281-J281-K281)*Inputs!B33,0)</f>
        <v>1.7465380609388668E-5</v>
      </c>
      <c r="M281">
        <f>MIN(E281*Inputs!B29,E281)</f>
        <v>1.6760571182740569E-5</v>
      </c>
      <c r="N281">
        <f>MIN((E281-M281)*Inputs!B30,E281-M281)</f>
        <v>6.2253550107322123E-6</v>
      </c>
      <c r="O281">
        <f>MIN(F281*Inputs!B31,F281)</f>
        <v>2.5117385508235727E-5</v>
      </c>
      <c r="P281">
        <f>MIN((F281-O281)*Inputs!B34,F281-O281)</f>
        <v>1.6101536902889835E-6</v>
      </c>
      <c r="Q281">
        <f>P281*Inputs!B35</f>
        <v>4.0253842257224587E-7</v>
      </c>
      <c r="R281">
        <f>C281*Inputs!B8/12</f>
        <v>2.5470701982153071E-6</v>
      </c>
      <c r="S281">
        <f t="shared" si="57"/>
        <v>2.5511825723097719E-5</v>
      </c>
      <c r="T281">
        <f t="shared" si="58"/>
        <v>7.1413061006017197E-4</v>
      </c>
      <c r="U281">
        <f t="shared" si="59"/>
        <v>5.1672591648675029E-3</v>
      </c>
      <c r="V281">
        <f t="shared" si="60"/>
        <v>4.2366800652317517E-5</v>
      </c>
      <c r="W281">
        <f t="shared" si="61"/>
        <v>1.8880936171417189E-4</v>
      </c>
      <c r="X281">
        <f t="shared" si="62"/>
        <v>5.3984353272339917E-3</v>
      </c>
      <c r="Y281">
        <f t="shared" si="69"/>
        <v>81618.466812802581</v>
      </c>
      <c r="Z281">
        <f>IF(Inputs!B3&gt;0,(V281+W281)/Inputs!B3,0)</f>
        <v>7.70587207888298E-13</v>
      </c>
      <c r="AA281">
        <f>IF(OR(Y281/Inputs!B3&gt;=Inputs!B23,Z281&gt;=Inputs!B24),1,0)</f>
        <v>0</v>
      </c>
      <c r="AB281">
        <f t="shared" si="63"/>
        <v>0</v>
      </c>
    </row>
    <row r="282" spans="1:28" x14ac:dyDescent="0.2">
      <c r="A282">
        <v>281</v>
      </c>
      <c r="B282">
        <f t="shared" si="64"/>
        <v>0</v>
      </c>
      <c r="C282">
        <f t="shared" si="65"/>
        <v>5.3984353272339917E-3</v>
      </c>
      <c r="D282">
        <f t="shared" si="66"/>
        <v>5.1672591648675029E-3</v>
      </c>
      <c r="E282">
        <f t="shared" si="67"/>
        <v>4.2366800652317517E-5</v>
      </c>
      <c r="F282">
        <f t="shared" si="68"/>
        <v>1.8880936171417189E-4</v>
      </c>
      <c r="G282">
        <f>MAX(Inputs!B7-A282+1,0)</f>
        <v>20</v>
      </c>
      <c r="H282">
        <f>IF(AND(A282&lt;=Inputs!B7,D282&gt;0),-PMT(Inputs!B6/12,G282,D282),0)</f>
        <v>2.7155858353243454E-4</v>
      </c>
      <c r="I282">
        <f>IF(AND(A282&lt;=Inputs!B7,D282&gt;0),D282*Inputs!B6/12,0)</f>
        <v>2.4759783498323452E-5</v>
      </c>
      <c r="J282">
        <f t="shared" si="56"/>
        <v>2.4679880003411107E-4</v>
      </c>
      <c r="K282">
        <f>MAX((D282-J282)*Inputs!B32,0)</f>
        <v>3.9363682918667131E-4</v>
      </c>
      <c r="L282">
        <f>MAX((D282-J282-K282)*Inputs!B33,0)</f>
        <v>1.537333354916834E-5</v>
      </c>
      <c r="M282">
        <f>MIN(E282*Inputs!B29,E282)</f>
        <v>1.482838022831113E-5</v>
      </c>
      <c r="N282">
        <f>MIN((E282-M282)*Inputs!B30,E282-M282)</f>
        <v>5.5076840848012772E-6</v>
      </c>
      <c r="O282">
        <f>MIN(F282*Inputs!B31,F282)</f>
        <v>2.2657123405700626E-5</v>
      </c>
      <c r="P282">
        <f>MIN((F282-O282)*Inputs!B34,F282-O282)</f>
        <v>1.4524382265447127E-6</v>
      </c>
      <c r="Q282">
        <f>P282*Inputs!B35</f>
        <v>3.6310955663617818E-7</v>
      </c>
      <c r="R282">
        <f>C282*Inputs!B8/12</f>
        <v>2.2493480530141632E-6</v>
      </c>
      <c r="S282">
        <f t="shared" si="57"/>
        <v>2.2510435445309289E-5</v>
      </c>
      <c r="T282">
        <f t="shared" si="58"/>
        <v>6.415249578906909E-4</v>
      </c>
      <c r="U282">
        <f t="shared" si="59"/>
        <v>4.5489357057315639E-3</v>
      </c>
      <c r="V282">
        <f t="shared" si="60"/>
        <v>3.7404069888373446E-5</v>
      </c>
      <c r="W282">
        <f t="shared" si="61"/>
        <v>1.7020748416672783E-4</v>
      </c>
      <c r="X282">
        <f t="shared" si="62"/>
        <v>4.7565472597866651E-3</v>
      </c>
      <c r="Y282">
        <f t="shared" si="69"/>
        <v>81618.466813165694</v>
      </c>
      <c r="Z282">
        <f>IF(Inputs!B3&gt;0,(V282+W282)/Inputs!B3,0)</f>
        <v>6.9203851351700432E-13</v>
      </c>
      <c r="AA282">
        <f>IF(OR(Y282/Inputs!B3&gt;=Inputs!B23,Z282&gt;=Inputs!B24),1,0)</f>
        <v>0</v>
      </c>
      <c r="AB282">
        <f t="shared" si="63"/>
        <v>0</v>
      </c>
    </row>
    <row r="283" spans="1:28" x14ac:dyDescent="0.2">
      <c r="A283">
        <v>282</v>
      </c>
      <c r="B283">
        <f t="shared" si="64"/>
        <v>0</v>
      </c>
      <c r="C283">
        <f t="shared" si="65"/>
        <v>4.7565472597866651E-3</v>
      </c>
      <c r="D283">
        <f t="shared" si="66"/>
        <v>4.5489357057315639E-3</v>
      </c>
      <c r="E283">
        <f t="shared" si="67"/>
        <v>3.7404069888373446E-5</v>
      </c>
      <c r="F283">
        <f t="shared" si="68"/>
        <v>1.7020748416672783E-4</v>
      </c>
      <c r="G283">
        <f>MAX(Inputs!B7-A283+1,0)</f>
        <v>19</v>
      </c>
      <c r="H283">
        <f>IF(AND(A283&lt;=Inputs!B7,D283&gt;0),-PMT(Inputs!B6/12,G283,D283),0)</f>
        <v>2.5105426021867903E-4</v>
      </c>
      <c r="I283">
        <f>IF(AND(A283&lt;=Inputs!B7,D283&gt;0),D283*Inputs!B6/12,0)</f>
        <v>2.1796983589963745E-5</v>
      </c>
      <c r="J283">
        <f t="shared" si="56"/>
        <v>2.2925727662871529E-4</v>
      </c>
      <c r="K283">
        <f>MAX((D283-J283)*Inputs!B32,0)</f>
        <v>3.4557427432822785E-4</v>
      </c>
      <c r="L283">
        <f>MAX((D283-J283-K283)*Inputs!B33,0)</f>
        <v>1.3496269127653911E-5</v>
      </c>
      <c r="M283">
        <f>MIN(E283*Inputs!B29,E283)</f>
        <v>1.3091424460930705E-5</v>
      </c>
      <c r="N283">
        <f>MIN((E283-M283)*Inputs!B30,E283-M283)</f>
        <v>4.8625290854885483E-6</v>
      </c>
      <c r="O283">
        <f>MIN(F283*Inputs!B31,F283)</f>
        <v>2.042489810000734E-5</v>
      </c>
      <c r="P283">
        <f>MIN((F283-O283)*Inputs!B34,F283-O283)</f>
        <v>1.3093410951836484E-6</v>
      </c>
      <c r="Q283">
        <f>P283*Inputs!B35</f>
        <v>3.273352737959121E-7</v>
      </c>
      <c r="R283">
        <f>C283*Inputs!B8/12</f>
        <v>1.9818946915777772E-6</v>
      </c>
      <c r="S283">
        <f t="shared" si="57"/>
        <v>1.9815088898385966E-5</v>
      </c>
      <c r="T283">
        <f t="shared" si="58"/>
        <v>5.758135567783309E-4</v>
      </c>
      <c r="U283">
        <f t="shared" si="59"/>
        <v>3.994124208207904E-3</v>
      </c>
      <c r="V283">
        <f t="shared" si="60"/>
        <v>3.2946385469608103E-5</v>
      </c>
      <c r="W283">
        <f t="shared" si="61"/>
        <v>1.5333577405702537E-4</v>
      </c>
      <c r="X283">
        <f t="shared" si="62"/>
        <v>4.1804063677345375E-3</v>
      </c>
      <c r="Y283">
        <f t="shared" si="69"/>
        <v>81618.466813493025</v>
      </c>
      <c r="Z283">
        <f>IF(Inputs!B3&gt;0,(V283+W283)/Inputs!B3,0)</f>
        <v>6.209405317554449E-13</v>
      </c>
      <c r="AA283">
        <f>IF(OR(Y283/Inputs!B3&gt;=Inputs!B23,Z283&gt;=Inputs!B24),1,0)</f>
        <v>0</v>
      </c>
      <c r="AB283">
        <f t="shared" si="63"/>
        <v>0</v>
      </c>
    </row>
    <row r="284" spans="1:28" x14ac:dyDescent="0.2">
      <c r="A284">
        <v>283</v>
      </c>
      <c r="B284">
        <f t="shared" si="64"/>
        <v>0</v>
      </c>
      <c r="C284">
        <f t="shared" si="65"/>
        <v>4.1804063677345375E-3</v>
      </c>
      <c r="D284">
        <f t="shared" si="66"/>
        <v>3.994124208207904E-3</v>
      </c>
      <c r="E284">
        <f t="shared" si="67"/>
        <v>3.2946385469608103E-5</v>
      </c>
      <c r="F284">
        <f t="shared" si="68"/>
        <v>1.5333577405702537E-4</v>
      </c>
      <c r="G284">
        <f>MAX(Inputs!B7-A284+1,0)</f>
        <v>18</v>
      </c>
      <c r="H284">
        <f>IF(AND(A284&lt;=Inputs!B7,D284&gt;0),-PMT(Inputs!B6/12,G284,D284),0)</f>
        <v>2.321334596476922E-4</v>
      </c>
      <c r="I284">
        <f>IF(AND(A284&lt;=Inputs!B7,D284&gt;0),D284*Inputs!B6/12,0)</f>
        <v>1.9138511830996208E-5</v>
      </c>
      <c r="J284">
        <f t="shared" si="56"/>
        <v>2.1299494781669599E-4</v>
      </c>
      <c r="K284">
        <f>MAX((D284-J284)*Inputs!B32,0)</f>
        <v>3.0249034083129666E-4</v>
      </c>
      <c r="L284">
        <f>MAX((D284-J284-K284)*Inputs!B33,0)</f>
        <v>1.1813642830650559E-5</v>
      </c>
      <c r="M284">
        <f>MIN(E284*Inputs!B29,E284)</f>
        <v>1.1531234914362836E-5</v>
      </c>
      <c r="N284">
        <f>MIN((E284-M284)*Inputs!B30,E284-M284)</f>
        <v>4.2830301110490533E-6</v>
      </c>
      <c r="O284">
        <f>MIN(F284*Inputs!B31,F284)</f>
        <v>1.8400292886843044E-5</v>
      </c>
      <c r="P284">
        <f>MIN((F284-O284)*Inputs!B34,F284-O284)</f>
        <v>1.179553480374539E-6</v>
      </c>
      <c r="Q284">
        <f>P284*Inputs!B35</f>
        <v>2.9488837009363476E-7</v>
      </c>
      <c r="R284">
        <f>C284*Inputs!B8/12</f>
        <v>1.7418359865560573E-6</v>
      </c>
      <c r="S284">
        <f t="shared" si="57"/>
        <v>1.739667584444015E-5</v>
      </c>
      <c r="T284">
        <f t="shared" si="58"/>
        <v>5.1636995375827356E-4</v>
      </c>
      <c r="U284">
        <f t="shared" si="59"/>
        <v>3.4967568045304663E-3</v>
      </c>
      <c r="V284">
        <f t="shared" si="60"/>
        <v>2.8945763274846771E-5</v>
      </c>
      <c r="W284">
        <f t="shared" si="61"/>
        <v>1.3803895780085682E-4</v>
      </c>
      <c r="X284">
        <f t="shared" si="62"/>
        <v>3.66374152560617E-3</v>
      </c>
      <c r="Y284">
        <f t="shared" si="69"/>
        <v>81618.46681378792</v>
      </c>
      <c r="Z284">
        <f>IF(Inputs!B3&gt;0,(V284+W284)/Inputs!B3,0)</f>
        <v>5.5661573691901201E-13</v>
      </c>
      <c r="AA284">
        <f>IF(OR(Y284/Inputs!B3&gt;=Inputs!B23,Z284&gt;=Inputs!B24),1,0)</f>
        <v>0</v>
      </c>
      <c r="AB284">
        <f t="shared" si="63"/>
        <v>0</v>
      </c>
    </row>
    <row r="285" spans="1:28" x14ac:dyDescent="0.2">
      <c r="A285">
        <v>284</v>
      </c>
      <c r="B285">
        <f t="shared" si="64"/>
        <v>0</v>
      </c>
      <c r="C285">
        <f t="shared" si="65"/>
        <v>3.66374152560617E-3</v>
      </c>
      <c r="D285">
        <f t="shared" si="66"/>
        <v>3.4967568045304663E-3</v>
      </c>
      <c r="E285">
        <f t="shared" si="67"/>
        <v>2.8945763274846771E-5</v>
      </c>
      <c r="F285">
        <f t="shared" si="68"/>
        <v>1.3803895780085682E-4</v>
      </c>
      <c r="G285">
        <f>MAX(Inputs!B7-A285+1,0)</f>
        <v>17</v>
      </c>
      <c r="H285">
        <f>IF(AND(A285&lt;=Inputs!B7,D285&gt;0),-PMT(Inputs!B6/12,G285,D285),0)</f>
        <v>2.1467508743625537E-4</v>
      </c>
      <c r="I285">
        <f>IF(AND(A285&lt;=Inputs!B7,D285&gt;0),D285*Inputs!B6/12,0)</f>
        <v>1.6755293021708485E-5</v>
      </c>
      <c r="J285">
        <f t="shared" si="56"/>
        <v>1.9791979441454688E-4</v>
      </c>
      <c r="K285">
        <f>MAX((D285-J285)*Inputs!B32,0)</f>
        <v>2.6390696080927356E-4</v>
      </c>
      <c r="L285">
        <f>MAX((D285-J285-K285)*Inputs!B33,0)</f>
        <v>1.0306783902438861E-5</v>
      </c>
      <c r="M285">
        <f>MIN(E285*Inputs!B29,E285)</f>
        <v>1.0131017146196369E-5</v>
      </c>
      <c r="N285">
        <f>MIN((E285-M285)*Inputs!B30,E285-M285)</f>
        <v>3.7629492257300803E-6</v>
      </c>
      <c r="O285">
        <f>MIN(F285*Inputs!B31,F285)</f>
        <v>1.6564674936102818E-5</v>
      </c>
      <c r="P285">
        <f>MIN((F285-O285)*Inputs!B34,F285-O285)</f>
        <v>1.0618809218044618E-6</v>
      </c>
      <c r="Q285">
        <f>P285*Inputs!B35</f>
        <v>2.6547023045111545E-7</v>
      </c>
      <c r="R285">
        <f>C285*Inputs!B8/12</f>
        <v>1.526558969002571E-6</v>
      </c>
      <c r="S285">
        <f t="shared" si="57"/>
        <v>1.5228734052705914E-5</v>
      </c>
      <c r="T285">
        <f t="shared" si="58"/>
        <v>4.6262316591517386E-4</v>
      </c>
      <c r="U285">
        <f t="shared" si="59"/>
        <v>3.0513189574865062E-3</v>
      </c>
      <c r="V285">
        <f t="shared" si="60"/>
        <v>2.535858080535918E-5</v>
      </c>
      <c r="W285">
        <f t="shared" si="61"/>
        <v>1.2417535116867963E-4</v>
      </c>
      <c r="X285">
        <f t="shared" si="62"/>
        <v>3.2008528894605448E-3</v>
      </c>
      <c r="Y285">
        <f t="shared" si="69"/>
        <v>81618.46681405339</v>
      </c>
      <c r="Z285">
        <f>IF(Inputs!B3&gt;0,(V285+W285)/Inputs!B3,0)</f>
        <v>4.9844643991346274E-13</v>
      </c>
      <c r="AA285">
        <f>IF(OR(Y285/Inputs!B3&gt;=Inputs!B23,Z285&gt;=Inputs!B24),1,0)</f>
        <v>0</v>
      </c>
      <c r="AB285">
        <f t="shared" si="63"/>
        <v>0</v>
      </c>
    </row>
    <row r="286" spans="1:28" x14ac:dyDescent="0.2">
      <c r="A286">
        <v>285</v>
      </c>
      <c r="B286">
        <f t="shared" si="64"/>
        <v>0</v>
      </c>
      <c r="C286">
        <f t="shared" si="65"/>
        <v>3.2008528894605448E-3</v>
      </c>
      <c r="D286">
        <f t="shared" si="66"/>
        <v>3.0513189574865062E-3</v>
      </c>
      <c r="E286">
        <f t="shared" si="67"/>
        <v>2.535858080535918E-5</v>
      </c>
      <c r="F286">
        <f t="shared" si="68"/>
        <v>1.2417535116867963E-4</v>
      </c>
      <c r="G286">
        <f>MAX(Inputs!B7-A286+1,0)</f>
        <v>16</v>
      </c>
      <c r="H286">
        <f>IF(AND(A286&lt;=Inputs!B7,D286&gt;0),-PMT(Inputs!B6/12,G286,D286),0)</f>
        <v>1.9856760488184941E-4</v>
      </c>
      <c r="I286">
        <f>IF(AND(A286&lt;=Inputs!B7,D286&gt;0),D286*Inputs!B6/12,0)</f>
        <v>1.4620903337956175E-5</v>
      </c>
      <c r="J286">
        <f t="shared" si="56"/>
        <v>1.8394670154389323E-4</v>
      </c>
      <c r="K286">
        <f>MAX((D286-J286)*Inputs!B32,0)</f>
        <v>2.2938978047540906E-4</v>
      </c>
      <c r="L286">
        <f>MAX((D286-J286-K286)*Inputs!B33,0)</f>
        <v>8.9587288244988599E-6</v>
      </c>
      <c r="M286">
        <f>MIN(E286*Inputs!B29,E286)</f>
        <v>8.8755032818757121E-6</v>
      </c>
      <c r="N286">
        <f>MIN((E286-M286)*Inputs!B30,E286-M286)</f>
        <v>3.2966155046966933E-6</v>
      </c>
      <c r="O286">
        <f>MIN(F286*Inputs!B31,F286)</f>
        <v>1.4901042140241556E-5</v>
      </c>
      <c r="P286">
        <f>MIN((F286-O286)*Inputs!B34,F286-O286)</f>
        <v>9.5523349686990912E-7</v>
      </c>
      <c r="Q286">
        <f>P286*Inputs!B35</f>
        <v>2.3880837421747728E-7</v>
      </c>
      <c r="R286">
        <f>C286*Inputs!B8/12</f>
        <v>1.3336887039418937E-6</v>
      </c>
      <c r="S286">
        <f t="shared" si="57"/>
        <v>1.3287214634014282E-5</v>
      </c>
      <c r="T286">
        <f t="shared" si="58"/>
        <v>4.1405290714195475E-4</v>
      </c>
      <c r="U286">
        <f t="shared" si="59"/>
        <v>2.6528002920648223E-3</v>
      </c>
      <c r="V286">
        <f t="shared" si="60"/>
        <v>2.2145190843285631E-5</v>
      </c>
      <c r="W286">
        <f t="shared" si="61"/>
        <v>1.1161569103626487E-4</v>
      </c>
      <c r="X286">
        <f t="shared" si="62"/>
        <v>2.7865611739443727E-3</v>
      </c>
      <c r="Y286">
        <f t="shared" si="69"/>
        <v>81618.466814292202</v>
      </c>
      <c r="Z286">
        <f>IF(Inputs!B3&gt;0,(V286+W286)/Inputs!B3,0)</f>
        <v>4.4586960626516832E-13</v>
      </c>
      <c r="AA286">
        <f>IF(OR(Y286/Inputs!B3&gt;=Inputs!B23,Z286&gt;=Inputs!B24),1,0)</f>
        <v>0</v>
      </c>
      <c r="AB286">
        <f t="shared" si="63"/>
        <v>0</v>
      </c>
    </row>
    <row r="287" spans="1:28" x14ac:dyDescent="0.2">
      <c r="A287">
        <v>286</v>
      </c>
      <c r="B287">
        <f t="shared" si="64"/>
        <v>0</v>
      </c>
      <c r="C287">
        <f t="shared" si="65"/>
        <v>2.7865611739443727E-3</v>
      </c>
      <c r="D287">
        <f t="shared" si="66"/>
        <v>2.6528002920648223E-3</v>
      </c>
      <c r="E287">
        <f t="shared" si="67"/>
        <v>2.2145190843285631E-5</v>
      </c>
      <c r="F287">
        <f t="shared" si="68"/>
        <v>1.1161569103626487E-4</v>
      </c>
      <c r="G287">
        <f>MAX(Inputs!B7-A287+1,0)</f>
        <v>15</v>
      </c>
      <c r="H287">
        <f>IF(AND(A287&lt;=Inputs!B7,D287&gt;0),-PMT(Inputs!B6/12,G287,D287),0)</f>
        <v>1.8370834101971755E-4</v>
      </c>
      <c r="I287">
        <f>IF(AND(A287&lt;=Inputs!B7,D287&gt;0),D287*Inputs!B6/12,0)</f>
        <v>1.2711334732810608E-5</v>
      </c>
      <c r="J287">
        <f t="shared" si="56"/>
        <v>1.7099700628690694E-4</v>
      </c>
      <c r="K287">
        <f>MAX((D287-J287)*Inputs!B32,0)</f>
        <v>1.9854426286223324E-4</v>
      </c>
      <c r="L287">
        <f>MAX((D287-J287-K287)*Inputs!B33,0)</f>
        <v>7.7540691087301832E-6</v>
      </c>
      <c r="M287">
        <f>MIN(E287*Inputs!B29,E287)</f>
        <v>7.750816795149971E-6</v>
      </c>
      <c r="N287">
        <f>MIN((E287-M287)*Inputs!B30,E287-M287)</f>
        <v>2.8788748096271323E-6</v>
      </c>
      <c r="O287">
        <f>MIN(F287*Inputs!B31,F287)</f>
        <v>1.3393882924351783E-5</v>
      </c>
      <c r="P287">
        <f>MIN((F287-O287)*Inputs!B34,F287-O287)</f>
        <v>8.5861683378121869E-7</v>
      </c>
      <c r="Q287">
        <f>P287*Inputs!B35</f>
        <v>2.1465420844530467E-7</v>
      </c>
      <c r="R287">
        <f>C287*Inputs!B8/12</f>
        <v>1.1610671558101552E-6</v>
      </c>
      <c r="S287">
        <f t="shared" si="57"/>
        <v>1.1550267577000453E-5</v>
      </c>
      <c r="T287">
        <f t="shared" si="58"/>
        <v>3.7018523177447611E-4</v>
      </c>
      <c r="U287">
        <f t="shared" si="59"/>
        <v>2.2966496535264539E-3</v>
      </c>
      <c r="V287">
        <f t="shared" si="60"/>
        <v>1.9269568347238712E-5</v>
      </c>
      <c r="W287">
        <f t="shared" si="61"/>
        <v>1.00242066087759E-4</v>
      </c>
      <c r="X287">
        <f t="shared" si="62"/>
        <v>2.4161612879614516E-3</v>
      </c>
      <c r="Y287">
        <f t="shared" si="69"/>
        <v>81618.466814506857</v>
      </c>
      <c r="Z287">
        <f>IF(Inputs!B3&gt;0,(V287+W287)/Inputs!B3,0)</f>
        <v>3.9837211478332571E-13</v>
      </c>
      <c r="AA287">
        <f>IF(OR(Y287/Inputs!B3&gt;=Inputs!B23,Z287&gt;=Inputs!B24),1,0)</f>
        <v>0</v>
      </c>
      <c r="AB287">
        <f t="shared" si="63"/>
        <v>0</v>
      </c>
    </row>
    <row r="288" spans="1:28" x14ac:dyDescent="0.2">
      <c r="A288">
        <v>287</v>
      </c>
      <c r="B288">
        <f t="shared" si="64"/>
        <v>0</v>
      </c>
      <c r="C288">
        <f t="shared" si="65"/>
        <v>2.4161612879614516E-3</v>
      </c>
      <c r="D288">
        <f t="shared" si="66"/>
        <v>2.2966496535264539E-3</v>
      </c>
      <c r="E288">
        <f t="shared" si="67"/>
        <v>1.9269568347238712E-5</v>
      </c>
      <c r="F288">
        <f t="shared" si="68"/>
        <v>1.00242066087759E-4</v>
      </c>
      <c r="G288">
        <f>MAX(Inputs!B7-A288+1,0)</f>
        <v>14</v>
      </c>
      <c r="H288">
        <f>IF(AND(A288&lt;=Inputs!B7,D288&gt;0),-PMT(Inputs!B6/12,G288,D288),0)</f>
        <v>1.7000287660615538E-4</v>
      </c>
      <c r="I288">
        <f>IF(AND(A288&lt;=Inputs!B7,D288&gt;0),D288*Inputs!B6/12,0)</f>
        <v>1.1004779589814258E-5</v>
      </c>
      <c r="J288">
        <f t="shared" si="56"/>
        <v>1.5899809701634113E-4</v>
      </c>
      <c r="K288">
        <f>MAX((D288-J288)*Inputs!B32,0)</f>
        <v>1.7101212452080901E-4</v>
      </c>
      <c r="L288">
        <f>MAX((D288-J288-K288)*Inputs!B33,0)</f>
        <v>6.6788121341246863E-6</v>
      </c>
      <c r="M288">
        <f>MIN(E288*Inputs!B29,E288)</f>
        <v>6.7443489215335485E-6</v>
      </c>
      <c r="N288">
        <f>MIN((E288-M288)*Inputs!B30,E288-M288)</f>
        <v>2.5050438851410331E-6</v>
      </c>
      <c r="O288">
        <f>MIN(F288*Inputs!B31,F288)</f>
        <v>1.202904793053108E-5</v>
      </c>
      <c r="P288">
        <f>MIN((F288-O288)*Inputs!B34,F288-O288)</f>
        <v>7.7112388587008436E-7</v>
      </c>
      <c r="Q288">
        <f>P288*Inputs!B35</f>
        <v>1.9278097146752109E-7</v>
      </c>
      <c r="R288">
        <f>C288*Inputs!B8/12</f>
        <v>1.0067338699839382E-6</v>
      </c>
      <c r="S288">
        <f t="shared" si="57"/>
        <v>9.9980457198303195E-6</v>
      </c>
      <c r="T288">
        <f t="shared" si="58"/>
        <v>3.305885644515527E-4</v>
      </c>
      <c r="U288">
        <f t="shared" si="59"/>
        <v>1.9787340167072439E-3</v>
      </c>
      <c r="V288">
        <f t="shared" si="60"/>
        <v>1.6698987674688819E-5</v>
      </c>
      <c r="W288">
        <f t="shared" si="61"/>
        <v>8.994693815649888E-5</v>
      </c>
      <c r="X288">
        <f t="shared" si="62"/>
        <v>2.0853799425384315E-3</v>
      </c>
      <c r="Y288">
        <f t="shared" si="69"/>
        <v>81618.466814699641</v>
      </c>
      <c r="Z288">
        <f>IF(Inputs!B3&gt;0,(V288+W288)/Inputs!B3,0)</f>
        <v>3.5548641943729231E-13</v>
      </c>
      <c r="AA288">
        <f>IF(OR(Y288/Inputs!B3&gt;=Inputs!B23,Z288&gt;=Inputs!B24),1,0)</f>
        <v>0</v>
      </c>
      <c r="AB288">
        <f t="shared" si="63"/>
        <v>0</v>
      </c>
    </row>
    <row r="289" spans="1:28" x14ac:dyDescent="0.2">
      <c r="A289">
        <v>288</v>
      </c>
      <c r="B289">
        <f t="shared" si="64"/>
        <v>0</v>
      </c>
      <c r="C289">
        <f t="shared" si="65"/>
        <v>2.0853799425384315E-3</v>
      </c>
      <c r="D289">
        <f t="shared" si="66"/>
        <v>1.9787340167072439E-3</v>
      </c>
      <c r="E289">
        <f t="shared" si="67"/>
        <v>1.6698987674688819E-5</v>
      </c>
      <c r="F289">
        <f t="shared" si="68"/>
        <v>8.994693815649888E-5</v>
      </c>
      <c r="G289">
        <f>MAX(Inputs!B7-A289+1,0)</f>
        <v>13</v>
      </c>
      <c r="H289">
        <f>IF(AND(A289&lt;=Inputs!B7,D289&gt;0),-PMT(Inputs!B6/12,G289,D289),0)</f>
        <v>1.5736450304738538E-4</v>
      </c>
      <c r="I289">
        <f>IF(AND(A289&lt;=Inputs!B7,D289&gt;0),D289*Inputs!B6/12,0)</f>
        <v>9.481433830055543E-6</v>
      </c>
      <c r="J289">
        <f t="shared" si="56"/>
        <v>1.4788306921732983E-4</v>
      </c>
      <c r="K289">
        <f>MAX((D289-J289)*Inputs!B32,0)</f>
        <v>1.4646807579919312E-4</v>
      </c>
      <c r="L289">
        <f>MAX((D289-J289-K289)*Inputs!B33,0)</f>
        <v>5.7202538396072168E-6</v>
      </c>
      <c r="M289">
        <f>MIN(E289*Inputs!B29,E289)</f>
        <v>5.8446456861410859E-6</v>
      </c>
      <c r="N289">
        <f>MIN((E289-M289)*Inputs!B30,E289-M289)</f>
        <v>2.1708683977095467E-6</v>
      </c>
      <c r="O289">
        <f>MIN(F289*Inputs!B31,F289)</f>
        <v>1.0793632578779865E-5</v>
      </c>
      <c r="P289">
        <f>MIN((F289-O289)*Inputs!B34,F289-O289)</f>
        <v>6.9192740313864561E-7</v>
      </c>
      <c r="Q289">
        <f>P289*Inputs!B35</f>
        <v>1.729818507846614E-7</v>
      </c>
      <c r="R289">
        <f>C289*Inputs!B8/12</f>
        <v>8.6890830939101309E-7</v>
      </c>
      <c r="S289">
        <f t="shared" si="57"/>
        <v>8.6125255206645299E-6</v>
      </c>
      <c r="T289">
        <f t="shared" si="58"/>
        <v>2.9487009056887697E-4</v>
      </c>
      <c r="U289">
        <f t="shared" si="59"/>
        <v>1.6953008961160345E-3</v>
      </c>
      <c r="V289">
        <f t="shared" si="60"/>
        <v>1.4403727430445403E-5</v>
      </c>
      <c r="W289">
        <f t="shared" si="61"/>
        <v>8.0632246572289926E-5</v>
      </c>
      <c r="X289">
        <f t="shared" si="62"/>
        <v>1.7903368701187698E-3</v>
      </c>
      <c r="Y289">
        <f t="shared" si="69"/>
        <v>81618.46681487262</v>
      </c>
      <c r="Z289">
        <f>IF(Inputs!B3&gt;0,(V289+W289)/Inputs!B3,0)</f>
        <v>3.1678658000911776E-13</v>
      </c>
      <c r="AA289">
        <f>IF(OR(Y289/Inputs!B3&gt;=Inputs!B23,Z289&gt;=Inputs!B24),1,0)</f>
        <v>0</v>
      </c>
      <c r="AB289">
        <f t="shared" si="63"/>
        <v>0</v>
      </c>
    </row>
    <row r="290" spans="1:28" x14ac:dyDescent="0.2">
      <c r="A290">
        <v>289</v>
      </c>
      <c r="B290">
        <f t="shared" si="64"/>
        <v>0</v>
      </c>
      <c r="C290">
        <f t="shared" si="65"/>
        <v>1.7903368701187698E-3</v>
      </c>
      <c r="D290">
        <f t="shared" si="66"/>
        <v>1.6953008961160345E-3</v>
      </c>
      <c r="E290">
        <f t="shared" si="67"/>
        <v>1.4403727430445403E-5</v>
      </c>
      <c r="F290">
        <f t="shared" si="68"/>
        <v>8.0632246572289926E-5</v>
      </c>
      <c r="G290">
        <f>MAX(Inputs!B7-A290+1,0)</f>
        <v>12</v>
      </c>
      <c r="H290">
        <f>IF(AND(A290&lt;=Inputs!B7,D290&gt;0),-PMT(Inputs!B6/12,G290,D290),0)</f>
        <v>1.4571376408267474E-4</v>
      </c>
      <c r="I290">
        <f>IF(AND(A290&lt;=Inputs!B7,D290&gt;0),D290*Inputs!B6/12,0)</f>
        <v>8.1233167938893321E-6</v>
      </c>
      <c r="J290">
        <f t="shared" si="56"/>
        <v>1.375904472887854E-4</v>
      </c>
      <c r="K290">
        <f>MAX((D290-J290)*Inputs!B32,0)</f>
        <v>1.2461683590617994E-4</v>
      </c>
      <c r="L290">
        <f>MAX((D290-J290-K290)*Inputs!B33,0)</f>
        <v>4.8668621485089197E-6</v>
      </c>
      <c r="M290">
        <f>MIN(E290*Inputs!B29,E290)</f>
        <v>5.0413046006558907E-6</v>
      </c>
      <c r="N290">
        <f>MIN((E290-M290)*Inputs!B30,E290-M290)</f>
        <v>1.8724845659579025E-6</v>
      </c>
      <c r="O290">
        <f>MIN(F290*Inputs!B31,F290)</f>
        <v>9.6758695886747915E-6</v>
      </c>
      <c r="P290">
        <f>MIN((F290-O290)*Inputs!B34,F290-O290)</f>
        <v>6.2027304234556028E-7</v>
      </c>
      <c r="Q290">
        <f>P290*Inputs!B35</f>
        <v>1.5506826058639007E-7</v>
      </c>
      <c r="R290">
        <f>C290*Inputs!B8/12</f>
        <v>7.4597369588282074E-7</v>
      </c>
      <c r="S290">
        <f t="shared" si="57"/>
        <v>7.3773430980065111E-6</v>
      </c>
      <c r="T290">
        <f t="shared" si="58"/>
        <v>2.6267248797672455E-4</v>
      </c>
      <c r="U290">
        <f t="shared" si="59"/>
        <v>1.4429439249618909E-3</v>
      </c>
      <c r="V290">
        <f t="shared" si="60"/>
        <v>1.2356800412340529E-5</v>
      </c>
      <c r="W290">
        <f t="shared" si="61"/>
        <v>7.2208588507227472E-5</v>
      </c>
      <c r="X290">
        <f t="shared" si="62"/>
        <v>1.5275093138814588E-3</v>
      </c>
      <c r="Y290">
        <f t="shared" si="69"/>
        <v>81618.466815027685</v>
      </c>
      <c r="Z290">
        <f>IF(Inputs!B3&gt;0,(V290+W290)/Inputs!B3,0)</f>
        <v>2.8188462973189336E-13</v>
      </c>
      <c r="AA290">
        <f>IF(OR(Y290/Inputs!B3&gt;=Inputs!B23,Z290&gt;=Inputs!B24),1,0)</f>
        <v>0</v>
      </c>
      <c r="AB290">
        <f t="shared" si="63"/>
        <v>0</v>
      </c>
    </row>
    <row r="291" spans="1:28" x14ac:dyDescent="0.2">
      <c r="A291">
        <v>290</v>
      </c>
      <c r="B291">
        <f t="shared" si="64"/>
        <v>0</v>
      </c>
      <c r="C291">
        <f t="shared" si="65"/>
        <v>1.5275093138814588E-3</v>
      </c>
      <c r="D291">
        <f t="shared" si="66"/>
        <v>1.4429439249618909E-3</v>
      </c>
      <c r="E291">
        <f t="shared" si="67"/>
        <v>1.2356800412340529E-5</v>
      </c>
      <c r="F291">
        <f t="shared" si="68"/>
        <v>7.2208588507227472E-5</v>
      </c>
      <c r="G291">
        <f>MAX(Inputs!B7-A291+1,0)</f>
        <v>11</v>
      </c>
      <c r="H291">
        <f>IF(AND(A291&lt;=Inputs!B7,D291&gt;0),-PMT(Inputs!B6/12,G291,D291),0)</f>
        <v>1.3497809610555121E-4</v>
      </c>
      <c r="I291">
        <f>IF(AND(A291&lt;=Inputs!B7,D291&gt;0),D291*Inputs!B6/12,0)</f>
        <v>6.9141063071090603E-6</v>
      </c>
      <c r="J291">
        <f t="shared" si="56"/>
        <v>1.2806398979844214E-4</v>
      </c>
      <c r="K291">
        <f>MAX((D291-J291)*Inputs!B32,0)</f>
        <v>1.0519039481307591E-4</v>
      </c>
      <c r="L291">
        <f>MAX((D291-J291-K291)*Inputs!B33,0)</f>
        <v>4.1081700332039951E-6</v>
      </c>
      <c r="M291">
        <f>MIN(E291*Inputs!B29,E291)</f>
        <v>4.3248801443191847E-6</v>
      </c>
      <c r="N291">
        <f>MIN((E291-M291)*Inputs!B30,E291-M291)</f>
        <v>1.6063840536042691E-6</v>
      </c>
      <c r="O291">
        <f>MIN(F291*Inputs!B31,F291)</f>
        <v>8.6650306208672963E-6</v>
      </c>
      <c r="P291">
        <f>MIN((F291-O291)*Inputs!B34,F291-O291)</f>
        <v>5.5547306171981137E-7</v>
      </c>
      <c r="Q291">
        <f>P291*Inputs!B35</f>
        <v>1.3886826542995284E-7</v>
      </c>
      <c r="R291">
        <f>C291*Inputs!B8/12</f>
        <v>6.3646221411727447E-7</v>
      </c>
      <c r="S291">
        <f t="shared" si="57"/>
        <v>6.2776440929917859E-6</v>
      </c>
      <c r="T291">
        <f t="shared" si="58"/>
        <v>2.3367098940780788E-4</v>
      </c>
      <c r="U291">
        <f t="shared" si="59"/>
        <v>1.2185712810823554E-3</v>
      </c>
      <c r="V291">
        <f t="shared" si="60"/>
        <v>1.053370624762107E-5</v>
      </c>
      <c r="W291">
        <f t="shared" si="61"/>
        <v>6.4594468878244633E-5</v>
      </c>
      <c r="X291">
        <f t="shared" si="62"/>
        <v>1.2936994562082211E-3</v>
      </c>
      <c r="Y291">
        <f t="shared" si="69"/>
        <v>81618.466815166554</v>
      </c>
      <c r="Z291">
        <f>IF(Inputs!B3&gt;0,(V291+W291)/Inputs!B3,0)</f>
        <v>2.5042725041955233E-13</v>
      </c>
      <c r="AA291">
        <f>IF(OR(Y291/Inputs!B3&gt;=Inputs!B23,Z291&gt;=Inputs!B24),1,0)</f>
        <v>0</v>
      </c>
      <c r="AB291">
        <f t="shared" si="63"/>
        <v>0</v>
      </c>
    </row>
    <row r="292" spans="1:28" x14ac:dyDescent="0.2">
      <c r="A292">
        <v>291</v>
      </c>
      <c r="B292">
        <f t="shared" si="64"/>
        <v>0</v>
      </c>
      <c r="C292">
        <f t="shared" si="65"/>
        <v>1.2936994562082211E-3</v>
      </c>
      <c r="D292">
        <f t="shared" si="66"/>
        <v>1.2185712810823554E-3</v>
      </c>
      <c r="E292">
        <f t="shared" si="67"/>
        <v>1.053370624762107E-5</v>
      </c>
      <c r="F292">
        <f t="shared" si="68"/>
        <v>6.4594468878244633E-5</v>
      </c>
      <c r="G292">
        <f>MAX(Inputs!B7-A292+1,0)</f>
        <v>10</v>
      </c>
      <c r="H292">
        <f>IF(AND(A292&lt;=Inputs!B7,D292&gt;0),-PMT(Inputs!B6/12,G292,D292),0)</f>
        <v>1.2509159740805746E-4</v>
      </c>
      <c r="I292">
        <f>IF(AND(A292&lt;=Inputs!B7,D292&gt;0),D292*Inputs!B6/12,0)</f>
        <v>5.8389873885196199E-6</v>
      </c>
      <c r="J292">
        <f t="shared" si="56"/>
        <v>1.1925261001953784E-4</v>
      </c>
      <c r="K292">
        <f>MAX((D292-J292)*Inputs!B32,0)</f>
        <v>8.7945493685025395E-5</v>
      </c>
      <c r="L292">
        <f>MAX((D292-J292-K292)*Inputs!B33,0)</f>
        <v>3.4346771143332665E-6</v>
      </c>
      <c r="M292">
        <f>MIN(E292*Inputs!B29,E292)</f>
        <v>3.686797186667374E-6</v>
      </c>
      <c r="N292">
        <f>MIN((E292-M292)*Inputs!B30,E292-M292)</f>
        <v>1.3693818121907392E-6</v>
      </c>
      <c r="O292">
        <f>MIN(F292*Inputs!B31,F292)</f>
        <v>7.751336265389356E-6</v>
      </c>
      <c r="P292">
        <f>MIN((F292-O292)*Inputs!B34,F292-O292)</f>
        <v>4.969005507478142E-7</v>
      </c>
      <c r="Q292">
        <f>P292*Inputs!B35</f>
        <v>1.2422513768695355E-7</v>
      </c>
      <c r="R292">
        <f>C292*Inputs!B8/12</f>
        <v>5.3904144008675875E-7</v>
      </c>
      <c r="S292">
        <f t="shared" si="57"/>
        <v>5.299945948432861E-6</v>
      </c>
      <c r="T292">
        <f t="shared" si="58"/>
        <v>2.0757077911762412E-4</v>
      </c>
      <c r="U292">
        <f t="shared" si="59"/>
        <v>1.0193766337155154E-3</v>
      </c>
      <c r="V292">
        <f t="shared" si="60"/>
        <v>8.9122043630962228E-6</v>
      </c>
      <c r="W292">
        <f t="shared" si="61"/>
        <v>5.7715613874298202E-5</v>
      </c>
      <c r="X292">
        <f t="shared" si="62"/>
        <v>1.0860044519529098E-3</v>
      </c>
      <c r="Y292">
        <f t="shared" si="69"/>
        <v>81618.466815290783</v>
      </c>
      <c r="Z292">
        <f>IF(Inputs!B3&gt;0,(V292+W292)/Inputs!B3,0)</f>
        <v>2.220927274579814E-13</v>
      </c>
      <c r="AA292">
        <f>IF(OR(Y292/Inputs!B3&gt;=Inputs!B23,Z292&gt;=Inputs!B24),1,0)</f>
        <v>0</v>
      </c>
      <c r="AB292">
        <f t="shared" si="63"/>
        <v>0</v>
      </c>
    </row>
    <row r="293" spans="1:28" x14ac:dyDescent="0.2">
      <c r="A293">
        <v>292</v>
      </c>
      <c r="B293">
        <f t="shared" si="64"/>
        <v>0</v>
      </c>
      <c r="C293">
        <f t="shared" si="65"/>
        <v>1.0860044519529098E-3</v>
      </c>
      <c r="D293">
        <f t="shared" si="66"/>
        <v>1.0193766337155154E-3</v>
      </c>
      <c r="E293">
        <f t="shared" si="67"/>
        <v>8.9122043630962228E-6</v>
      </c>
      <c r="F293">
        <f t="shared" si="68"/>
        <v>5.7715613874298202E-5</v>
      </c>
      <c r="G293">
        <f>MAX(Inputs!B7-A293+1,0)</f>
        <v>9</v>
      </c>
      <c r="H293">
        <f>IF(AND(A293&lt;=Inputs!B7,D293&gt;0),-PMT(Inputs!B6/12,G293,D293),0)</f>
        <v>1.1599498382815656E-4</v>
      </c>
      <c r="I293">
        <f>IF(AND(A293&lt;=Inputs!B7,D293&gt;0),D293*Inputs!B6/12,0)</f>
        <v>4.8845130365535113E-6</v>
      </c>
      <c r="J293">
        <f t="shared" si="56"/>
        <v>1.1111047079160305E-4</v>
      </c>
      <c r="K293">
        <f>MAX((D293-J293)*Inputs!B32,0)</f>
        <v>7.2661293033912986E-5</v>
      </c>
      <c r="L293">
        <f>MAX((D293-J293-K293)*Inputs!B33,0)</f>
        <v>2.8377585914210228E-6</v>
      </c>
      <c r="M293">
        <f>MIN(E293*Inputs!B29,E293)</f>
        <v>3.1192715270836776E-6</v>
      </c>
      <c r="N293">
        <f>MIN((E293-M293)*Inputs!B30,E293-M293)</f>
        <v>1.1585865672025089E-6</v>
      </c>
      <c r="O293">
        <f>MIN(F293*Inputs!B31,F293)</f>
        <v>6.9258736649157843E-6</v>
      </c>
      <c r="P293">
        <f>MIN((F293-O293)*Inputs!B34,F293-O293)</f>
        <v>4.439841494005379E-7</v>
      </c>
      <c r="Q293">
        <f>P293*Inputs!B35</f>
        <v>1.1099603735013447E-7</v>
      </c>
      <c r="R293">
        <f>C293*Inputs!B8/12</f>
        <v>4.5250185498037908E-7</v>
      </c>
      <c r="S293">
        <f t="shared" si="57"/>
        <v>4.432011181573132E-6</v>
      </c>
      <c r="T293">
        <f t="shared" si="58"/>
        <v>1.8410475193756642E-4</v>
      </c>
      <c r="U293">
        <f t="shared" si="59"/>
        <v>8.4281225649057777E-4</v>
      </c>
      <c r="V293">
        <f t="shared" si="60"/>
        <v>7.472104860231059E-6</v>
      </c>
      <c r="W293">
        <f t="shared" si="61"/>
        <v>5.1504342627184389E-5</v>
      </c>
      <c r="X293">
        <f t="shared" si="62"/>
        <v>9.0178870397799324E-4</v>
      </c>
      <c r="Y293">
        <f t="shared" si="69"/>
        <v>81618.466815401785</v>
      </c>
      <c r="Z293">
        <f>IF(Inputs!B3&gt;0,(V293+W293)/Inputs!B3,0)</f>
        <v>1.9658815829138484E-13</v>
      </c>
      <c r="AA293">
        <f>IF(OR(Y293/Inputs!B3&gt;=Inputs!B23,Z293&gt;=Inputs!B24),1,0)</f>
        <v>0</v>
      </c>
      <c r="AB293">
        <f t="shared" si="63"/>
        <v>0</v>
      </c>
    </row>
    <row r="294" spans="1:28" x14ac:dyDescent="0.2">
      <c r="A294">
        <v>293</v>
      </c>
      <c r="B294">
        <f t="shared" si="64"/>
        <v>0</v>
      </c>
      <c r="C294">
        <f t="shared" si="65"/>
        <v>9.0178870397799324E-4</v>
      </c>
      <c r="D294">
        <f t="shared" si="66"/>
        <v>8.4281225649057777E-4</v>
      </c>
      <c r="E294">
        <f t="shared" si="67"/>
        <v>7.472104860231059E-6</v>
      </c>
      <c r="F294">
        <f t="shared" si="68"/>
        <v>5.1504342627184389E-5</v>
      </c>
      <c r="G294">
        <f>MAX(Inputs!B7-A294+1,0)</f>
        <v>8</v>
      </c>
      <c r="H294">
        <f>IF(AND(A294&lt;=Inputs!B7,D294&gt;0),-PMT(Inputs!B6/12,G294,D294),0)</f>
        <v>1.0763584294176383E-4</v>
      </c>
      <c r="I294">
        <f>IF(AND(A294&lt;=Inputs!B7,D294&gt;0),D294*Inputs!B6/12,0)</f>
        <v>4.0384753956840191E-6</v>
      </c>
      <c r="J294">
        <f t="shared" si="56"/>
        <v>1.0359736754607981E-4</v>
      </c>
      <c r="K294">
        <f>MAX((D294-J294)*Inputs!B32,0)</f>
        <v>5.913719111555984E-5</v>
      </c>
      <c r="L294">
        <f>MAX((D294-J294-K294)*Inputs!B33,0)</f>
        <v>2.3095800412244546E-6</v>
      </c>
      <c r="M294">
        <f>MIN(E294*Inputs!B29,E294)</f>
        <v>2.6152367010808705E-6</v>
      </c>
      <c r="N294">
        <f>MIN((E294-M294)*Inputs!B30,E294-M294)</f>
        <v>9.7137363183003775E-7</v>
      </c>
      <c r="O294">
        <f>MIN(F294*Inputs!B31,F294)</f>
        <v>6.1805211152621262E-6</v>
      </c>
      <c r="P294">
        <f>MIN((F294-O294)*Inputs!B34,F294-O294)</f>
        <v>3.9620321463733859E-7</v>
      </c>
      <c r="Q294">
        <f>P294*Inputs!B35</f>
        <v>9.9050803659334646E-8</v>
      </c>
      <c r="R294">
        <f>C294*Inputs!B8/12</f>
        <v>3.7574529332416389E-7</v>
      </c>
      <c r="S294">
        <f t="shared" si="57"/>
        <v>3.662730102359855E-6</v>
      </c>
      <c r="T294">
        <f t="shared" si="58"/>
        <v>1.6303171107261765E-4</v>
      </c>
      <c r="U294">
        <f t="shared" si="59"/>
        <v>6.8656387560405666E-4</v>
      </c>
      <c r="V294">
        <f t="shared" si="60"/>
        <v>6.195074568544606E-6</v>
      </c>
      <c r="W294">
        <f t="shared" si="61"/>
        <v>4.5898991929114964E-5</v>
      </c>
      <c r="X294">
        <f t="shared" si="62"/>
        <v>7.3865794210171618E-4</v>
      </c>
      <c r="Y294">
        <f t="shared" si="69"/>
        <v>81618.46681550084</v>
      </c>
      <c r="Z294">
        <f>IF(Inputs!B3&gt;0,(V294+W294)/Inputs!B3,0)</f>
        <v>1.736468883255319E-13</v>
      </c>
      <c r="AA294">
        <f>IF(OR(Y294/Inputs!B3&gt;=Inputs!B23,Z294&gt;=Inputs!B24),1,0)</f>
        <v>0</v>
      </c>
      <c r="AB294">
        <f t="shared" si="63"/>
        <v>0</v>
      </c>
    </row>
    <row r="295" spans="1:28" x14ac:dyDescent="0.2">
      <c r="A295">
        <v>294</v>
      </c>
      <c r="B295">
        <f t="shared" si="64"/>
        <v>0</v>
      </c>
      <c r="C295">
        <f t="shared" si="65"/>
        <v>7.3865794210171618E-4</v>
      </c>
      <c r="D295">
        <f t="shared" si="66"/>
        <v>6.8656387560405666E-4</v>
      </c>
      <c r="E295">
        <f t="shared" si="67"/>
        <v>6.195074568544606E-6</v>
      </c>
      <c r="F295">
        <f t="shared" si="68"/>
        <v>4.5898991929114964E-5</v>
      </c>
      <c r="G295">
        <f>MAX(Inputs!B7-A295+1,0)</f>
        <v>7</v>
      </c>
      <c r="H295">
        <f>IF(AND(A295&lt;=Inputs!B7,D295&gt;0),-PMT(Inputs!B6/12,G295,D295),0)</f>
        <v>9.9969416997978551E-5</v>
      </c>
      <c r="I295">
        <f>IF(AND(A295&lt;=Inputs!B7,D295&gt;0),D295*Inputs!B6/12,0)</f>
        <v>3.2897852372694382E-6</v>
      </c>
      <c r="J295">
        <f t="shared" si="56"/>
        <v>9.6679631760709109E-5</v>
      </c>
      <c r="K295">
        <f>MAX((D295-J295)*Inputs!B32,0)</f>
        <v>4.7190739507467808E-5</v>
      </c>
      <c r="L295">
        <f>MAX((D295-J295-K295)*Inputs!B33,0)</f>
        <v>1.843016011431645E-6</v>
      </c>
      <c r="M295">
        <f>MIN(E295*Inputs!B29,E295)</f>
        <v>2.1682760989906118E-6</v>
      </c>
      <c r="N295">
        <f>MIN((E295-M295)*Inputs!B30,E295-M295)</f>
        <v>8.0535969391079902E-7</v>
      </c>
      <c r="O295">
        <f>MIN(F295*Inputs!B31,F295)</f>
        <v>5.5078790314937957E-6</v>
      </c>
      <c r="P295">
        <f>MIN((F295-O295)*Inputs!B34,F295-O295)</f>
        <v>3.5308339497823725E-7</v>
      </c>
      <c r="Q295">
        <f>P295*Inputs!B35</f>
        <v>8.8270848744559313E-8</v>
      </c>
      <c r="R295">
        <f>C295*Inputs!B8/12</f>
        <v>3.0777414254238177E-7</v>
      </c>
      <c r="S295">
        <f t="shared" si="57"/>
        <v>2.9820110947270565E-6</v>
      </c>
      <c r="T295">
        <f t="shared" si="58"/>
        <v>1.4413518381441059E-4</v>
      </c>
      <c r="U295">
        <f t="shared" si="59"/>
        <v>5.485266434549327E-4</v>
      </c>
      <c r="V295">
        <f t="shared" si="60"/>
        <v>5.0644547870748404E-6</v>
      </c>
      <c r="W295">
        <f t="shared" si="61"/>
        <v>4.0843389196553737E-5</v>
      </c>
      <c r="X295">
        <f t="shared" si="62"/>
        <v>5.9443448743856122E-4</v>
      </c>
      <c r="Y295">
        <f t="shared" si="69"/>
        <v>81618.466815589112</v>
      </c>
      <c r="Z295">
        <f>IF(Inputs!B3&gt;0,(V295+W295)/Inputs!B3,0)</f>
        <v>1.5302614661209526E-13</v>
      </c>
      <c r="AA295">
        <f>IF(OR(Y295/Inputs!B3&gt;=Inputs!B23,Z295&gt;=Inputs!B24),1,0)</f>
        <v>0</v>
      </c>
      <c r="AB295">
        <f t="shared" si="63"/>
        <v>0</v>
      </c>
    </row>
    <row r="296" spans="1:28" x14ac:dyDescent="0.2">
      <c r="A296">
        <v>295</v>
      </c>
      <c r="B296">
        <f t="shared" si="64"/>
        <v>0</v>
      </c>
      <c r="C296">
        <f t="shared" si="65"/>
        <v>5.9443448743856122E-4</v>
      </c>
      <c r="D296">
        <f t="shared" si="66"/>
        <v>5.485266434549327E-4</v>
      </c>
      <c r="E296">
        <f t="shared" si="67"/>
        <v>5.0644547870748404E-6</v>
      </c>
      <c r="F296">
        <f t="shared" si="68"/>
        <v>4.0843389196553737E-5</v>
      </c>
      <c r="G296">
        <f>MAX(Inputs!B7-A296+1,0)</f>
        <v>6</v>
      </c>
      <c r="H296">
        <f>IF(AND(A296&lt;=Inputs!B7,D296&gt;0),-PMT(Inputs!B6/12,G296,D296),0)</f>
        <v>9.2960422873424202E-5</v>
      </c>
      <c r="I296">
        <f>IF(AND(A296&lt;=Inputs!B7,D296&gt;0),D296*Inputs!B6/12,0)</f>
        <v>2.6283568332215526E-6</v>
      </c>
      <c r="J296">
        <f t="shared" si="56"/>
        <v>9.0332066040202646E-5</v>
      </c>
      <c r="K296">
        <f>MAX((D296-J296)*Inputs!B32,0)</f>
        <v>3.6655566193178402E-5</v>
      </c>
      <c r="L296">
        <f>MAX((D296-J296-K296)*Inputs!B33,0)</f>
        <v>1.4315689075274952E-6</v>
      </c>
      <c r="M296">
        <f>MIN(E296*Inputs!B29,E296)</f>
        <v>1.7725591754761941E-6</v>
      </c>
      <c r="N296">
        <f>MIN((E296-M296)*Inputs!B30,E296-M296)</f>
        <v>6.583791223197293E-7</v>
      </c>
      <c r="O296">
        <f>MIN(F296*Inputs!B31,F296)</f>
        <v>4.9012067035864484E-6</v>
      </c>
      <c r="P296">
        <f>MIN((F296-O296)*Inputs!B34,F296-O296)</f>
        <v>3.1419257621623153E-7</v>
      </c>
      <c r="Q296">
        <f>P296*Inputs!B35</f>
        <v>7.8548144054057883E-8</v>
      </c>
      <c r="R296">
        <f>C296*Inputs!B8/12</f>
        <v>2.4768103643273384E-7</v>
      </c>
      <c r="S296">
        <f t="shared" si="57"/>
        <v>2.3806757967888187E-6</v>
      </c>
      <c r="T296">
        <f t="shared" si="58"/>
        <v>1.2722327666554324E-4</v>
      </c>
      <c r="U296">
        <f t="shared" si="59"/>
        <v>4.2678120819308679E-4</v>
      </c>
      <c r="V296">
        <f t="shared" si="60"/>
        <v>4.0650853968064129E-6</v>
      </c>
      <c r="W296">
        <f t="shared" si="61"/>
        <v>3.6286369039070784E-5</v>
      </c>
      <c r="X296">
        <f t="shared" si="62"/>
        <v>4.67132662628964E-4</v>
      </c>
      <c r="Y296">
        <f t="shared" si="69"/>
        <v>81618.466815667663</v>
      </c>
      <c r="Z296">
        <f>IF(Inputs!B3&gt;0,(V296+W296)/Inputs!B3,0)</f>
        <v>1.3450484811959068E-13</v>
      </c>
      <c r="AA296">
        <f>IF(OR(Y296/Inputs!B3&gt;=Inputs!B23,Z296&gt;=Inputs!B24),1,0)</f>
        <v>0</v>
      </c>
      <c r="AB296">
        <f t="shared" si="63"/>
        <v>0</v>
      </c>
    </row>
    <row r="297" spans="1:28" x14ac:dyDescent="0.2">
      <c r="A297">
        <v>296</v>
      </c>
      <c r="B297">
        <f t="shared" si="64"/>
        <v>0</v>
      </c>
      <c r="C297">
        <f t="shared" si="65"/>
        <v>4.67132662628964E-4</v>
      </c>
      <c r="D297">
        <f t="shared" si="66"/>
        <v>4.2678120819308679E-4</v>
      </c>
      <c r="E297">
        <f t="shared" si="67"/>
        <v>4.0650853968064129E-6</v>
      </c>
      <c r="F297">
        <f t="shared" si="68"/>
        <v>3.6286369039070784E-5</v>
      </c>
      <c r="G297">
        <f>MAX(Inputs!B7-A297+1,0)</f>
        <v>5</v>
      </c>
      <c r="H297">
        <f>IF(AND(A297&lt;=Inputs!B7,D297&gt;0),-PMT(Inputs!B6/12,G297,D297),0)</f>
        <v>8.6587147783178493E-5</v>
      </c>
      <c r="I297">
        <f>IF(AND(A297&lt;=Inputs!B7,D297&gt;0),D297*Inputs!B6/12,0)</f>
        <v>2.0449932892585407E-6</v>
      </c>
      <c r="J297">
        <f t="shared" si="56"/>
        <v>8.4542154493919954E-5</v>
      </c>
      <c r="K297">
        <f>MAX((D297-J297)*Inputs!B32,0)</f>
        <v>2.7379124295933348E-5</v>
      </c>
      <c r="L297">
        <f>MAX((D297-J297-K297)*Inputs!B33,0)</f>
        <v>1.069281070460808E-6</v>
      </c>
      <c r="M297">
        <f>MIN(E297*Inputs!B29,E297)</f>
        <v>1.4227798888822444E-6</v>
      </c>
      <c r="N297">
        <f>MIN((E297-M297)*Inputs!B30,E297-M297)</f>
        <v>5.2846110158483372E-7</v>
      </c>
      <c r="O297">
        <f>MIN(F297*Inputs!B31,F297)</f>
        <v>4.3543642846884936E-6</v>
      </c>
      <c r="P297">
        <f>MIN((F297-O297)*Inputs!B34,F297-O297)</f>
        <v>2.7913716256633605E-7</v>
      </c>
      <c r="Q297">
        <f>P297*Inputs!B35</f>
        <v>6.9784290641584012E-8</v>
      </c>
      <c r="R297">
        <f>C297*Inputs!B8/12</f>
        <v>1.94638609428735E-7</v>
      </c>
      <c r="S297">
        <f t="shared" si="57"/>
        <v>1.8503546798298057E-6</v>
      </c>
      <c r="T297">
        <f t="shared" si="58"/>
        <v>1.1213063166177806E-4</v>
      </c>
      <c r="U297">
        <f t="shared" si="59"/>
        <v>3.1956779250634341E-4</v>
      </c>
      <c r="V297">
        <f t="shared" si="60"/>
        <v>3.1831254768001426E-6</v>
      </c>
      <c r="W297">
        <f t="shared" si="61"/>
        <v>3.2181328693400788E-5</v>
      </c>
      <c r="X297">
        <f t="shared" si="62"/>
        <v>3.5493224667654434E-4</v>
      </c>
      <c r="Y297">
        <f t="shared" si="69"/>
        <v>81618.466815737454</v>
      </c>
      <c r="Z297">
        <f>IF(Inputs!B3&gt;0,(V297+W297)/Inputs!B3,0)</f>
        <v>1.1788151390066976E-13</v>
      </c>
      <c r="AA297">
        <f>IF(OR(Y297/Inputs!B3&gt;=Inputs!B23,Z297&gt;=Inputs!B24),1,0)</f>
        <v>0</v>
      </c>
      <c r="AB297">
        <f t="shared" si="63"/>
        <v>0</v>
      </c>
    </row>
    <row r="298" spans="1:28" x14ac:dyDescent="0.2">
      <c r="A298">
        <v>297</v>
      </c>
      <c r="B298">
        <f t="shared" si="64"/>
        <v>0</v>
      </c>
      <c r="C298">
        <f t="shared" si="65"/>
        <v>3.5493224667654434E-4</v>
      </c>
      <c r="D298">
        <f t="shared" si="66"/>
        <v>3.1956779250634341E-4</v>
      </c>
      <c r="E298">
        <f t="shared" si="67"/>
        <v>3.1831254768001426E-6</v>
      </c>
      <c r="F298">
        <f t="shared" si="68"/>
        <v>3.2181328693400788E-5</v>
      </c>
      <c r="G298">
        <f>MAX(Inputs!B7-A298+1,0)</f>
        <v>4</v>
      </c>
      <c r="H298">
        <f>IF(AND(A298&lt;=Inputs!B7,D298&gt;0),-PMT(Inputs!B6/12,G298,D298),0)</f>
        <v>8.0851274503621144E-5</v>
      </c>
      <c r="I298">
        <f>IF(AND(A298&lt;=Inputs!B7,D298&gt;0),D298*Inputs!B6/12,0)</f>
        <v>1.5312623390928957E-6</v>
      </c>
      <c r="J298">
        <f t="shared" si="56"/>
        <v>7.9320012164528248E-5</v>
      </c>
      <c r="K298">
        <f>MAX((D298-J298)*Inputs!B32,0)</f>
        <v>1.9219822427345214E-5</v>
      </c>
      <c r="L298">
        <f>MAX((D298-J298-K298)*Inputs!B33,0)</f>
        <v>7.5062270352565133E-7</v>
      </c>
      <c r="M298">
        <f>MIN(E298*Inputs!B29,E298)</f>
        <v>1.1140939168800499E-6</v>
      </c>
      <c r="N298">
        <f>MIN((E298-M298)*Inputs!B30,E298-M298)</f>
        <v>4.1380631198401859E-7</v>
      </c>
      <c r="O298">
        <f>MIN(F298*Inputs!B31,F298)</f>
        <v>3.8617594432080944E-6</v>
      </c>
      <c r="P298">
        <f>MIN((F298-O298)*Inputs!B34,F298-O298)</f>
        <v>2.4755865678977688E-7</v>
      </c>
      <c r="Q298">
        <f>P298*Inputs!B35</f>
        <v>6.188966419744422E-8</v>
      </c>
      <c r="R298">
        <f>C298*Inputs!B8/12</f>
        <v>1.4788843611522682E-7</v>
      </c>
      <c r="S298">
        <f t="shared" si="57"/>
        <v>1.3833739029776689E-6</v>
      </c>
      <c r="T298">
        <f t="shared" si="58"/>
        <v>9.8725503584465795E-5</v>
      </c>
      <c r="U298">
        <f t="shared" si="59"/>
        <v>2.2525318857103248E-4</v>
      </c>
      <c r="V298">
        <f t="shared" si="60"/>
        <v>2.4058479514617256E-6</v>
      </c>
      <c r="W298">
        <f t="shared" si="61"/>
        <v>2.8485816905386936E-5</v>
      </c>
      <c r="X298">
        <f t="shared" si="62"/>
        <v>2.5614485342788113E-4</v>
      </c>
      <c r="Y298">
        <f t="shared" si="69"/>
        <v>81618.466815799344</v>
      </c>
      <c r="Z298">
        <f>IF(Inputs!B3&gt;0,(V298+W298)/Inputs!B3,0)</f>
        <v>1.0297221618949553E-13</v>
      </c>
      <c r="AA298">
        <f>IF(OR(Y298/Inputs!B3&gt;=Inputs!B23,Z298&gt;=Inputs!B24),1,0)</f>
        <v>0</v>
      </c>
      <c r="AB298">
        <f t="shared" si="63"/>
        <v>0</v>
      </c>
    </row>
    <row r="299" spans="1:28" x14ac:dyDescent="0.2">
      <c r="A299">
        <v>298</v>
      </c>
      <c r="B299">
        <f t="shared" si="64"/>
        <v>0</v>
      </c>
      <c r="C299">
        <f t="shared" si="65"/>
        <v>2.5614485342788113E-4</v>
      </c>
      <c r="D299">
        <f t="shared" si="66"/>
        <v>2.2525318857103248E-4</v>
      </c>
      <c r="E299">
        <f t="shared" si="67"/>
        <v>2.4058479514617256E-6</v>
      </c>
      <c r="F299">
        <f t="shared" si="68"/>
        <v>2.8485816905386936E-5</v>
      </c>
      <c r="G299">
        <f>MAX(Inputs!B7-A299+1,0)</f>
        <v>3</v>
      </c>
      <c r="H299">
        <f>IF(AND(A299&lt;=Inputs!B7,D299&gt;0),-PMT(Inputs!B6/12,G299,D299),0)</f>
        <v>7.5805101533346736E-5</v>
      </c>
      <c r="I299">
        <f>IF(AND(A299&lt;=Inputs!B7,D299&gt;0),D299*Inputs!B6/12,0)</f>
        <v>1.0793381952361974E-6</v>
      </c>
      <c r="J299">
        <f t="shared" si="56"/>
        <v>7.4725763338110535E-5</v>
      </c>
      <c r="K299">
        <f>MAX((D299-J299)*Inputs!B32,0)</f>
        <v>1.2042194018633756E-5</v>
      </c>
      <c r="L299">
        <f>MAX((D299-J299-K299)*Inputs!B33,0)</f>
        <v>4.703032124681212E-7</v>
      </c>
      <c r="M299">
        <f>MIN(E299*Inputs!B29,E299)</f>
        <v>8.4204678301160385E-7</v>
      </c>
      <c r="N299">
        <f>MIN((E299-M299)*Inputs!B30,E299-M299)</f>
        <v>3.1276023369002438E-7</v>
      </c>
      <c r="O299">
        <f>MIN(F299*Inputs!B31,F299)</f>
        <v>3.4182980286464322E-6</v>
      </c>
      <c r="P299">
        <f>MIN((F299-O299)*Inputs!B34,F299-O299)</f>
        <v>2.1913049761998164E-7</v>
      </c>
      <c r="Q299">
        <f>P299*Inputs!B35</f>
        <v>5.4782624404995411E-8</v>
      </c>
      <c r="R299">
        <f>C299*Inputs!B8/12</f>
        <v>1.0672702226161714E-7</v>
      </c>
      <c r="S299">
        <f t="shared" si="57"/>
        <v>9.7261117297458032E-7</v>
      </c>
      <c r="T299">
        <f t="shared" si="58"/>
        <v>8.6932305229959282E-5</v>
      </c>
      <c r="U299">
        <f t="shared" si="59"/>
        <v>1.4227527281347808E-4</v>
      </c>
      <c r="V299">
        <f t="shared" si="60"/>
        <v>1.7213441472282185E-6</v>
      </c>
      <c r="W299">
        <f t="shared" si="61"/>
        <v>2.5161148612810546E-5</v>
      </c>
      <c r="X299">
        <f t="shared" si="62"/>
        <v>1.6915776557351687E-4</v>
      </c>
      <c r="Y299">
        <f t="shared" si="69"/>
        <v>81618.466815854132</v>
      </c>
      <c r="Z299">
        <f>IF(Inputs!B3&gt;0,(V299+W299)/Inputs!B3,0)</f>
        <v>8.960830920012922E-14</v>
      </c>
      <c r="AA299">
        <f>IF(OR(Y299/Inputs!B3&gt;=Inputs!B23,Z299&gt;=Inputs!B24),1,0)</f>
        <v>0</v>
      </c>
      <c r="AB299">
        <f t="shared" si="63"/>
        <v>0</v>
      </c>
    </row>
    <row r="300" spans="1:28" x14ac:dyDescent="0.2">
      <c r="A300">
        <v>299</v>
      </c>
      <c r="B300">
        <f t="shared" si="64"/>
        <v>0</v>
      </c>
      <c r="C300">
        <f t="shared" si="65"/>
        <v>1.6915776557351687E-4</v>
      </c>
      <c r="D300">
        <f t="shared" si="66"/>
        <v>1.4227527281347808E-4</v>
      </c>
      <c r="E300">
        <f t="shared" si="67"/>
        <v>1.7213441472282185E-6</v>
      </c>
      <c r="F300">
        <f t="shared" si="68"/>
        <v>2.5161148612810546E-5</v>
      </c>
      <c r="G300">
        <f>MAX(Inputs!B7-A300+1,0)</f>
        <v>2</v>
      </c>
      <c r="H300">
        <f>IF(AND(A300&lt;=Inputs!B7,D300&gt;0),-PMT(Inputs!B6/12,G300,D300),0)</f>
        <v>7.1649345523725061E-5</v>
      </c>
      <c r="I300">
        <f>IF(AND(A300&lt;=Inputs!B7,D300&gt;0),D300*Inputs!B6/12,0)</f>
        <v>6.8173568223124912E-7</v>
      </c>
      <c r="J300">
        <f t="shared" si="56"/>
        <v>7.0967609841493805E-5</v>
      </c>
      <c r="K300">
        <f>MAX((D300-J300)*Inputs!B32,0)</f>
        <v>5.7046130377587426E-6</v>
      </c>
      <c r="L300">
        <f>MAX((D300-J300-K300)*Inputs!B33,0)</f>
        <v>2.2279144758787502E-7</v>
      </c>
      <c r="M300">
        <f>MIN(E300*Inputs!B29,E300)</f>
        <v>6.024704515298764E-7</v>
      </c>
      <c r="N300">
        <f>MIN((E300-M300)*Inputs!B30,E300-M300)</f>
        <v>2.2377473913966846E-7</v>
      </c>
      <c r="O300">
        <f>MIN(F300*Inputs!B31,F300)</f>
        <v>3.0193378335372653E-6</v>
      </c>
      <c r="P300">
        <f>MIN((F300-O300)*Inputs!B34,F300-O300)</f>
        <v>1.9355509566491728E-7</v>
      </c>
      <c r="Q300">
        <f>P300*Inputs!B35</f>
        <v>4.838877391622932E-8</v>
      </c>
      <c r="R300">
        <f>C300*Inputs!B8/12</f>
        <v>7.0482402322298695E-8</v>
      </c>
      <c r="S300">
        <f t="shared" si="57"/>
        <v>6.1125327990895043E-7</v>
      </c>
      <c r="T300">
        <f t="shared" si="58"/>
        <v>7.6817389201001227E-5</v>
      </c>
      <c r="U300">
        <f t="shared" si="59"/>
        <v>6.9002066771704798E-5</v>
      </c>
      <c r="V300">
        <f t="shared" si="60"/>
        <v>1.1178904041465488E-6</v>
      </c>
      <c r="W300">
        <f t="shared" si="61"/>
        <v>2.2172030422748031E-5</v>
      </c>
      <c r="X300">
        <f t="shared" si="62"/>
        <v>9.2291987598599378E-5</v>
      </c>
      <c r="Y300">
        <f t="shared" si="69"/>
        <v>81618.466815902517</v>
      </c>
      <c r="Z300">
        <f>IF(Inputs!B3&gt;0,(V300+W300)/Inputs!B3,0)</f>
        <v>7.7633069422981931E-14</v>
      </c>
      <c r="AA300">
        <f>IF(OR(Y300/Inputs!B3&gt;=Inputs!B23,Z300&gt;=Inputs!B24),1,0)</f>
        <v>0</v>
      </c>
      <c r="AB300">
        <f t="shared" si="63"/>
        <v>0</v>
      </c>
    </row>
    <row r="301" spans="1:28" x14ac:dyDescent="0.2">
      <c r="A301">
        <v>300</v>
      </c>
      <c r="B301">
        <f t="shared" si="64"/>
        <v>0</v>
      </c>
      <c r="C301">
        <f t="shared" si="65"/>
        <v>9.2291987598599378E-5</v>
      </c>
      <c r="D301">
        <f t="shared" si="66"/>
        <v>6.9002066771704798E-5</v>
      </c>
      <c r="E301">
        <f t="shared" si="67"/>
        <v>1.1178904041465488E-6</v>
      </c>
      <c r="F301">
        <f t="shared" si="68"/>
        <v>2.2172030422748031E-5</v>
      </c>
      <c r="G301">
        <f>MAX(Inputs!B7-A301+1,0)</f>
        <v>1</v>
      </c>
      <c r="H301">
        <f>IF(AND(A301&lt;=Inputs!B7,D301&gt;0),-PMT(Inputs!B6/12,G301,D301),0)</f>
        <v>6.9332701674985889E-5</v>
      </c>
      <c r="I301">
        <f>IF(AND(A301&lt;=Inputs!B7,D301&gt;0),D301*Inputs!B6/12,0)</f>
        <v>3.3063490328108549E-7</v>
      </c>
      <c r="J301">
        <f t="shared" si="56"/>
        <v>6.9002066771704798E-5</v>
      </c>
      <c r="K301">
        <f>MAX((D301-J301)*Inputs!B32,0)</f>
        <v>0</v>
      </c>
      <c r="L301">
        <f>MAX((D301-J301-K301)*Inputs!B33,0)</f>
        <v>0</v>
      </c>
      <c r="M301">
        <f>MIN(E301*Inputs!B29,E301)</f>
        <v>3.9126164145129206E-7</v>
      </c>
      <c r="N301">
        <f>MIN((E301-M301)*Inputs!B30,E301-M301)</f>
        <v>1.4532575253905138E-7</v>
      </c>
      <c r="O301">
        <f>MIN(F301*Inputs!B31,F301)</f>
        <v>2.6606436507297635E-6</v>
      </c>
      <c r="P301">
        <f>MIN((F301-O301)*Inputs!B34,F301-O301)</f>
        <v>1.7056095234759961E-7</v>
      </c>
      <c r="Q301">
        <f>P301*Inputs!B35</f>
        <v>4.2640238086899902E-8</v>
      </c>
      <c r="R301">
        <f>C301*Inputs!B8/12</f>
        <v>3.8454994832749742E-8</v>
      </c>
      <c r="S301">
        <f t="shared" si="57"/>
        <v>2.9217990844833575E-7</v>
      </c>
      <c r="T301">
        <f t="shared" si="58"/>
        <v>6.9129987485965497E-5</v>
      </c>
      <c r="U301">
        <f t="shared" si="59"/>
        <v>3.0519052921810555E-6</v>
      </c>
      <c r="V301">
        <f t="shared" si="60"/>
        <v>5.8130301015620543E-7</v>
      </c>
      <c r="W301">
        <f t="shared" si="61"/>
        <v>1.9486151572209722E-5</v>
      </c>
      <c r="X301">
        <f t="shared" si="62"/>
        <v>2.3119359874546982E-5</v>
      </c>
      <c r="Y301">
        <f t="shared" si="69"/>
        <v>81618.466815945154</v>
      </c>
      <c r="Z301">
        <f>IF(Inputs!B3&gt;0,(V301+W301)/Inputs!B3,0)</f>
        <v>6.6891515274553084E-14</v>
      </c>
      <c r="AA301">
        <f>IF(OR(Y301/Inputs!B3&gt;=Inputs!B23,Z301&gt;=Inputs!B24),1,0)</f>
        <v>0</v>
      </c>
      <c r="AB301">
        <f t="shared" si="63"/>
        <v>0</v>
      </c>
    </row>
    <row r="302" spans="1:28" x14ac:dyDescent="0.2">
      <c r="A302">
        <v>301</v>
      </c>
      <c r="B302">
        <f t="shared" si="64"/>
        <v>0</v>
      </c>
      <c r="C302">
        <f t="shared" si="65"/>
        <v>2.3119359874546982E-5</v>
      </c>
      <c r="D302">
        <f t="shared" si="66"/>
        <v>3.0519052921810555E-6</v>
      </c>
      <c r="E302">
        <f t="shared" si="67"/>
        <v>5.8130301015620543E-7</v>
      </c>
      <c r="F302">
        <f t="shared" si="68"/>
        <v>1.9486151572209722E-5</v>
      </c>
      <c r="G302">
        <f>MAX(Inputs!B7-A302+1,0)</f>
        <v>0</v>
      </c>
      <c r="H302">
        <f>IF(AND(A302&lt;=Inputs!B7,D302&gt;0),-PMT(Inputs!B6/12,G302,D302),0)</f>
        <v>0</v>
      </c>
      <c r="I302">
        <f>IF(AND(A302&lt;=Inputs!B7,D302&gt;0),D302*Inputs!B6/12,0)</f>
        <v>0</v>
      </c>
      <c r="J302">
        <f t="shared" si="56"/>
        <v>0</v>
      </c>
      <c r="K302">
        <f>MAX((D302-J302)*Inputs!B32,0)</f>
        <v>2.4415242337448446E-7</v>
      </c>
      <c r="L302">
        <f>MAX((D302-J302-K302)*Inputs!B33,0)</f>
        <v>9.5352781118805089E-9</v>
      </c>
      <c r="M302">
        <f>MIN(E302*Inputs!B29,E302)</f>
        <v>2.034560535546719E-7</v>
      </c>
      <c r="N302">
        <f>MIN((E302-M302)*Inputs!B30,E302-M302)</f>
        <v>7.5569391320306722E-8</v>
      </c>
      <c r="O302">
        <f>MIN(F302*Inputs!B31,F302)</f>
        <v>2.3383381886651667E-6</v>
      </c>
      <c r="P302">
        <f>MIN((F302-O302)*Inputs!B34,F302-O302)</f>
        <v>1.4989951332268815E-7</v>
      </c>
      <c r="Q302">
        <f>P302*Inputs!B35</f>
        <v>3.7474878330672038E-8</v>
      </c>
      <c r="R302">
        <f>C302*Inputs!B8/12</f>
        <v>9.6330666143945762E-9</v>
      </c>
      <c r="S302">
        <f t="shared" si="57"/>
        <v>0</v>
      </c>
      <c r="T302">
        <f t="shared" si="58"/>
        <v>3.5657705836650057E-7</v>
      </c>
      <c r="U302">
        <f t="shared" si="59"/>
        <v>5.340011832914529E-6</v>
      </c>
      <c r="V302">
        <f t="shared" si="60"/>
        <v>3.1181284339310733E-7</v>
      </c>
      <c r="W302">
        <f t="shared" si="61"/>
        <v>1.7073483261542173E-5</v>
      </c>
      <c r="X302">
        <f t="shared" si="62"/>
        <v>2.2725307937849811E-5</v>
      </c>
      <c r="Y302">
        <f t="shared" si="69"/>
        <v>81618.466815982625</v>
      </c>
      <c r="Z302">
        <f>IF(Inputs!B3&gt;0,(V302+W302)/Inputs!B3,0)</f>
        <v>5.7950987016450931E-14</v>
      </c>
      <c r="AA302">
        <f>IF(OR(Y302/Inputs!B3&gt;=Inputs!B23,Z302&gt;=Inputs!B24),1,0)</f>
        <v>0</v>
      </c>
      <c r="AB302">
        <f t="shared" si="63"/>
        <v>0</v>
      </c>
    </row>
    <row r="303" spans="1:28" x14ac:dyDescent="0.2">
      <c r="A303">
        <v>302</v>
      </c>
      <c r="B303">
        <f t="shared" si="64"/>
        <v>0</v>
      </c>
      <c r="C303">
        <f t="shared" si="65"/>
        <v>2.2725307937849811E-5</v>
      </c>
      <c r="D303">
        <f t="shared" si="66"/>
        <v>5.340011832914529E-6</v>
      </c>
      <c r="E303">
        <f t="shared" si="67"/>
        <v>3.1181284339310733E-7</v>
      </c>
      <c r="F303">
        <f t="shared" si="68"/>
        <v>1.7073483261542173E-5</v>
      </c>
      <c r="G303">
        <f>MAX(Inputs!B7-A303+1,0)</f>
        <v>0</v>
      </c>
      <c r="H303">
        <f>IF(AND(A303&lt;=Inputs!B7,D303&gt;0),-PMT(Inputs!B6/12,G303,D303),0)</f>
        <v>0</v>
      </c>
      <c r="I303">
        <f>IF(AND(A303&lt;=Inputs!B7,D303&gt;0),D303*Inputs!B6/12,0)</f>
        <v>0</v>
      </c>
      <c r="J303">
        <f t="shared" si="56"/>
        <v>0</v>
      </c>
      <c r="K303">
        <f>MAX((D303-J303)*Inputs!B32,0)</f>
        <v>4.2720094663316232E-7</v>
      </c>
      <c r="L303">
        <f>MAX((D303-J303-K303)*Inputs!B33,0)</f>
        <v>1.6684167126032844E-8</v>
      </c>
      <c r="M303">
        <f>MIN(E303*Inputs!B29,E303)</f>
        <v>1.0913449518758755E-7</v>
      </c>
      <c r="N303">
        <f>MIN((E303-M303)*Inputs!B30,E303-M303)</f>
        <v>4.0535669641103962E-8</v>
      </c>
      <c r="O303">
        <f>MIN(F303*Inputs!B31,F303)</f>
        <v>2.0488179913850607E-6</v>
      </c>
      <c r="P303">
        <f>MIN((F303-O303)*Inputs!B34,F303-O303)</f>
        <v>1.3133977851625679E-7</v>
      </c>
      <c r="Q303">
        <f>P303*Inputs!B35</f>
        <v>3.2834944629064197E-8</v>
      </c>
      <c r="R303">
        <f>C303*Inputs!B8/12</f>
        <v>9.4688783074374203E-9</v>
      </c>
      <c r="S303">
        <f t="shared" si="57"/>
        <v>0</v>
      </c>
      <c r="T303">
        <f t="shared" si="58"/>
        <v>5.257057805203549E-7</v>
      </c>
      <c r="U303">
        <f t="shared" si="59"/>
        <v>7.0540792057279831E-6</v>
      </c>
      <c r="V303">
        <f t="shared" si="60"/>
        <v>1.7882684569044867E-7</v>
      </c>
      <c r="W303">
        <f t="shared" si="61"/>
        <v>1.4933861161281959E-5</v>
      </c>
      <c r="X303">
        <f t="shared" si="62"/>
        <v>2.2166767212700391E-5</v>
      </c>
      <c r="Y303">
        <f t="shared" si="69"/>
        <v>81618.466816015454</v>
      </c>
      <c r="Z303">
        <f>IF(Inputs!B3&gt;0,(V303+W303)/Inputs!B3,0)</f>
        <v>5.0375626689908031E-14</v>
      </c>
      <c r="AA303">
        <f>IF(OR(Y303/Inputs!B3&gt;=Inputs!B23,Z303&gt;=Inputs!B24),1,0)</f>
        <v>0</v>
      </c>
      <c r="AB303">
        <f t="shared" si="63"/>
        <v>0</v>
      </c>
    </row>
    <row r="304" spans="1:28" x14ac:dyDescent="0.2">
      <c r="A304">
        <v>303</v>
      </c>
      <c r="B304">
        <f t="shared" si="64"/>
        <v>0</v>
      </c>
      <c r="C304">
        <f t="shared" si="65"/>
        <v>2.2166767212700391E-5</v>
      </c>
      <c r="D304">
        <f t="shared" si="66"/>
        <v>7.0540792057279831E-6</v>
      </c>
      <c r="E304">
        <f t="shared" si="67"/>
        <v>1.7882684569044867E-7</v>
      </c>
      <c r="F304">
        <f t="shared" si="68"/>
        <v>1.4933861161281959E-5</v>
      </c>
      <c r="G304">
        <f>MAX(Inputs!B7-A304+1,0)</f>
        <v>0</v>
      </c>
      <c r="H304">
        <f>IF(AND(A304&lt;=Inputs!B7,D304&gt;0),-PMT(Inputs!B6/12,G304,D304),0)</f>
        <v>0</v>
      </c>
      <c r="I304">
        <f>IF(AND(A304&lt;=Inputs!B7,D304&gt;0),D304*Inputs!B6/12,0)</f>
        <v>0</v>
      </c>
      <c r="J304">
        <f t="shared" si="56"/>
        <v>0</v>
      </c>
      <c r="K304">
        <f>MAX((D304-J304)*Inputs!B32,0)</f>
        <v>5.6432633645823865E-7</v>
      </c>
      <c r="L304">
        <f>MAX((D304-J304-K304)*Inputs!B33,0)</f>
        <v>2.2039545991867923E-8</v>
      </c>
      <c r="M304">
        <f>MIN(E304*Inputs!B29,E304)</f>
        <v>6.2589395991657029E-8</v>
      </c>
      <c r="N304">
        <f>MIN((E304-M304)*Inputs!B30,E304-M304)</f>
        <v>2.3247489939758329E-8</v>
      </c>
      <c r="O304">
        <f>MIN(F304*Inputs!B31,F304)</f>
        <v>1.7920633393538349E-6</v>
      </c>
      <c r="P304">
        <f>MIN((F304-O304)*Inputs!B34,F304-O304)</f>
        <v>1.148804838045764E-7</v>
      </c>
      <c r="Q304">
        <f>P304*Inputs!B35</f>
        <v>2.87201209511441E-8</v>
      </c>
      <c r="R304">
        <f>C304*Inputs!B8/12</f>
        <v>9.23615300529183E-9</v>
      </c>
      <c r="S304">
        <f t="shared" si="57"/>
        <v>0</v>
      </c>
      <c r="T304">
        <f t="shared" si="58"/>
        <v>6.5048669931167095E-7</v>
      </c>
      <c r="U304">
        <f t="shared" si="59"/>
        <v>8.3223660586233693E-6</v>
      </c>
      <c r="V304">
        <f t="shared" si="60"/>
        <v>1.1502950575090124E-7</v>
      </c>
      <c r="W304">
        <f t="shared" si="61"/>
        <v>1.3050164828063306E-5</v>
      </c>
      <c r="X304">
        <f t="shared" si="62"/>
        <v>2.1487560392437579E-5</v>
      </c>
      <c r="Y304">
        <f t="shared" si="69"/>
        <v>81618.46681604418</v>
      </c>
      <c r="Z304">
        <f>IF(Inputs!B3&gt;0,(V304+W304)/Inputs!B3,0)</f>
        <v>4.3883981112714025E-14</v>
      </c>
      <c r="AA304">
        <f>IF(OR(Y304/Inputs!B3&gt;=Inputs!B23,Z304&gt;=Inputs!B24),1,0)</f>
        <v>0</v>
      </c>
      <c r="AB304">
        <f t="shared" si="63"/>
        <v>0</v>
      </c>
    </row>
    <row r="305" spans="1:28" x14ac:dyDescent="0.2">
      <c r="A305">
        <v>304</v>
      </c>
      <c r="B305">
        <f t="shared" si="64"/>
        <v>0</v>
      </c>
      <c r="C305">
        <f t="shared" si="65"/>
        <v>2.1487560392437579E-5</v>
      </c>
      <c r="D305">
        <f t="shared" si="66"/>
        <v>8.3223660586233693E-6</v>
      </c>
      <c r="E305">
        <f t="shared" si="67"/>
        <v>1.1502950575090124E-7</v>
      </c>
      <c r="F305">
        <f t="shared" si="68"/>
        <v>1.3050164828063306E-5</v>
      </c>
      <c r="G305">
        <f>MAX(Inputs!B7-A305+1,0)</f>
        <v>0</v>
      </c>
      <c r="H305">
        <f>IF(AND(A305&lt;=Inputs!B7,D305&gt;0),-PMT(Inputs!B6/12,G305,D305),0)</f>
        <v>0</v>
      </c>
      <c r="I305">
        <f>IF(AND(A305&lt;=Inputs!B7,D305&gt;0),D305*Inputs!B6/12,0)</f>
        <v>0</v>
      </c>
      <c r="J305">
        <f t="shared" si="56"/>
        <v>0</v>
      </c>
      <c r="K305">
        <f>MAX((D305-J305)*Inputs!B32,0)</f>
        <v>6.6578928468986951E-7</v>
      </c>
      <c r="L305">
        <f>MAX((D305-J305-K305)*Inputs!B33,0)</f>
        <v>2.6002142045874751E-8</v>
      </c>
      <c r="M305">
        <f>MIN(E305*Inputs!B29,E305)</f>
        <v>4.0260327012815429E-8</v>
      </c>
      <c r="N305">
        <f>MIN((E305-M305)*Inputs!B30,E305-M305)</f>
        <v>1.4953835747617163E-8</v>
      </c>
      <c r="O305">
        <f>MIN(F305*Inputs!B31,F305)</f>
        <v>1.5660197793675966E-6</v>
      </c>
      <c r="P305">
        <f>MIN((F305-O305)*Inputs!B34,F305-O305)</f>
        <v>1.0038992816300452E-7</v>
      </c>
      <c r="Q305">
        <f>P305*Inputs!B35</f>
        <v>2.509748204075113E-8</v>
      </c>
      <c r="R305">
        <f>C305*Inputs!B8/12</f>
        <v>8.9531501635156579E-9</v>
      </c>
      <c r="S305">
        <f t="shared" si="57"/>
        <v>0</v>
      </c>
      <c r="T305">
        <f t="shared" si="58"/>
        <v>7.410817308121229E-7</v>
      </c>
      <c r="U305">
        <f t="shared" si="59"/>
        <v>9.2368547382680372E-6</v>
      </c>
      <c r="V305">
        <f t="shared" si="60"/>
        <v>8.5817485036343397E-8</v>
      </c>
      <c r="W305">
        <f t="shared" si="61"/>
        <v>1.1398708956280323E-5</v>
      </c>
      <c r="X305">
        <f t="shared" si="62"/>
        <v>2.0721381179584703E-5</v>
      </c>
      <c r="Y305">
        <f t="shared" si="69"/>
        <v>81618.466816069282</v>
      </c>
      <c r="Z305">
        <f>IF(Inputs!B3&gt;0,(V305+W305)/Inputs!B3,0)</f>
        <v>3.8281754804388883E-14</v>
      </c>
      <c r="AA305">
        <f>IF(OR(Y305/Inputs!B3&gt;=Inputs!B23,Z305&gt;=Inputs!B24),1,0)</f>
        <v>0</v>
      </c>
      <c r="AB305">
        <f t="shared" si="63"/>
        <v>0</v>
      </c>
    </row>
    <row r="306" spans="1:28" x14ac:dyDescent="0.2">
      <c r="A306">
        <v>305</v>
      </c>
      <c r="B306">
        <f t="shared" si="64"/>
        <v>0</v>
      </c>
      <c r="C306">
        <f t="shared" si="65"/>
        <v>2.0721381179584703E-5</v>
      </c>
      <c r="D306">
        <f t="shared" si="66"/>
        <v>9.2368547382680372E-6</v>
      </c>
      <c r="E306">
        <f t="shared" si="67"/>
        <v>8.5817485036343397E-8</v>
      </c>
      <c r="F306">
        <f t="shared" si="68"/>
        <v>1.1398708956280323E-5</v>
      </c>
      <c r="G306">
        <f>MAX(Inputs!B7-A306+1,0)</f>
        <v>0</v>
      </c>
      <c r="H306">
        <f>IF(AND(A306&lt;=Inputs!B7,D306&gt;0),-PMT(Inputs!B6/12,G306,D306),0)</f>
        <v>0</v>
      </c>
      <c r="I306">
        <f>IF(AND(A306&lt;=Inputs!B7,D306&gt;0),D306*Inputs!B6/12,0)</f>
        <v>0</v>
      </c>
      <c r="J306">
        <f t="shared" si="56"/>
        <v>0</v>
      </c>
      <c r="K306">
        <f>MAX((D306-J306)*Inputs!B32,0)</f>
        <v>7.3894837906144301E-7</v>
      </c>
      <c r="L306">
        <f>MAX((D306-J306-K306)*Inputs!B33,0)</f>
        <v>2.885934207528542E-8</v>
      </c>
      <c r="M306">
        <f>MIN(E306*Inputs!B29,E306)</f>
        <v>3.0036119762720188E-8</v>
      </c>
      <c r="N306">
        <f>MIN((E306-M306)*Inputs!B30,E306-M306)</f>
        <v>1.1156273054724643E-8</v>
      </c>
      <c r="O306">
        <f>MIN(F306*Inputs!B31,F306)</f>
        <v>1.3678450747536388E-6</v>
      </c>
      <c r="P306">
        <f>MIN((F306-O306)*Inputs!B34,F306-O306)</f>
        <v>8.7685909591825344E-8</v>
      </c>
      <c r="Q306">
        <f>P306*Inputs!B35</f>
        <v>2.1921477397956336E-8</v>
      </c>
      <c r="R306">
        <f>C306*Inputs!B8/12</f>
        <v>8.6339088248269597E-9</v>
      </c>
      <c r="S306">
        <f t="shared" si="57"/>
        <v>0</v>
      </c>
      <c r="T306">
        <f t="shared" si="58"/>
        <v>8.0471281125531203E-7</v>
      </c>
      <c r="U306">
        <f t="shared" si="59"/>
        <v>9.8669282116476671E-6</v>
      </c>
      <c r="V306">
        <f t="shared" si="60"/>
        <v>7.348443429418399E-8</v>
      </c>
      <c r="W306">
        <f t="shared" si="61"/>
        <v>9.9543342449895842E-6</v>
      </c>
      <c r="X306">
        <f t="shared" si="62"/>
        <v>1.9894746890931436E-5</v>
      </c>
      <c r="Y306">
        <f t="shared" si="69"/>
        <v>81618.466816091197</v>
      </c>
      <c r="Z306">
        <f>IF(Inputs!B3&gt;0,(V306+W306)/Inputs!B3,0)</f>
        <v>3.3426062264279225E-14</v>
      </c>
      <c r="AA306">
        <f>IF(OR(Y306/Inputs!B3&gt;=Inputs!B23,Z306&gt;=Inputs!B24),1,0)</f>
        <v>0</v>
      </c>
      <c r="AB306">
        <f t="shared" si="63"/>
        <v>0</v>
      </c>
    </row>
    <row r="307" spans="1:28" x14ac:dyDescent="0.2">
      <c r="A307">
        <v>306</v>
      </c>
      <c r="B307">
        <f t="shared" si="64"/>
        <v>0</v>
      </c>
      <c r="C307">
        <f t="shared" si="65"/>
        <v>1.9894746890931436E-5</v>
      </c>
      <c r="D307">
        <f t="shared" si="66"/>
        <v>9.8669282116476671E-6</v>
      </c>
      <c r="E307">
        <f t="shared" si="67"/>
        <v>7.348443429418399E-8</v>
      </c>
      <c r="F307">
        <f t="shared" si="68"/>
        <v>9.9543342449895842E-6</v>
      </c>
      <c r="G307">
        <f>MAX(Inputs!B7-A307+1,0)</f>
        <v>0</v>
      </c>
      <c r="H307">
        <f>IF(AND(A307&lt;=Inputs!B7,D307&gt;0),-PMT(Inputs!B6/12,G307,D307),0)</f>
        <v>0</v>
      </c>
      <c r="I307">
        <f>IF(AND(A307&lt;=Inputs!B7,D307&gt;0),D307*Inputs!B6/12,0)</f>
        <v>0</v>
      </c>
      <c r="J307">
        <f t="shared" si="56"/>
        <v>0</v>
      </c>
      <c r="K307">
        <f>MAX((D307-J307)*Inputs!B32,0)</f>
        <v>7.8935425693181342E-7</v>
      </c>
      <c r="L307">
        <f>MAX((D307-J307-K307)*Inputs!B33,0)</f>
        <v>3.0827924067323494E-8</v>
      </c>
      <c r="M307">
        <f>MIN(E307*Inputs!B29,E307)</f>
        <v>2.5719552002964394E-8</v>
      </c>
      <c r="N307">
        <f>MIN((E307-M307)*Inputs!B30,E307-M307)</f>
        <v>9.5529764582439197E-9</v>
      </c>
      <c r="O307">
        <f>MIN(F307*Inputs!B31,F307)</f>
        <v>1.19452010939875E-6</v>
      </c>
      <c r="P307">
        <f>MIN((F307-O307)*Inputs!B34,F307-O307)</f>
        <v>7.6574887208788019E-8</v>
      </c>
      <c r="Q307">
        <f>P307*Inputs!B35</f>
        <v>1.9143721802197005E-8</v>
      </c>
      <c r="R307">
        <f>C307*Inputs!B8/12</f>
        <v>8.2894778712214327E-9</v>
      </c>
      <c r="S307">
        <f t="shared" si="57"/>
        <v>0</v>
      </c>
      <c r="T307">
        <f t="shared" si="58"/>
        <v>8.4678542233840442E-7</v>
      </c>
      <c r="U307">
        <f t="shared" si="59"/>
        <v>1.0266985692050245E-5</v>
      </c>
      <c r="V307">
        <f t="shared" si="60"/>
        <v>6.9039829900299173E-8</v>
      </c>
      <c r="W307">
        <f t="shared" si="61"/>
        <v>8.6927922248402903E-6</v>
      </c>
      <c r="X307">
        <f t="shared" si="62"/>
        <v>1.9028817746790836E-5</v>
      </c>
      <c r="Y307">
        <f t="shared" si="69"/>
        <v>81618.466816110347</v>
      </c>
      <c r="Z307">
        <f>IF(Inputs!B3&gt;0,(V307+W307)/Inputs!B3,0)</f>
        <v>2.9206106849135296E-14</v>
      </c>
      <c r="AA307">
        <f>IF(OR(Y307/Inputs!B3&gt;=Inputs!B23,Z307&gt;=Inputs!B24),1,0)</f>
        <v>0</v>
      </c>
      <c r="AB307">
        <f t="shared" si="63"/>
        <v>0</v>
      </c>
    </row>
    <row r="308" spans="1:28" x14ac:dyDescent="0.2">
      <c r="A308">
        <v>307</v>
      </c>
      <c r="B308">
        <f t="shared" si="64"/>
        <v>0</v>
      </c>
      <c r="C308">
        <f t="shared" si="65"/>
        <v>1.9028817746790836E-5</v>
      </c>
      <c r="D308">
        <f t="shared" si="66"/>
        <v>1.0266985692050245E-5</v>
      </c>
      <c r="E308">
        <f t="shared" si="67"/>
        <v>6.9039829900299173E-8</v>
      </c>
      <c r="F308">
        <f t="shared" si="68"/>
        <v>8.6927922248402903E-6</v>
      </c>
      <c r="G308">
        <f>MAX(Inputs!B7-A308+1,0)</f>
        <v>0</v>
      </c>
      <c r="H308">
        <f>IF(AND(A308&lt;=Inputs!B7,D308&gt;0),-PMT(Inputs!B6/12,G308,D308),0)</f>
        <v>0</v>
      </c>
      <c r="I308">
        <f>IF(AND(A308&lt;=Inputs!B7,D308&gt;0),D308*Inputs!B6/12,0)</f>
        <v>0</v>
      </c>
      <c r="J308">
        <f t="shared" si="56"/>
        <v>0</v>
      </c>
      <c r="K308">
        <f>MAX((D308-J308)*Inputs!B32,0)</f>
        <v>8.2135885536401963E-7</v>
      </c>
      <c r="L308">
        <f>MAX((D308-J308-K308)*Inputs!B33,0)</f>
        <v>3.20778512345098E-8</v>
      </c>
      <c r="M308">
        <f>MIN(E308*Inputs!B29,E308)</f>
        <v>2.4163940465104711E-8</v>
      </c>
      <c r="N308">
        <f>MIN((E308-M308)*Inputs!B30,E308-M308)</f>
        <v>8.9751778870388935E-9</v>
      </c>
      <c r="O308">
        <f>MIN(F308*Inputs!B31,F308)</f>
        <v>1.0431350669808349E-6</v>
      </c>
      <c r="P308">
        <f>MIN((F308-O308)*Inputs!B34,F308-O308)</f>
        <v>6.6870326810818392E-8</v>
      </c>
      <c r="Q308">
        <f>P308*Inputs!B35</f>
        <v>1.6717581702704598E-8</v>
      </c>
      <c r="R308">
        <f>C308*Inputs!B8/12</f>
        <v>7.9286740611628476E-9</v>
      </c>
      <c r="S308">
        <f t="shared" si="57"/>
        <v>0</v>
      </c>
      <c r="T308">
        <f t="shared" si="58"/>
        <v>8.7151160047213339E-7</v>
      </c>
      <c r="U308">
        <f t="shared" si="59"/>
        <v>1.0480847992897657E-5</v>
      </c>
      <c r="V308">
        <f t="shared" si="60"/>
        <v>6.7978562782665367E-8</v>
      </c>
      <c r="W308">
        <f t="shared" si="61"/>
        <v>7.5917620089356751E-6</v>
      </c>
      <c r="X308">
        <f t="shared" si="62"/>
        <v>1.8140588564615999E-5</v>
      </c>
      <c r="Y308">
        <f t="shared" si="69"/>
        <v>81618.466816127067</v>
      </c>
      <c r="Z308">
        <f>IF(Inputs!B3&gt;0,(V308+W308)/Inputs!B3,0)</f>
        <v>2.5532468572394469E-14</v>
      </c>
      <c r="AA308">
        <f>IF(OR(Y308/Inputs!B3&gt;=Inputs!B23,Z308&gt;=Inputs!B24),1,0)</f>
        <v>0</v>
      </c>
      <c r="AB308">
        <f t="shared" si="63"/>
        <v>0</v>
      </c>
    </row>
    <row r="309" spans="1:28" x14ac:dyDescent="0.2">
      <c r="A309">
        <v>308</v>
      </c>
      <c r="B309">
        <f t="shared" si="64"/>
        <v>0</v>
      </c>
      <c r="C309">
        <f t="shared" si="65"/>
        <v>1.8140588564615999E-5</v>
      </c>
      <c r="D309">
        <f t="shared" si="66"/>
        <v>1.0480847992897657E-5</v>
      </c>
      <c r="E309">
        <f t="shared" si="67"/>
        <v>6.7978562782665367E-8</v>
      </c>
      <c r="F309">
        <f t="shared" si="68"/>
        <v>7.5917620089356751E-6</v>
      </c>
      <c r="G309">
        <f>MAX(Inputs!B7-A309+1,0)</f>
        <v>0</v>
      </c>
      <c r="H309">
        <f>IF(AND(A309&lt;=Inputs!B7,D309&gt;0),-PMT(Inputs!B6/12,G309,D309),0)</f>
        <v>0</v>
      </c>
      <c r="I309">
        <f>IF(AND(A309&lt;=Inputs!B7,D309&gt;0),D309*Inputs!B6/12,0)</f>
        <v>0</v>
      </c>
      <c r="J309">
        <f t="shared" si="56"/>
        <v>0</v>
      </c>
      <c r="K309">
        <f>MAX((D309-J309)*Inputs!B32,0)</f>
        <v>8.3846783943181254E-7</v>
      </c>
      <c r="L309">
        <f>MAX((D309-J309-K309)*Inputs!B33,0)</f>
        <v>3.2746035965356861E-8</v>
      </c>
      <c r="M309">
        <f>MIN(E309*Inputs!B29,E309)</f>
        <v>2.3792496973932877E-8</v>
      </c>
      <c r="N309">
        <f>MIN((E309-M309)*Inputs!B30,E309-M309)</f>
        <v>8.8372131617464983E-9</v>
      </c>
      <c r="O309">
        <f>MIN(F309*Inputs!B31,F309)</f>
        <v>9.1101144107228096E-7</v>
      </c>
      <c r="P309">
        <f>MIN((F309-O309)*Inputs!B34,F309-O309)</f>
        <v>5.8400522349630982E-8</v>
      </c>
      <c r="Q309">
        <f>P309*Inputs!B35</f>
        <v>1.4600130587407745E-8</v>
      </c>
      <c r="R309">
        <f>C309*Inputs!B8/12</f>
        <v>7.5585785685899997E-9</v>
      </c>
      <c r="S309">
        <f t="shared" si="57"/>
        <v>0</v>
      </c>
      <c r="T309">
        <f t="shared" si="58"/>
        <v>8.8226823119403583E-7</v>
      </c>
      <c r="U309">
        <f t="shared" si="59"/>
        <v>1.05444380555467E-5</v>
      </c>
      <c r="V309">
        <f t="shared" si="60"/>
        <v>6.8094888612342848E-8</v>
      </c>
      <c r="W309">
        <f t="shared" si="61"/>
        <v>6.6311872586755099E-6</v>
      </c>
      <c r="X309">
        <f t="shared" si="62"/>
        <v>1.7243720202834555E-5</v>
      </c>
      <c r="Y309">
        <f t="shared" si="69"/>
        <v>81618.466816141663</v>
      </c>
      <c r="Z309">
        <f>IF(Inputs!B3&gt;0,(V309+W309)/Inputs!B3,0)</f>
        <v>2.2330940490959508E-14</v>
      </c>
      <c r="AA309">
        <f>IF(OR(Y309/Inputs!B3&gt;=Inputs!B23,Z309&gt;=Inputs!B24),1,0)</f>
        <v>0</v>
      </c>
      <c r="AB309">
        <f t="shared" si="63"/>
        <v>0</v>
      </c>
    </row>
    <row r="310" spans="1:28" x14ac:dyDescent="0.2">
      <c r="A310">
        <v>309</v>
      </c>
      <c r="B310">
        <f t="shared" si="64"/>
        <v>0</v>
      </c>
      <c r="C310">
        <f t="shared" si="65"/>
        <v>1.7243720202834555E-5</v>
      </c>
      <c r="D310">
        <f t="shared" si="66"/>
        <v>1.05444380555467E-5</v>
      </c>
      <c r="E310">
        <f t="shared" si="67"/>
        <v>6.8094888612342848E-8</v>
      </c>
      <c r="F310">
        <f t="shared" si="68"/>
        <v>6.6311872586755099E-6</v>
      </c>
      <c r="G310">
        <f>MAX(Inputs!B7-A310+1,0)</f>
        <v>0</v>
      </c>
      <c r="H310">
        <f>IF(AND(A310&lt;=Inputs!B7,D310&gt;0),-PMT(Inputs!B6/12,G310,D310),0)</f>
        <v>0</v>
      </c>
      <c r="I310">
        <f>IF(AND(A310&lt;=Inputs!B7,D310&gt;0),D310*Inputs!B6/12,0)</f>
        <v>0</v>
      </c>
      <c r="J310">
        <f t="shared" si="56"/>
        <v>0</v>
      </c>
      <c r="K310">
        <f>MAX((D310-J310)*Inputs!B32,0)</f>
        <v>8.4355504444373604E-7</v>
      </c>
      <c r="L310">
        <f>MAX((D310-J310-K310)*Inputs!B33,0)</f>
        <v>3.2944714782181223E-8</v>
      </c>
      <c r="M310">
        <f>MIN(E310*Inputs!B29,E310)</f>
        <v>2.3833211014319995E-8</v>
      </c>
      <c r="N310">
        <f>MIN((E310-M310)*Inputs!B30,E310-M310)</f>
        <v>8.8523355196045708E-9</v>
      </c>
      <c r="O310">
        <f>MIN(F310*Inputs!B31,F310)</f>
        <v>7.9574247104106116E-7</v>
      </c>
      <c r="P310">
        <f>MIN((F310-O310)*Inputs!B34,F310-O310)</f>
        <v>5.1011188081113178E-8</v>
      </c>
      <c r="Q310">
        <f>P310*Inputs!B35</f>
        <v>1.2752797020278295E-8</v>
      </c>
      <c r="R310">
        <f>C310*Inputs!B8/12</f>
        <v>7.1848834178477315E-9</v>
      </c>
      <c r="S310">
        <f t="shared" si="57"/>
        <v>0</v>
      </c>
      <c r="T310">
        <f t="shared" si="58"/>
        <v>8.8181343550457096E-7</v>
      </c>
      <c r="U310">
        <f t="shared" si="59"/>
        <v>1.0487513978376164E-5</v>
      </c>
      <c r="V310">
        <f t="shared" si="60"/>
        <v>6.8354056860599499E-8</v>
      </c>
      <c r="W310">
        <f t="shared" si="61"/>
        <v>5.7932859350729401E-6</v>
      </c>
      <c r="X310">
        <f t="shared" si="62"/>
        <v>1.6349153970309703E-5</v>
      </c>
      <c r="Y310">
        <f t="shared" si="69"/>
        <v>81618.46681615441</v>
      </c>
      <c r="Z310">
        <f>IF(Inputs!B3&gt;0,(V310+W310)/Inputs!B3,0)</f>
        <v>1.9538799973111799E-14</v>
      </c>
      <c r="AA310">
        <f>IF(OR(Y310/Inputs!B3&gt;=Inputs!B23,Z310&gt;=Inputs!B24),1,0)</f>
        <v>0</v>
      </c>
      <c r="AB310">
        <f t="shared" si="63"/>
        <v>0</v>
      </c>
    </row>
    <row r="311" spans="1:28" x14ac:dyDescent="0.2">
      <c r="A311">
        <v>310</v>
      </c>
      <c r="B311">
        <f t="shared" si="64"/>
        <v>0</v>
      </c>
      <c r="C311">
        <f t="shared" si="65"/>
        <v>1.6349153970309703E-5</v>
      </c>
      <c r="D311">
        <f t="shared" si="66"/>
        <v>1.0487513978376164E-5</v>
      </c>
      <c r="E311">
        <f t="shared" si="67"/>
        <v>6.8354056860599499E-8</v>
      </c>
      <c r="F311">
        <f t="shared" si="68"/>
        <v>5.7932859350729401E-6</v>
      </c>
      <c r="G311">
        <f>MAX(Inputs!B7-A311+1,0)</f>
        <v>0</v>
      </c>
      <c r="H311">
        <f>IF(AND(A311&lt;=Inputs!B7,D311&gt;0),-PMT(Inputs!B6/12,G311,D311),0)</f>
        <v>0</v>
      </c>
      <c r="I311">
        <f>IF(AND(A311&lt;=Inputs!B7,D311&gt;0),D311*Inputs!B6/12,0)</f>
        <v>0</v>
      </c>
      <c r="J311">
        <f t="shared" si="56"/>
        <v>0</v>
      </c>
      <c r="K311">
        <f>MAX((D311-J311)*Inputs!B32,0)</f>
        <v>8.3900111827009315E-7</v>
      </c>
      <c r="L311">
        <f>MAX((D311-J311-K311)*Inputs!B33,0)</f>
        <v>3.2766862963360429E-8</v>
      </c>
      <c r="M311">
        <f>MIN(E311*Inputs!B29,E311)</f>
        <v>2.3923919901209823E-8</v>
      </c>
      <c r="N311">
        <f>MIN((E311-M311)*Inputs!B30,E311-M311)</f>
        <v>8.8860273918779348E-9</v>
      </c>
      <c r="O311">
        <f>MIN(F311*Inputs!B31,F311)</f>
        <v>6.951943122087528E-7</v>
      </c>
      <c r="P311">
        <f>MIN((F311-O311)*Inputs!B34,F311-O311)</f>
        <v>4.4565533578477165E-8</v>
      </c>
      <c r="Q311">
        <f>P311*Inputs!B35</f>
        <v>1.1141383394619291E-8</v>
      </c>
      <c r="R311">
        <f>C311*Inputs!B8/12</f>
        <v>6.8121474876290424E-9</v>
      </c>
      <c r="S311">
        <f t="shared" si="57"/>
        <v>0</v>
      </c>
      <c r="T311">
        <f t="shared" si="58"/>
        <v>8.7242526845395108E-7</v>
      </c>
      <c r="U311">
        <f t="shared" si="59"/>
        <v>1.0334864229252672E-5</v>
      </c>
      <c r="V311">
        <f t="shared" si="60"/>
        <v>6.8310972530872169E-8</v>
      </c>
      <c r="W311">
        <f t="shared" si="61"/>
        <v>5.0624121166775869E-6</v>
      </c>
      <c r="X311">
        <f t="shared" si="62"/>
        <v>1.546558731846113E-5</v>
      </c>
      <c r="Y311">
        <f t="shared" si="69"/>
        <v>81618.466816165557</v>
      </c>
      <c r="Z311">
        <f>IF(Inputs!B3&gt;0,(V311+W311)/Inputs!B3,0)</f>
        <v>1.7102410297361531E-14</v>
      </c>
      <c r="AA311">
        <f>IF(OR(Y311/Inputs!B3&gt;=Inputs!B23,Z311&gt;=Inputs!B24),1,0)</f>
        <v>0</v>
      </c>
      <c r="AB311">
        <f t="shared" si="63"/>
        <v>0</v>
      </c>
    </row>
    <row r="312" spans="1:28" x14ac:dyDescent="0.2">
      <c r="A312">
        <v>311</v>
      </c>
      <c r="B312">
        <f t="shared" si="64"/>
        <v>0</v>
      </c>
      <c r="C312">
        <f t="shared" si="65"/>
        <v>1.546558731846113E-5</v>
      </c>
      <c r="D312">
        <f t="shared" si="66"/>
        <v>1.0334864229252672E-5</v>
      </c>
      <c r="E312">
        <f t="shared" si="67"/>
        <v>6.8310972530872169E-8</v>
      </c>
      <c r="F312">
        <f t="shared" si="68"/>
        <v>5.0624121166775869E-6</v>
      </c>
      <c r="G312">
        <f>MAX(Inputs!B7-A312+1,0)</f>
        <v>0</v>
      </c>
      <c r="H312">
        <f>IF(AND(A312&lt;=Inputs!B7,D312&gt;0),-PMT(Inputs!B6/12,G312,D312),0)</f>
        <v>0</v>
      </c>
      <c r="I312">
        <f>IF(AND(A312&lt;=Inputs!B7,D312&gt;0),D312*Inputs!B6/12,0)</f>
        <v>0</v>
      </c>
      <c r="J312">
        <f t="shared" si="56"/>
        <v>0</v>
      </c>
      <c r="K312">
        <f>MAX((D312-J312)*Inputs!B32,0)</f>
        <v>8.267891383402138E-7</v>
      </c>
      <c r="L312">
        <f>MAX((D312-J312-K312)*Inputs!B33,0)</f>
        <v>3.2289928828041618E-8</v>
      </c>
      <c r="M312">
        <f>MIN(E312*Inputs!B29,E312)</f>
        <v>2.3908840385805258E-8</v>
      </c>
      <c r="N312">
        <f>MIN((E312-M312)*Inputs!B30,E312-M312)</f>
        <v>8.8804264290133825E-9</v>
      </c>
      <c r="O312">
        <f>MIN(F312*Inputs!B31,F312)</f>
        <v>6.0748945400131044E-7</v>
      </c>
      <c r="P312">
        <f>MIN((F312-O312)*Inputs!B34,F312-O312)</f>
        <v>3.8943200750377625E-8</v>
      </c>
      <c r="Q312">
        <f>P312*Inputs!B35</f>
        <v>9.7358001875944062E-9</v>
      </c>
      <c r="R312">
        <f>C312*Inputs!B8/12</f>
        <v>6.4439947160254709E-9</v>
      </c>
      <c r="S312">
        <f t="shared" si="57"/>
        <v>0</v>
      </c>
      <c r="T312">
        <f t="shared" si="58"/>
        <v>8.5599653890299703E-7</v>
      </c>
      <c r="U312">
        <f t="shared" si="59"/>
        <v>1.0107183456471533E-5</v>
      </c>
      <c r="V312">
        <f t="shared" si="60"/>
        <v>6.7811634544095155E-8</v>
      </c>
      <c r="W312">
        <f t="shared" si="61"/>
        <v>4.4248598883549127E-6</v>
      </c>
      <c r="X312">
        <f t="shared" si="62"/>
        <v>1.4599854979370541E-5</v>
      </c>
      <c r="Y312">
        <f t="shared" si="69"/>
        <v>81618.466816175292</v>
      </c>
      <c r="Z312">
        <f>IF(Inputs!B3&gt;0,(V312+W312)/Inputs!B3,0)</f>
        <v>1.4975571742996692E-14</v>
      </c>
      <c r="AA312">
        <f>IF(OR(Y312/Inputs!B3&gt;=Inputs!B23,Z312&gt;=Inputs!B24),1,0)</f>
        <v>0</v>
      </c>
      <c r="AB312">
        <f t="shared" si="63"/>
        <v>0</v>
      </c>
    </row>
    <row r="313" spans="1:28" x14ac:dyDescent="0.2">
      <c r="A313">
        <v>312</v>
      </c>
      <c r="B313">
        <f t="shared" si="64"/>
        <v>0</v>
      </c>
      <c r="C313">
        <f t="shared" si="65"/>
        <v>1.4599854979370541E-5</v>
      </c>
      <c r="D313">
        <f t="shared" si="66"/>
        <v>1.0107183456471533E-5</v>
      </c>
      <c r="E313">
        <f t="shared" si="67"/>
        <v>6.7811634544095155E-8</v>
      </c>
      <c r="F313">
        <f t="shared" si="68"/>
        <v>4.4248598883549127E-6</v>
      </c>
      <c r="G313">
        <f>MAX(Inputs!B7-A313+1,0)</f>
        <v>0</v>
      </c>
      <c r="H313">
        <f>IF(AND(A313&lt;=Inputs!B7,D313&gt;0),-PMT(Inputs!B6/12,G313,D313),0)</f>
        <v>0</v>
      </c>
      <c r="I313">
        <f>IF(AND(A313&lt;=Inputs!B7,D313&gt;0),D313*Inputs!B6/12,0)</f>
        <v>0</v>
      </c>
      <c r="J313">
        <f t="shared" si="56"/>
        <v>0</v>
      </c>
      <c r="K313">
        <f>MAX((D313-J313)*Inputs!B32,0)</f>
        <v>8.0857467651772265E-7</v>
      </c>
      <c r="L313">
        <f>MAX((D313-J313-K313)*Inputs!B33,0)</f>
        <v>3.1578570092645039E-8</v>
      </c>
      <c r="M313">
        <f>MIN(E313*Inputs!B29,E313)</f>
        <v>2.3734072090433303E-8</v>
      </c>
      <c r="N313">
        <f>MIN((E313-M313)*Inputs!B30,E313-M313)</f>
        <v>8.8155124907323704E-9</v>
      </c>
      <c r="O313">
        <f>MIN(F313*Inputs!B31,F313)</f>
        <v>5.3098318660258948E-7</v>
      </c>
      <c r="P313">
        <f>MIN((F313-O313)*Inputs!B34,F313-O313)</f>
        <v>3.4038755232276448E-8</v>
      </c>
      <c r="Q313">
        <f>P313*Inputs!B35</f>
        <v>8.509688808069112E-9</v>
      </c>
      <c r="R313">
        <f>C313*Inputs!B8/12</f>
        <v>6.0832729080710584E-9</v>
      </c>
      <c r="S313">
        <f t="shared" si="57"/>
        <v>0</v>
      </c>
      <c r="T313">
        <f t="shared" si="58"/>
        <v>8.3410374294192997E-7</v>
      </c>
      <c r="U313">
        <f t="shared" si="59"/>
        <v>9.8217474685541876E-6</v>
      </c>
      <c r="V313">
        <f t="shared" si="60"/>
        <v>6.6840620055574527E-8</v>
      </c>
      <c r="W313">
        <f t="shared" si="61"/>
        <v>3.8686534590107782E-6</v>
      </c>
      <c r="X313">
        <f t="shared" si="62"/>
        <v>1.3757241547620541E-5</v>
      </c>
      <c r="Y313">
        <f t="shared" si="69"/>
        <v>81618.466816183805</v>
      </c>
      <c r="Z313">
        <f>IF(Inputs!B3&gt;0,(V313+W313)/Inputs!B3,0)</f>
        <v>1.3118313596887842E-14</v>
      </c>
      <c r="AA313">
        <f>IF(OR(Y313/Inputs!B3&gt;=Inputs!B23,Z313&gt;=Inputs!B24),1,0)</f>
        <v>0</v>
      </c>
      <c r="AB313">
        <f t="shared" si="63"/>
        <v>0</v>
      </c>
    </row>
    <row r="314" spans="1:28" x14ac:dyDescent="0.2">
      <c r="A314">
        <v>313</v>
      </c>
      <c r="B314">
        <f t="shared" si="64"/>
        <v>0</v>
      </c>
      <c r="C314">
        <f t="shared" si="65"/>
        <v>1.3757241547620541E-5</v>
      </c>
      <c r="D314">
        <f t="shared" si="66"/>
        <v>9.8217474685541876E-6</v>
      </c>
      <c r="E314">
        <f t="shared" si="67"/>
        <v>6.6840620055574527E-8</v>
      </c>
      <c r="F314">
        <f t="shared" si="68"/>
        <v>3.8686534590107782E-6</v>
      </c>
      <c r="G314">
        <f>MAX(Inputs!B7-A314+1,0)</f>
        <v>0</v>
      </c>
      <c r="H314">
        <f>IF(AND(A314&lt;=Inputs!B7,D314&gt;0),-PMT(Inputs!B6/12,G314,D314),0)</f>
        <v>0</v>
      </c>
      <c r="I314">
        <f>IF(AND(A314&lt;=Inputs!B7,D314&gt;0),D314*Inputs!B6/12,0)</f>
        <v>0</v>
      </c>
      <c r="J314">
        <f t="shared" si="56"/>
        <v>0</v>
      </c>
      <c r="K314">
        <f>MAX((D314-J314)*Inputs!B32,0)</f>
        <v>7.8573979748433503E-7</v>
      </c>
      <c r="L314">
        <f>MAX((D314-J314-K314)*Inputs!B33,0)</f>
        <v>3.0686762756780375E-8</v>
      </c>
      <c r="M314">
        <f>MIN(E314*Inputs!B29,E314)</f>
        <v>2.3394217019451083E-8</v>
      </c>
      <c r="N314">
        <f>MIN((E314-M314)*Inputs!B30,E314-M314)</f>
        <v>8.6892806072246891E-9</v>
      </c>
      <c r="O314">
        <f>MIN(F314*Inputs!B31,F314)</f>
        <v>4.6423841508129335E-7</v>
      </c>
      <c r="P314">
        <f>MIN((F314-O314)*Inputs!B34,F314-O314)</f>
        <v>2.9760071842348305E-8</v>
      </c>
      <c r="Q314">
        <f>P314*Inputs!B35</f>
        <v>7.4400179605870763E-9</v>
      </c>
      <c r="R314">
        <f>C314*Inputs!B8/12</f>
        <v>5.7321839781752262E-9</v>
      </c>
      <c r="S314">
        <f t="shared" si="57"/>
        <v>0</v>
      </c>
      <c r="T314">
        <f t="shared" si="58"/>
        <v>8.0805985136609631E-7</v>
      </c>
      <c r="U314">
        <f t="shared" si="59"/>
        <v>9.4929535404138154E-6</v>
      </c>
      <c r="V314">
        <f t="shared" si="60"/>
        <v>6.5443885185679131E-8</v>
      </c>
      <c r="W314">
        <f t="shared" si="61"/>
        <v>3.3833442526943615E-6</v>
      </c>
      <c r="X314">
        <f t="shared" si="62"/>
        <v>1.2941741678293858E-5</v>
      </c>
      <c r="Y314">
        <f t="shared" si="69"/>
        <v>81618.466816191241</v>
      </c>
      <c r="Z314">
        <f>IF(Inputs!B3&gt;0,(V314+W314)/Inputs!B3,0)</f>
        <v>1.1495960459600136E-14</v>
      </c>
      <c r="AA314">
        <f>IF(OR(Y314/Inputs!B3&gt;=Inputs!B23,Z314&gt;=Inputs!B24),1,0)</f>
        <v>0</v>
      </c>
      <c r="AB314">
        <f t="shared" si="63"/>
        <v>0</v>
      </c>
    </row>
    <row r="315" spans="1:28" x14ac:dyDescent="0.2">
      <c r="A315">
        <v>314</v>
      </c>
      <c r="B315">
        <f t="shared" si="64"/>
        <v>0</v>
      </c>
      <c r="C315">
        <f t="shared" si="65"/>
        <v>1.2941741678293858E-5</v>
      </c>
      <c r="D315">
        <f t="shared" si="66"/>
        <v>9.4929535404138154E-6</v>
      </c>
      <c r="E315">
        <f t="shared" si="67"/>
        <v>6.5443885185679131E-8</v>
      </c>
      <c r="F315">
        <f t="shared" si="68"/>
        <v>3.3833442526943615E-6</v>
      </c>
      <c r="G315">
        <f>MAX(Inputs!B7-A315+1,0)</f>
        <v>0</v>
      </c>
      <c r="H315">
        <f>IF(AND(A315&lt;=Inputs!B7,D315&gt;0),-PMT(Inputs!B6/12,G315,D315),0)</f>
        <v>0</v>
      </c>
      <c r="I315">
        <f>IF(AND(A315&lt;=Inputs!B7,D315&gt;0),D315*Inputs!B6/12,0)</f>
        <v>0</v>
      </c>
      <c r="J315">
        <f t="shared" si="56"/>
        <v>0</v>
      </c>
      <c r="K315">
        <f>MAX((D315-J315)*Inputs!B32,0)</f>
        <v>7.5943628323310526E-7</v>
      </c>
      <c r="L315">
        <f>MAX((D315-J315-K315)*Inputs!B33,0)</f>
        <v>2.9659489219050259E-8</v>
      </c>
      <c r="M315">
        <f>MIN(E315*Inputs!B29,E315)</f>
        <v>2.2905359814987693E-8</v>
      </c>
      <c r="N315">
        <f>MIN((E315-M315)*Inputs!B30,E315-M315)</f>
        <v>8.5077050741382886E-9</v>
      </c>
      <c r="O315">
        <f>MIN(F315*Inputs!B31,F315)</f>
        <v>4.0600131032332338E-7</v>
      </c>
      <c r="P315">
        <f>MIN((F315-O315)*Inputs!B34,F315-O315)</f>
        <v>2.6026773680919634E-8</v>
      </c>
      <c r="Q315">
        <f>P315*Inputs!B35</f>
        <v>6.5066934202299086E-9</v>
      </c>
      <c r="R315">
        <f>C315*Inputs!B8/12</f>
        <v>5.3923923659557736E-9</v>
      </c>
      <c r="S315">
        <f t="shared" si="57"/>
        <v>0</v>
      </c>
      <c r="T315">
        <f t="shared" si="58"/>
        <v>7.7895636349379498E-7</v>
      </c>
      <c r="U315">
        <f t="shared" si="59"/>
        <v>9.1327644380999719E-6</v>
      </c>
      <c r="V315">
        <f t="shared" si="60"/>
        <v>6.3690309515603413E-8</v>
      </c>
      <c r="W315">
        <f t="shared" si="61"/>
        <v>2.9598238737642568E-6</v>
      </c>
      <c r="X315">
        <f t="shared" si="62"/>
        <v>1.2156278621379832E-5</v>
      </c>
      <c r="Y315">
        <f t="shared" si="69"/>
        <v>81618.466816197746</v>
      </c>
      <c r="Z315">
        <f>IF(Inputs!B3&gt;0,(V315+W315)/Inputs!B3,0)</f>
        <v>1.0078380610932868E-14</v>
      </c>
      <c r="AA315">
        <f>IF(OR(Y315/Inputs!B3&gt;=Inputs!B23,Z315&gt;=Inputs!B24),1,0)</f>
        <v>0</v>
      </c>
      <c r="AB315">
        <f t="shared" si="63"/>
        <v>0</v>
      </c>
    </row>
    <row r="316" spans="1:28" x14ac:dyDescent="0.2">
      <c r="A316">
        <v>315</v>
      </c>
      <c r="B316">
        <f t="shared" si="64"/>
        <v>0</v>
      </c>
      <c r="C316">
        <f t="shared" si="65"/>
        <v>1.2156278621379832E-5</v>
      </c>
      <c r="D316">
        <f t="shared" si="66"/>
        <v>9.1327644380999719E-6</v>
      </c>
      <c r="E316">
        <f t="shared" si="67"/>
        <v>6.3690309515603413E-8</v>
      </c>
      <c r="F316">
        <f t="shared" si="68"/>
        <v>2.9598238737642568E-6</v>
      </c>
      <c r="G316">
        <f>MAX(Inputs!B7-A316+1,0)</f>
        <v>0</v>
      </c>
      <c r="H316">
        <f>IF(AND(A316&lt;=Inputs!B7,D316&gt;0),-PMT(Inputs!B6/12,G316,D316),0)</f>
        <v>0</v>
      </c>
      <c r="I316">
        <f>IF(AND(A316&lt;=Inputs!B7,D316&gt;0),D316*Inputs!B6/12,0)</f>
        <v>0</v>
      </c>
      <c r="J316">
        <f t="shared" si="56"/>
        <v>0</v>
      </c>
      <c r="K316">
        <f>MAX((D316-J316)*Inputs!B32,0)</f>
        <v>7.3062115504799778E-7</v>
      </c>
      <c r="L316">
        <f>MAX((D316-J316-K316)*Inputs!B33,0)</f>
        <v>2.853412557417234E-8</v>
      </c>
      <c r="M316">
        <f>MIN(E316*Inputs!B29,E316)</f>
        <v>2.2291608330461192E-8</v>
      </c>
      <c r="N316">
        <f>MIN((E316-M316)*Inputs!B30,E316-M316)</f>
        <v>8.2797402370284459E-9</v>
      </c>
      <c r="O316">
        <f>MIN(F316*Inputs!B31,F316)</f>
        <v>3.5517886485171078E-7</v>
      </c>
      <c r="P316">
        <f>MIN((F316-O316)*Inputs!B34,F316-O316)</f>
        <v>2.2768793343006052E-8</v>
      </c>
      <c r="Q316">
        <f>P316*Inputs!B35</f>
        <v>5.692198335751513E-9</v>
      </c>
      <c r="R316">
        <f>C316*Inputs!B8/12</f>
        <v>5.0651160922415967E-9</v>
      </c>
      <c r="S316">
        <f t="shared" si="57"/>
        <v>0</v>
      </c>
      <c r="T316">
        <f t="shared" si="58"/>
        <v>7.4769775005525233E-7</v>
      </c>
      <c r="U316">
        <f t="shared" si="59"/>
        <v>8.7510796306599742E-6</v>
      </c>
      <c r="V316">
        <f t="shared" si="60"/>
        <v>6.1653086522286124E-8</v>
      </c>
      <c r="W316">
        <f t="shared" si="61"/>
        <v>2.5901559558065683E-6</v>
      </c>
      <c r="X316">
        <f t="shared" si="62"/>
        <v>1.1402888672988828E-5</v>
      </c>
      <c r="Y316">
        <f t="shared" si="69"/>
        <v>81618.466816203436</v>
      </c>
      <c r="Z316">
        <f>IF(Inputs!B3&gt;0,(V316+W316)/Inputs!B3,0)</f>
        <v>8.839363474429515E-15</v>
      </c>
      <c r="AA316">
        <f>IF(OR(Y316/Inputs!B3&gt;=Inputs!B23,Z316&gt;=Inputs!B24),1,0)</f>
        <v>0</v>
      </c>
      <c r="AB316">
        <f t="shared" si="63"/>
        <v>0</v>
      </c>
    </row>
    <row r="317" spans="1:28" x14ac:dyDescent="0.2">
      <c r="A317">
        <v>316</v>
      </c>
      <c r="B317">
        <f t="shared" si="64"/>
        <v>0</v>
      </c>
      <c r="C317">
        <f t="shared" si="65"/>
        <v>1.1402888672988828E-5</v>
      </c>
      <c r="D317">
        <f t="shared" si="66"/>
        <v>8.7510796306599742E-6</v>
      </c>
      <c r="E317">
        <f t="shared" si="67"/>
        <v>6.1653086522286124E-8</v>
      </c>
      <c r="F317">
        <f t="shared" si="68"/>
        <v>2.5901559558065683E-6</v>
      </c>
      <c r="G317">
        <f>MAX(Inputs!B7-A317+1,0)</f>
        <v>0</v>
      </c>
      <c r="H317">
        <f>IF(AND(A317&lt;=Inputs!B7,D317&gt;0),-PMT(Inputs!B6/12,G317,D317),0)</f>
        <v>0</v>
      </c>
      <c r="I317">
        <f>IF(AND(A317&lt;=Inputs!B7,D317&gt;0),D317*Inputs!B6/12,0)</f>
        <v>0</v>
      </c>
      <c r="J317">
        <f t="shared" si="56"/>
        <v>0</v>
      </c>
      <c r="K317">
        <f>MAX((D317-J317)*Inputs!B32,0)</f>
        <v>7.0008637045279796E-7</v>
      </c>
      <c r="L317">
        <f>MAX((D317-J317-K317)*Inputs!B33,0)</f>
        <v>2.7341601415790292E-8</v>
      </c>
      <c r="M317">
        <f>MIN(E317*Inputs!B29,E317)</f>
        <v>2.1578580282800143E-8</v>
      </c>
      <c r="N317">
        <f>MIN((E317-M317)*Inputs!B30,E317-M317)</f>
        <v>8.0149012478971961E-9</v>
      </c>
      <c r="O317">
        <f>MIN(F317*Inputs!B31,F317)</f>
        <v>3.1081871469678817E-7</v>
      </c>
      <c r="P317">
        <f>MIN((F317-O317)*Inputs!B34,F317-O317)</f>
        <v>1.9925079396333453E-8</v>
      </c>
      <c r="Q317">
        <f>P317*Inputs!B35</f>
        <v>4.9812698490833632E-9</v>
      </c>
      <c r="R317">
        <f>C317*Inputs!B8/12</f>
        <v>4.7512036137453448E-9</v>
      </c>
      <c r="S317">
        <f t="shared" si="57"/>
        <v>0</v>
      </c>
      <c r="T317">
        <f t="shared" si="58"/>
        <v>7.15030180000048E-7</v>
      </c>
      <c r="U317">
        <f t="shared" si="59"/>
        <v>8.3560489537709746E-6</v>
      </c>
      <c r="V317">
        <f t="shared" si="60"/>
        <v>5.9401206407379076E-8</v>
      </c>
      <c r="W317">
        <f t="shared" si="61"/>
        <v>2.2674270629613436E-6</v>
      </c>
      <c r="X317">
        <f t="shared" si="62"/>
        <v>1.0682877223139698E-5</v>
      </c>
      <c r="Y317">
        <f t="shared" si="69"/>
        <v>81618.466816208413</v>
      </c>
      <c r="Z317">
        <f>IF(Inputs!B3&gt;0,(V317+W317)/Inputs!B3,0)</f>
        <v>7.7560942312290747E-15</v>
      </c>
      <c r="AA317">
        <f>IF(OR(Y317/Inputs!B3&gt;=Inputs!B23,Z317&gt;=Inputs!B24),1,0)</f>
        <v>0</v>
      </c>
      <c r="AB317">
        <f t="shared" si="63"/>
        <v>0</v>
      </c>
    </row>
    <row r="318" spans="1:28" x14ac:dyDescent="0.2">
      <c r="A318">
        <v>317</v>
      </c>
      <c r="B318">
        <f t="shared" si="64"/>
        <v>0</v>
      </c>
      <c r="C318">
        <f t="shared" si="65"/>
        <v>1.0682877223139698E-5</v>
      </c>
      <c r="D318">
        <f t="shared" si="66"/>
        <v>8.3560489537709746E-6</v>
      </c>
      <c r="E318">
        <f t="shared" si="67"/>
        <v>5.9401206407379076E-8</v>
      </c>
      <c r="F318">
        <f t="shared" si="68"/>
        <v>2.2674270629613436E-6</v>
      </c>
      <c r="G318">
        <f>MAX(Inputs!B7-A318+1,0)</f>
        <v>0</v>
      </c>
      <c r="H318">
        <f>IF(AND(A318&lt;=Inputs!B7,D318&gt;0),-PMT(Inputs!B6/12,G318,D318),0)</f>
        <v>0</v>
      </c>
      <c r="I318">
        <f>IF(AND(A318&lt;=Inputs!B7,D318&gt;0),D318*Inputs!B6/12,0)</f>
        <v>0</v>
      </c>
      <c r="J318">
        <f t="shared" si="56"/>
        <v>0</v>
      </c>
      <c r="K318">
        <f>MAX((D318-J318)*Inputs!B32,0)</f>
        <v>6.6848391630167802E-7</v>
      </c>
      <c r="L318">
        <f>MAX((D318-J318-K318)*Inputs!B33,0)</f>
        <v>2.610737983738439E-8</v>
      </c>
      <c r="M318">
        <f>MIN(E318*Inputs!B29,E318)</f>
        <v>2.0790422242582674E-8</v>
      </c>
      <c r="N318">
        <f>MIN((E318-M318)*Inputs!B30,E318-M318)</f>
        <v>7.7221568329592795E-9</v>
      </c>
      <c r="O318">
        <f>MIN(F318*Inputs!B31,F318)</f>
        <v>2.7209124755536125E-7</v>
      </c>
      <c r="P318">
        <f>MIN((F318-O318)*Inputs!B34,F318-O318)</f>
        <v>1.7442449422251651E-8</v>
      </c>
      <c r="Q318">
        <f>P318*Inputs!B35</f>
        <v>4.3606123555629127E-9</v>
      </c>
      <c r="R318">
        <f>C318*Inputs!B8/12</f>
        <v>4.4511988429748743E-9</v>
      </c>
      <c r="S318">
        <f t="shared" si="57"/>
        <v>0</v>
      </c>
      <c r="T318">
        <f t="shared" si="58"/>
        <v>6.8156575336836672E-7</v>
      </c>
      <c r="U318">
        <f t="shared" si="59"/>
        <v>7.9543393274298568E-6</v>
      </c>
      <c r="V318">
        <f t="shared" si="60"/>
        <v>5.6996007169221508E-8</v>
      </c>
      <c r="W318">
        <f t="shared" si="61"/>
        <v>1.98561552281669E-6</v>
      </c>
      <c r="X318">
        <f t="shared" si="62"/>
        <v>9.9969508574157679E-6</v>
      </c>
      <c r="Y318">
        <f t="shared" si="69"/>
        <v>81618.466816212778</v>
      </c>
      <c r="Z318">
        <f>IF(Inputs!B3&gt;0,(V318+W318)/Inputs!B3,0)</f>
        <v>6.8087050999530386E-15</v>
      </c>
      <c r="AA318">
        <f>IF(OR(Y318/Inputs!B3&gt;=Inputs!B23,Z318&gt;=Inputs!B24),1,0)</f>
        <v>0</v>
      </c>
      <c r="AB318">
        <f t="shared" si="63"/>
        <v>0</v>
      </c>
    </row>
    <row r="319" spans="1:28" x14ac:dyDescent="0.2">
      <c r="A319">
        <v>318</v>
      </c>
      <c r="B319">
        <f t="shared" si="64"/>
        <v>0</v>
      </c>
      <c r="C319">
        <f t="shared" si="65"/>
        <v>9.9969508574157679E-6</v>
      </c>
      <c r="D319">
        <f t="shared" si="66"/>
        <v>7.9543393274298568E-6</v>
      </c>
      <c r="E319">
        <f t="shared" si="67"/>
        <v>5.6996007169221508E-8</v>
      </c>
      <c r="F319">
        <f t="shared" si="68"/>
        <v>1.98561552281669E-6</v>
      </c>
      <c r="G319">
        <f>MAX(Inputs!B7-A319+1,0)</f>
        <v>0</v>
      </c>
      <c r="H319">
        <f>IF(AND(A319&lt;=Inputs!B7,D319&gt;0),-PMT(Inputs!B6/12,G319,D319),0)</f>
        <v>0</v>
      </c>
      <c r="I319">
        <f>IF(AND(A319&lt;=Inputs!B7,D319&gt;0),D319*Inputs!B6/12,0)</f>
        <v>0</v>
      </c>
      <c r="J319">
        <f t="shared" si="56"/>
        <v>0</v>
      </c>
      <c r="K319">
        <f>MAX((D319-J319)*Inputs!B32,0)</f>
        <v>6.3634714619438853E-7</v>
      </c>
      <c r="L319">
        <f>MAX((D319-J319-K319)*Inputs!B33,0)</f>
        <v>2.4852290756738398E-8</v>
      </c>
      <c r="M319">
        <f>MIN(E319*Inputs!B29,E319)</f>
        <v>1.9948602509227527E-8</v>
      </c>
      <c r="N319">
        <f>MIN((E319-M319)*Inputs!B30,E319-M319)</f>
        <v>7.4094809319987969E-9</v>
      </c>
      <c r="O319">
        <f>MIN(F319*Inputs!B31,F319)</f>
        <v>2.382738627380028E-7</v>
      </c>
      <c r="P319">
        <f>MIN((F319-O319)*Inputs!B34,F319-O319)</f>
        <v>1.5274580997341807E-8</v>
      </c>
      <c r="Q319">
        <f>P319*Inputs!B35</f>
        <v>3.8186452493354518E-9</v>
      </c>
      <c r="R319">
        <f>C319*Inputs!B8/12</f>
        <v>4.1653961905899033E-9</v>
      </c>
      <c r="S319">
        <f t="shared" si="57"/>
        <v>0</v>
      </c>
      <c r="T319">
        <f t="shared" si="58"/>
        <v>6.478030819423949E-7</v>
      </c>
      <c r="U319">
        <f t="shared" si="59"/>
        <v>7.5513623557259599E-6</v>
      </c>
      <c r="V319">
        <f t="shared" si="60"/>
        <v>5.4490214484733585E-8</v>
      </c>
      <c r="W319">
        <f t="shared" si="61"/>
        <v>1.7394765600133441E-6</v>
      </c>
      <c r="X319">
        <f t="shared" si="62"/>
        <v>9.3453291302240374E-6</v>
      </c>
      <c r="Y319">
        <f t="shared" si="69"/>
        <v>81618.466816216591</v>
      </c>
      <c r="Z319">
        <f>IF(Inputs!B3&gt;0,(V319+W319)/Inputs!B3,0)</f>
        <v>5.9798892483269258E-15</v>
      </c>
      <c r="AA319">
        <f>IF(OR(Y319/Inputs!B3&gt;=Inputs!B23,Z319&gt;=Inputs!B24),1,0)</f>
        <v>0</v>
      </c>
      <c r="AB319">
        <f t="shared" si="63"/>
        <v>0</v>
      </c>
    </row>
    <row r="320" spans="1:28" x14ac:dyDescent="0.2">
      <c r="A320">
        <v>319</v>
      </c>
      <c r="B320">
        <f t="shared" si="64"/>
        <v>0</v>
      </c>
      <c r="C320">
        <f t="shared" si="65"/>
        <v>9.3453291302240374E-6</v>
      </c>
      <c r="D320">
        <f t="shared" si="66"/>
        <v>7.5513623557259599E-6</v>
      </c>
      <c r="E320">
        <f t="shared" si="67"/>
        <v>5.4490214484733585E-8</v>
      </c>
      <c r="F320">
        <f t="shared" si="68"/>
        <v>1.7394765600133441E-6</v>
      </c>
      <c r="G320">
        <f>MAX(Inputs!B7-A320+1,0)</f>
        <v>0</v>
      </c>
      <c r="H320">
        <f>IF(AND(A320&lt;=Inputs!B7,D320&gt;0),-PMT(Inputs!B6/12,G320,D320),0)</f>
        <v>0</v>
      </c>
      <c r="I320">
        <f>IF(AND(A320&lt;=Inputs!B7,D320&gt;0),D320*Inputs!B6/12,0)</f>
        <v>0</v>
      </c>
      <c r="J320">
        <f t="shared" si="56"/>
        <v>0</v>
      </c>
      <c r="K320">
        <f>MAX((D320-J320)*Inputs!B32,0)</f>
        <v>6.0410898845807686E-7</v>
      </c>
      <c r="L320">
        <f>MAX((D320-J320-K320)*Inputs!B33,0)</f>
        <v>2.3593242021600878E-8</v>
      </c>
      <c r="M320">
        <f>MIN(E320*Inputs!B29,E320)</f>
        <v>1.9071575069656754E-8</v>
      </c>
      <c r="N320">
        <f>MIN((E320-M320)*Inputs!B30,E320-M320)</f>
        <v>7.0837278830153665E-9</v>
      </c>
      <c r="O320">
        <f>MIN(F320*Inputs!B31,F320)</f>
        <v>2.0873718720160129E-7</v>
      </c>
      <c r="P320">
        <f>MIN((F320-O320)*Inputs!B34,F320-O320)</f>
        <v>1.3381128070156718E-8</v>
      </c>
      <c r="Q320">
        <f>P320*Inputs!B35</f>
        <v>3.3452820175391796E-9</v>
      </c>
      <c r="R320">
        <f>C320*Inputs!B8/12</f>
        <v>3.8938871375933492E-9</v>
      </c>
      <c r="S320">
        <f t="shared" si="57"/>
        <v>0</v>
      </c>
      <c r="T320">
        <f t="shared" si="58"/>
        <v>6.1414483451069446E-7</v>
      </c>
      <c r="U320">
        <f t="shared" si="59"/>
        <v>7.15146888751754E-6</v>
      </c>
      <c r="V320">
        <f t="shared" si="60"/>
        <v>5.1928153553662344E-8</v>
      </c>
      <c r="W320">
        <f t="shared" si="61"/>
        <v>1.5244419726246014E-6</v>
      </c>
      <c r="X320">
        <f t="shared" si="62"/>
        <v>8.7278390136958042E-6</v>
      </c>
      <c r="Y320">
        <f t="shared" si="69"/>
        <v>81618.466816219938</v>
      </c>
      <c r="Z320">
        <f>IF(Inputs!B3&gt;0,(V320+W320)/Inputs!B3,0)</f>
        <v>5.2545670872608787E-15</v>
      </c>
      <c r="AA320">
        <f>IF(OR(Y320/Inputs!B3&gt;=Inputs!B23,Z320&gt;=Inputs!B24),1,0)</f>
        <v>0</v>
      </c>
      <c r="AB320">
        <f t="shared" si="63"/>
        <v>0</v>
      </c>
    </row>
    <row r="321" spans="1:28" x14ac:dyDescent="0.2">
      <c r="A321">
        <v>320</v>
      </c>
      <c r="B321">
        <f t="shared" si="64"/>
        <v>0</v>
      </c>
      <c r="C321">
        <f t="shared" si="65"/>
        <v>8.7278390136958042E-6</v>
      </c>
      <c r="D321">
        <f t="shared" si="66"/>
        <v>7.15146888751754E-6</v>
      </c>
      <c r="E321">
        <f t="shared" si="67"/>
        <v>5.1928153553662344E-8</v>
      </c>
      <c r="F321">
        <f t="shared" si="68"/>
        <v>1.5244419726246014E-6</v>
      </c>
      <c r="G321">
        <f>MAX(Inputs!B7-A321+1,0)</f>
        <v>0</v>
      </c>
      <c r="H321">
        <f>IF(AND(A321&lt;=Inputs!B7,D321&gt;0),-PMT(Inputs!B6/12,G321,D321),0)</f>
        <v>0</v>
      </c>
      <c r="I321">
        <f>IF(AND(A321&lt;=Inputs!B7,D321&gt;0),D321*Inputs!B6/12,0)</f>
        <v>0</v>
      </c>
      <c r="J321">
        <f t="shared" si="56"/>
        <v>0</v>
      </c>
      <c r="K321">
        <f>MAX((D321-J321)*Inputs!B32,0)</f>
        <v>5.721175110014032E-7</v>
      </c>
      <c r="L321">
        <f>MAX((D321-J321-K321)*Inputs!B33,0)</f>
        <v>2.2343827289020274E-8</v>
      </c>
      <c r="M321">
        <f>MIN(E321*Inputs!B29,E321)</f>
        <v>1.817485374378182E-8</v>
      </c>
      <c r="N321">
        <f>MIN((E321-M321)*Inputs!B30,E321-M321)</f>
        <v>6.7506599619761049E-9</v>
      </c>
      <c r="O321">
        <f>MIN(F321*Inputs!B31,F321)</f>
        <v>1.8293303671495217E-7</v>
      </c>
      <c r="P321">
        <f>MIN((F321-O321)*Inputs!B34,F321-O321)</f>
        <v>1.1726949209971333E-8</v>
      </c>
      <c r="Q321">
        <f>P321*Inputs!B35</f>
        <v>2.9317373024928333E-9</v>
      </c>
      <c r="R321">
        <f>C321*Inputs!B8/12</f>
        <v>3.6365995890399188E-9</v>
      </c>
      <c r="S321">
        <f t="shared" si="57"/>
        <v>0</v>
      </c>
      <c r="T321">
        <f t="shared" si="58"/>
        <v>5.8091272290888171E-7</v>
      </c>
      <c r="U321">
        <f t="shared" si="59"/>
        <v>6.7581154396858506E-6</v>
      </c>
      <c r="V321">
        <f t="shared" si="60"/>
        <v>4.9346467136924693E-8</v>
      </c>
      <c r="W321">
        <f t="shared" si="61"/>
        <v>1.3365326466616542E-6</v>
      </c>
      <c r="X321">
        <f t="shared" si="62"/>
        <v>8.1439945534844286E-6</v>
      </c>
      <c r="Y321">
        <f t="shared" si="69"/>
        <v>81618.466816222863</v>
      </c>
      <c r="Z321">
        <f>IF(Inputs!B3&gt;0,(V321+W321)/Inputs!B3,0)</f>
        <v>4.6195970459952633E-15</v>
      </c>
      <c r="AA321">
        <f>IF(OR(Y321/Inputs!B3&gt;=Inputs!B23,Z321&gt;=Inputs!B24),1,0)</f>
        <v>0</v>
      </c>
      <c r="AB321">
        <f t="shared" si="63"/>
        <v>0</v>
      </c>
    </row>
    <row r="322" spans="1:28" x14ac:dyDescent="0.2">
      <c r="A322">
        <v>321</v>
      </c>
      <c r="B322">
        <f t="shared" si="64"/>
        <v>0</v>
      </c>
      <c r="C322">
        <f t="shared" si="65"/>
        <v>8.1439945534844286E-6</v>
      </c>
      <c r="D322">
        <f t="shared" si="66"/>
        <v>6.7581154396858506E-6</v>
      </c>
      <c r="E322">
        <f t="shared" si="67"/>
        <v>4.9346467136924693E-8</v>
      </c>
      <c r="F322">
        <f t="shared" si="68"/>
        <v>1.3365326466616542E-6</v>
      </c>
      <c r="G322">
        <f>MAX(Inputs!B7-A322+1,0)</f>
        <v>0</v>
      </c>
      <c r="H322">
        <f>IF(AND(A322&lt;=Inputs!B7,D322&gt;0),-PMT(Inputs!B6/12,G322,D322),0)</f>
        <v>0</v>
      </c>
      <c r="I322">
        <f>IF(AND(A322&lt;=Inputs!B7,D322&gt;0),D322*Inputs!B6/12,0)</f>
        <v>0</v>
      </c>
      <c r="J322">
        <f t="shared" ref="J322:J385" si="70">MAX(H322-I322,0)</f>
        <v>0</v>
      </c>
      <c r="K322">
        <f>MAX((D322-J322)*Inputs!B32,0)</f>
        <v>5.4064923517486809E-7</v>
      </c>
      <c r="L322">
        <f>MAX((D322-J322-K322)*Inputs!B33,0)</f>
        <v>2.1114845992991336E-8</v>
      </c>
      <c r="M322">
        <f>MIN(E322*Inputs!B29,E322)</f>
        <v>1.727126349792364E-8</v>
      </c>
      <c r="N322">
        <f>MIN((E322-M322)*Inputs!B30,E322-M322)</f>
        <v>6.4150407278002115E-9</v>
      </c>
      <c r="O322">
        <f>MIN(F322*Inputs!B31,F322)</f>
        <v>1.603839175993985E-7</v>
      </c>
      <c r="P322">
        <f>MIN((F322-O322)*Inputs!B34,F322-O322)</f>
        <v>1.028143461432324E-8</v>
      </c>
      <c r="Q322">
        <f>P322*Inputs!B35</f>
        <v>2.5703586535808101E-9</v>
      </c>
      <c r="R322">
        <f>C322*Inputs!B8/12</f>
        <v>3.3933310639518451E-9</v>
      </c>
      <c r="S322">
        <f t="shared" ref="S322:S385" si="71">MAX(I322-R322,0)</f>
        <v>0</v>
      </c>
      <c r="T322">
        <f t="shared" ref="T322:T361" si="72">MAX(J322+K322+P322-Q322,0)</f>
        <v>5.4836031113561054E-7</v>
      </c>
      <c r="U322">
        <f t="shared" ref="U322:U361" si="73">MAX(D322-J322-K322-L322+M322+O322,0)</f>
        <v>6.3740065396153139E-6</v>
      </c>
      <c r="V322">
        <f t="shared" ref="V322:V361" si="74">MAX(E322-M322-N322+L322,0)</f>
        <v>4.6775008904192183E-8</v>
      </c>
      <c r="W322">
        <f t="shared" ref="W322:W361" si="75">MAX(F322-O322-P322+N322,0)</f>
        <v>1.1722823351757326E-6</v>
      </c>
      <c r="X322">
        <f t="shared" ref="X322:X385" si="76">U322+V322+W322</f>
        <v>7.5930638836952393E-6</v>
      </c>
      <c r="Y322">
        <f t="shared" si="69"/>
        <v>81618.466816225438</v>
      </c>
      <c r="Z322">
        <f>IF(Inputs!B3&gt;0,(V322+W322)/Inputs!B3,0)</f>
        <v>4.0635244802664159E-15</v>
      </c>
      <c r="AA322">
        <f>IF(OR(Y322/Inputs!B3&gt;=Inputs!B23,Z322&gt;=Inputs!B24),1,0)</f>
        <v>0</v>
      </c>
      <c r="AB322">
        <f t="shared" ref="AB322:AB361" si="77">MAX(C322-J322-K322-P322,0)-X322</f>
        <v>0</v>
      </c>
    </row>
    <row r="323" spans="1:28" x14ac:dyDescent="0.2">
      <c r="A323">
        <v>322</v>
      </c>
      <c r="B323">
        <f t="shared" ref="B323:B361" si="78">MAX(B322,AA323)</f>
        <v>0</v>
      </c>
      <c r="C323">
        <f t="shared" ref="C323:C361" si="79">X322</f>
        <v>7.5930638836952393E-6</v>
      </c>
      <c r="D323">
        <f t="shared" ref="D323:D361" si="80">U322</f>
        <v>6.3740065396153139E-6</v>
      </c>
      <c r="E323">
        <f t="shared" ref="E323:E361" si="81">V322</f>
        <v>4.6775008904192183E-8</v>
      </c>
      <c r="F323">
        <f t="shared" ref="F323:F361" si="82">W322</f>
        <v>1.1722823351757326E-6</v>
      </c>
      <c r="G323">
        <f>MAX(Inputs!B7-A323+1,0)</f>
        <v>0</v>
      </c>
      <c r="H323">
        <f>IF(AND(A323&lt;=Inputs!B7,D323&gt;0),-PMT(Inputs!B6/12,G323,D323),0)</f>
        <v>0</v>
      </c>
      <c r="I323">
        <f>IF(AND(A323&lt;=Inputs!B7,D323&gt;0),D323*Inputs!B6/12,0)</f>
        <v>0</v>
      </c>
      <c r="J323">
        <f t="shared" si="70"/>
        <v>0</v>
      </c>
      <c r="K323">
        <f>MAX((D323-J323)*Inputs!B32,0)</f>
        <v>5.0992052316922511E-7</v>
      </c>
      <c r="L323">
        <f>MAX((D323-J323-K323)*Inputs!B33,0)</f>
        <v>1.9914748074879465E-8</v>
      </c>
      <c r="M323">
        <f>MIN(E323*Inputs!B29,E323)</f>
        <v>1.6371253116467261E-8</v>
      </c>
      <c r="N323">
        <f>MIN((E323-M323)*Inputs!B30,E323-M323)</f>
        <v>6.0807511575449849E-9</v>
      </c>
      <c r="O323">
        <f>MIN(F323*Inputs!B31,F323)</f>
        <v>1.406738802210879E-7</v>
      </c>
      <c r="P323">
        <f>MIN((F323-O323)*Inputs!B34,F323-O323)</f>
        <v>9.0179197707892807E-9</v>
      </c>
      <c r="Q323">
        <f>P323*Inputs!B35</f>
        <v>2.2544799426973202E-9</v>
      </c>
      <c r="R323">
        <f>C323*Inputs!B8/12</f>
        <v>3.1637766182063501E-9</v>
      </c>
      <c r="S323">
        <f t="shared" si="71"/>
        <v>0</v>
      </c>
      <c r="T323">
        <f t="shared" si="72"/>
        <v>5.1668396299731715E-7</v>
      </c>
      <c r="U323">
        <f t="shared" si="73"/>
        <v>6.0012164017087641E-6</v>
      </c>
      <c r="V323">
        <f t="shared" si="74"/>
        <v>4.4237752705059402E-8</v>
      </c>
      <c r="W323">
        <f t="shared" si="75"/>
        <v>1.0286712863414002E-6</v>
      </c>
      <c r="X323">
        <f t="shared" si="76"/>
        <v>7.0741254407552236E-6</v>
      </c>
      <c r="Y323">
        <f t="shared" ref="Y323:Y361" si="83">Y322+Q323</f>
        <v>81618.466816227694</v>
      </c>
      <c r="Z323">
        <f>IF(Inputs!B3&gt;0,(V323+W323)/Inputs!B3,0)</f>
        <v>3.5763634634881983E-15</v>
      </c>
      <c r="AA323">
        <f>IF(OR(Y323/Inputs!B3&gt;=Inputs!B23,Z323&gt;=Inputs!B24),1,0)</f>
        <v>0</v>
      </c>
      <c r="AB323">
        <f t="shared" si="77"/>
        <v>0</v>
      </c>
    </row>
    <row r="324" spans="1:28" x14ac:dyDescent="0.2">
      <c r="A324">
        <v>323</v>
      </c>
      <c r="B324">
        <f t="shared" si="78"/>
        <v>0</v>
      </c>
      <c r="C324">
        <f t="shared" si="79"/>
        <v>7.0741254407552236E-6</v>
      </c>
      <c r="D324">
        <f t="shared" si="80"/>
        <v>6.0012164017087641E-6</v>
      </c>
      <c r="E324">
        <f t="shared" si="81"/>
        <v>4.4237752705059402E-8</v>
      </c>
      <c r="F324">
        <f t="shared" si="82"/>
        <v>1.0286712863414002E-6</v>
      </c>
      <c r="G324">
        <f>MAX(Inputs!B7-A324+1,0)</f>
        <v>0</v>
      </c>
      <c r="H324">
        <f>IF(AND(A324&lt;=Inputs!B7,D324&gt;0),-PMT(Inputs!B6/12,G324,D324),0)</f>
        <v>0</v>
      </c>
      <c r="I324">
        <f>IF(AND(A324&lt;=Inputs!B7,D324&gt;0),D324*Inputs!B6/12,0)</f>
        <v>0</v>
      </c>
      <c r="J324">
        <f t="shared" si="70"/>
        <v>0</v>
      </c>
      <c r="K324">
        <f>MAX((D324-J324)*Inputs!B32,0)</f>
        <v>4.8009731213670112E-7</v>
      </c>
      <c r="L324">
        <f>MAX((D324-J324-K324)*Inputs!B33,0)</f>
        <v>1.8750014145746005E-8</v>
      </c>
      <c r="M324">
        <f>MIN(E324*Inputs!B29,E324)</f>
        <v>1.5483213446770789E-8</v>
      </c>
      <c r="N324">
        <f>MIN((E324-M324)*Inputs!B30,E324-M324)</f>
        <v>5.750907851657723E-9</v>
      </c>
      <c r="O324">
        <f>MIN(F324*Inputs!B31,F324)</f>
        <v>1.2344055436096804E-7</v>
      </c>
      <c r="P324">
        <f>MIN((F324-O324)*Inputs!B34,F324-O324)</f>
        <v>7.9131748832082772E-9</v>
      </c>
      <c r="Q324">
        <f>P324*Inputs!B35</f>
        <v>1.9782937208020693E-9</v>
      </c>
      <c r="R324">
        <f>C324*Inputs!B8/12</f>
        <v>2.9475522669813431E-9</v>
      </c>
      <c r="S324">
        <f t="shared" si="71"/>
        <v>0</v>
      </c>
      <c r="T324">
        <f t="shared" si="72"/>
        <v>4.8603219329910732E-7</v>
      </c>
      <c r="U324">
        <f t="shared" si="73"/>
        <v>5.6412928432340556E-6</v>
      </c>
      <c r="V324">
        <f t="shared" si="74"/>
        <v>4.1753645552376893E-8</v>
      </c>
      <c r="W324">
        <f t="shared" si="75"/>
        <v>9.0306846494888171E-7</v>
      </c>
      <c r="X324">
        <f t="shared" si="76"/>
        <v>6.5861149537353142E-6</v>
      </c>
      <c r="Y324">
        <f t="shared" si="83"/>
        <v>81618.466816229673</v>
      </c>
      <c r="Z324">
        <f>IF(Inputs!B3&gt;0,(V324+W324)/Inputs!B3,0)</f>
        <v>3.1494070350041953E-15</v>
      </c>
      <c r="AA324">
        <f>IF(OR(Y324/Inputs!B3&gt;=Inputs!B23,Z324&gt;=Inputs!B24),1,0)</f>
        <v>0</v>
      </c>
      <c r="AB324">
        <f t="shared" si="77"/>
        <v>0</v>
      </c>
    </row>
    <row r="325" spans="1:28" x14ac:dyDescent="0.2">
      <c r="A325">
        <v>324</v>
      </c>
      <c r="B325">
        <f t="shared" si="78"/>
        <v>0</v>
      </c>
      <c r="C325">
        <f t="shared" si="79"/>
        <v>6.5861149537353142E-6</v>
      </c>
      <c r="D325">
        <f t="shared" si="80"/>
        <v>5.6412928432340556E-6</v>
      </c>
      <c r="E325">
        <f t="shared" si="81"/>
        <v>4.1753645552376893E-8</v>
      </c>
      <c r="F325">
        <f t="shared" si="82"/>
        <v>9.0306846494888171E-7</v>
      </c>
      <c r="G325">
        <f>MAX(Inputs!B7-A325+1,0)</f>
        <v>0</v>
      </c>
      <c r="H325">
        <f>IF(AND(A325&lt;=Inputs!B7,D325&gt;0),-PMT(Inputs!B6/12,G325,D325),0)</f>
        <v>0</v>
      </c>
      <c r="I325">
        <f>IF(AND(A325&lt;=Inputs!B7,D325&gt;0),D325*Inputs!B6/12,0)</f>
        <v>0</v>
      </c>
      <c r="J325">
        <f t="shared" si="70"/>
        <v>0</v>
      </c>
      <c r="K325">
        <f>MAX((D325-J325)*Inputs!B32,0)</f>
        <v>4.5130342745872447E-7</v>
      </c>
      <c r="L325">
        <f>MAX((D325-J325-K325)*Inputs!B33,0)</f>
        <v>1.7625480157792088E-8</v>
      </c>
      <c r="M325">
        <f>MIN(E325*Inputs!B29,E325)</f>
        <v>1.4613775943331912E-8</v>
      </c>
      <c r="N325">
        <f>MIN((E325-M325)*Inputs!B30,E325-M325)</f>
        <v>5.4279739218089972E-9</v>
      </c>
      <c r="O325">
        <f>MIN(F325*Inputs!B31,F325)</f>
        <v>1.0836821579386579E-7</v>
      </c>
      <c r="P325">
        <f>MIN((F325-O325)*Inputs!B34,F325-O325)</f>
        <v>6.9469604037137009E-9</v>
      </c>
      <c r="Q325">
        <f>P325*Inputs!B35</f>
        <v>1.7367401009284252E-9</v>
      </c>
      <c r="R325">
        <f>C325*Inputs!B8/12</f>
        <v>2.7442145640563808E-9</v>
      </c>
      <c r="S325">
        <f t="shared" si="71"/>
        <v>0</v>
      </c>
      <c r="T325">
        <f t="shared" si="72"/>
        <v>4.5651364776150978E-7</v>
      </c>
      <c r="U325">
        <f t="shared" si="73"/>
        <v>5.2953459273547368E-6</v>
      </c>
      <c r="V325">
        <f t="shared" si="74"/>
        <v>3.9337375845028074E-8</v>
      </c>
      <c r="W325">
        <f t="shared" si="75"/>
        <v>7.9318126267311123E-7</v>
      </c>
      <c r="X325">
        <f t="shared" si="76"/>
        <v>6.1278645658728763E-6</v>
      </c>
      <c r="Y325">
        <f t="shared" si="83"/>
        <v>81618.466816231405</v>
      </c>
      <c r="Z325">
        <f>IF(Inputs!B3&gt;0,(V325+W325)/Inputs!B3,0)</f>
        <v>2.7750621283937977E-15</v>
      </c>
      <c r="AA325">
        <f>IF(OR(Y325/Inputs!B3&gt;=Inputs!B23,Z325&gt;=Inputs!B24),1,0)</f>
        <v>0</v>
      </c>
      <c r="AB325">
        <f t="shared" si="77"/>
        <v>0</v>
      </c>
    </row>
    <row r="326" spans="1:28" x14ac:dyDescent="0.2">
      <c r="A326">
        <v>325</v>
      </c>
      <c r="B326">
        <f t="shared" si="78"/>
        <v>0</v>
      </c>
      <c r="C326">
        <f t="shared" si="79"/>
        <v>6.1278645658728763E-6</v>
      </c>
      <c r="D326">
        <f t="shared" si="80"/>
        <v>5.2953459273547368E-6</v>
      </c>
      <c r="E326">
        <f t="shared" si="81"/>
        <v>3.9337375845028074E-8</v>
      </c>
      <c r="F326">
        <f t="shared" si="82"/>
        <v>7.9318126267311123E-7</v>
      </c>
      <c r="G326">
        <f>MAX(Inputs!B7-A326+1,0)</f>
        <v>0</v>
      </c>
      <c r="H326">
        <f>IF(AND(A326&lt;=Inputs!B7,D326&gt;0),-PMT(Inputs!B6/12,G326,D326),0)</f>
        <v>0</v>
      </c>
      <c r="I326">
        <f>IF(AND(A326&lt;=Inputs!B7,D326&gt;0),D326*Inputs!B6/12,0)</f>
        <v>0</v>
      </c>
      <c r="J326">
        <f t="shared" si="70"/>
        <v>0</v>
      </c>
      <c r="K326">
        <f>MAX((D326-J326)*Inputs!B32,0)</f>
        <v>4.2362767418837893E-7</v>
      </c>
      <c r="L326">
        <f>MAX((D326-J326-K326)*Inputs!B33,0)</f>
        <v>1.6544614357890673E-8</v>
      </c>
      <c r="M326">
        <f>MIN(E326*Inputs!B29,E326)</f>
        <v>1.3768081545759824E-8</v>
      </c>
      <c r="N326">
        <f>MIN((E326-M326)*Inputs!B30,E326-M326)</f>
        <v>5.1138588598536509E-9</v>
      </c>
      <c r="O326">
        <f>MIN(F326*Inputs!B31,F326)</f>
        <v>9.5181751520773347E-8</v>
      </c>
      <c r="P326">
        <f>MIN((F326-O326)*Inputs!B34,F326-O326)</f>
        <v>6.1016401730622331E-9</v>
      </c>
      <c r="Q326">
        <f>P326*Inputs!B35</f>
        <v>1.5254100432655583E-9</v>
      </c>
      <c r="R326">
        <f>C326*Inputs!B8/12</f>
        <v>2.5532769024470318E-9</v>
      </c>
      <c r="S326">
        <f t="shared" si="71"/>
        <v>0</v>
      </c>
      <c r="T326">
        <f t="shared" si="72"/>
        <v>4.282039043181756E-7</v>
      </c>
      <c r="U326">
        <f t="shared" si="73"/>
        <v>4.964123471875E-6</v>
      </c>
      <c r="V326">
        <f t="shared" si="74"/>
        <v>3.7000049797305277E-8</v>
      </c>
      <c r="W326">
        <f t="shared" si="75"/>
        <v>6.9701172983912933E-7</v>
      </c>
      <c r="X326">
        <f t="shared" si="76"/>
        <v>5.6981352515114349E-6</v>
      </c>
      <c r="Y326">
        <f t="shared" si="83"/>
        <v>81618.466816232933</v>
      </c>
      <c r="Z326">
        <f>IF(Inputs!B3&gt;0,(V326+W326)/Inputs!B3,0)</f>
        <v>2.4467059321214487E-15</v>
      </c>
      <c r="AA326">
        <f>IF(OR(Y326/Inputs!B3&gt;=Inputs!B23,Z326&gt;=Inputs!B24),1,0)</f>
        <v>0</v>
      </c>
      <c r="AB326">
        <f t="shared" si="77"/>
        <v>0</v>
      </c>
    </row>
    <row r="327" spans="1:28" x14ac:dyDescent="0.2">
      <c r="A327">
        <v>326</v>
      </c>
      <c r="B327">
        <f t="shared" si="78"/>
        <v>0</v>
      </c>
      <c r="C327">
        <f t="shared" si="79"/>
        <v>5.6981352515114349E-6</v>
      </c>
      <c r="D327">
        <f t="shared" si="80"/>
        <v>4.964123471875E-6</v>
      </c>
      <c r="E327">
        <f t="shared" si="81"/>
        <v>3.7000049797305277E-8</v>
      </c>
      <c r="F327">
        <f t="shared" si="82"/>
        <v>6.9701172983912933E-7</v>
      </c>
      <c r="G327">
        <f>MAX(Inputs!B7-A327+1,0)</f>
        <v>0</v>
      </c>
      <c r="H327">
        <f>IF(AND(A327&lt;=Inputs!B7,D327&gt;0),-PMT(Inputs!B6/12,G327,D327),0)</f>
        <v>0</v>
      </c>
      <c r="I327">
        <f>IF(AND(A327&lt;=Inputs!B7,D327&gt;0),D327*Inputs!B6/12,0)</f>
        <v>0</v>
      </c>
      <c r="J327">
        <f t="shared" si="70"/>
        <v>0</v>
      </c>
      <c r="K327">
        <f>MAX((D327-J327)*Inputs!B32,0)</f>
        <v>3.9712987775000002E-7</v>
      </c>
      <c r="L327">
        <f>MAX((D327-J327-K327)*Inputs!B33,0)</f>
        <v>1.5509753204764205E-8</v>
      </c>
      <c r="M327">
        <f>MIN(E327*Inputs!B29,E327)</f>
        <v>1.2950017429056846E-8</v>
      </c>
      <c r="N327">
        <f>MIN((E327-M327)*Inputs!B30,E327-M327)</f>
        <v>4.8100064736496869E-9</v>
      </c>
      <c r="O327">
        <f>MIN(F327*Inputs!B31,F327)</f>
        <v>8.3641407580695516E-8</v>
      </c>
      <c r="P327">
        <f>MIN((F327-O327)*Inputs!B34,F327-O327)</f>
        <v>5.3618447283401835E-9</v>
      </c>
      <c r="Q327">
        <f>P327*Inputs!B35</f>
        <v>1.3404611820850459E-9</v>
      </c>
      <c r="R327">
        <f>C327*Inputs!B8/12</f>
        <v>2.3742230214630979E-9</v>
      </c>
      <c r="S327">
        <f t="shared" si="71"/>
        <v>0</v>
      </c>
      <c r="T327">
        <f t="shared" si="72"/>
        <v>4.0115126129625516E-7</v>
      </c>
      <c r="U327">
        <f t="shared" si="73"/>
        <v>4.6480752659299879E-6</v>
      </c>
      <c r="V327">
        <f t="shared" si="74"/>
        <v>3.4749779099362949E-8</v>
      </c>
      <c r="W327">
        <f t="shared" si="75"/>
        <v>6.1281848400374337E-7</v>
      </c>
      <c r="X327">
        <f t="shared" si="76"/>
        <v>5.295643529033094E-6</v>
      </c>
      <c r="Y327">
        <f t="shared" si="83"/>
        <v>81618.466816234271</v>
      </c>
      <c r="Z327">
        <f>IF(Inputs!B3&gt;0,(V327+W327)/Inputs!B3,0)</f>
        <v>2.1585608770103544E-15</v>
      </c>
      <c r="AA327">
        <f>IF(OR(Y327/Inputs!B3&gt;=Inputs!B23,Z327&gt;=Inputs!B24),1,0)</f>
        <v>0</v>
      </c>
      <c r="AB327">
        <f t="shared" si="77"/>
        <v>0</v>
      </c>
    </row>
    <row r="328" spans="1:28" x14ac:dyDescent="0.2">
      <c r="A328">
        <v>327</v>
      </c>
      <c r="B328">
        <f t="shared" si="78"/>
        <v>0</v>
      </c>
      <c r="C328">
        <f t="shared" si="79"/>
        <v>5.295643529033094E-6</v>
      </c>
      <c r="D328">
        <f t="shared" si="80"/>
        <v>4.6480752659299879E-6</v>
      </c>
      <c r="E328">
        <f t="shared" si="81"/>
        <v>3.4749779099362949E-8</v>
      </c>
      <c r="F328">
        <f t="shared" si="82"/>
        <v>6.1281848400374337E-7</v>
      </c>
      <c r="G328">
        <f>MAX(Inputs!B7-A328+1,0)</f>
        <v>0</v>
      </c>
      <c r="H328">
        <f>IF(AND(A328&lt;=Inputs!B7,D328&gt;0),-PMT(Inputs!B6/12,G328,D328),0)</f>
        <v>0</v>
      </c>
      <c r="I328">
        <f>IF(AND(A328&lt;=Inputs!B7,D328&gt;0),D328*Inputs!B6/12,0)</f>
        <v>0</v>
      </c>
      <c r="J328">
        <f t="shared" si="70"/>
        <v>0</v>
      </c>
      <c r="K328">
        <f>MAX((D328-J328)*Inputs!B32,0)</f>
        <v>3.7184602127439903E-7</v>
      </c>
      <c r="L328">
        <f>MAX((D328-J328-K328)*Inputs!B33,0)</f>
        <v>1.4522302005617429E-8</v>
      </c>
      <c r="M328">
        <f>MIN(E328*Inputs!B29,E328)</f>
        <v>1.2162422684777032E-8</v>
      </c>
      <c r="N328">
        <f>MIN((E328-M328)*Inputs!B30,E328-M328)</f>
        <v>4.517471282917184E-9</v>
      </c>
      <c r="O328">
        <f>MIN(F328*Inputs!B31,F328)</f>
        <v>7.3538218080449207E-8</v>
      </c>
      <c r="P328">
        <f>MIN((F328-O328)*Inputs!B34,F328-O328)</f>
        <v>4.7141782802468292E-9</v>
      </c>
      <c r="Q328">
        <f>P328*Inputs!B35</f>
        <v>1.1785445700617073E-9</v>
      </c>
      <c r="R328">
        <f>C328*Inputs!B8/12</f>
        <v>2.2065181370971225E-9</v>
      </c>
      <c r="S328">
        <f t="shared" si="71"/>
        <v>0</v>
      </c>
      <c r="T328">
        <f t="shared" si="72"/>
        <v>3.7538165498458414E-7</v>
      </c>
      <c r="U328">
        <f t="shared" si="73"/>
        <v>4.3474075834151971E-6</v>
      </c>
      <c r="V328">
        <f t="shared" si="74"/>
        <v>3.2592187137286162E-8</v>
      </c>
      <c r="W328">
        <f t="shared" si="75"/>
        <v>5.3908355892596448E-7</v>
      </c>
      <c r="X328">
        <f t="shared" si="76"/>
        <v>4.9190833294784474E-6</v>
      </c>
      <c r="Y328">
        <f t="shared" si="83"/>
        <v>81618.46681623545</v>
      </c>
      <c r="Z328">
        <f>IF(Inputs!B3&gt;0,(V328+W328)/Inputs!B3,0)</f>
        <v>1.9055858202108355E-15</v>
      </c>
      <c r="AA328">
        <f>IF(OR(Y328/Inputs!B3&gt;=Inputs!B23,Z328&gt;=Inputs!B24),1,0)</f>
        <v>0</v>
      </c>
      <c r="AB328">
        <f t="shared" si="77"/>
        <v>0</v>
      </c>
    </row>
    <row r="329" spans="1:28" x14ac:dyDescent="0.2">
      <c r="A329">
        <v>328</v>
      </c>
      <c r="B329">
        <f t="shared" si="78"/>
        <v>0</v>
      </c>
      <c r="C329">
        <f t="shared" si="79"/>
        <v>4.9190833294784474E-6</v>
      </c>
      <c r="D329">
        <f t="shared" si="80"/>
        <v>4.3474075834151971E-6</v>
      </c>
      <c r="E329">
        <f t="shared" si="81"/>
        <v>3.2592187137286162E-8</v>
      </c>
      <c r="F329">
        <f t="shared" si="82"/>
        <v>5.3908355892596448E-7</v>
      </c>
      <c r="G329">
        <f>MAX(Inputs!B7-A329+1,0)</f>
        <v>0</v>
      </c>
      <c r="H329">
        <f>IF(AND(A329&lt;=Inputs!B7,D329&gt;0),-PMT(Inputs!B6/12,G329,D329),0)</f>
        <v>0</v>
      </c>
      <c r="I329">
        <f>IF(AND(A329&lt;=Inputs!B7,D329&gt;0),D329*Inputs!B6/12,0)</f>
        <v>0</v>
      </c>
      <c r="J329">
        <f t="shared" si="70"/>
        <v>0</v>
      </c>
      <c r="K329">
        <f>MAX((D329-J329)*Inputs!B32,0)</f>
        <v>3.4779260667321575E-7</v>
      </c>
      <c r="L329">
        <f>MAX((D329-J329-K329)*Inputs!B33,0)</f>
        <v>1.3582905236203184E-8</v>
      </c>
      <c r="M329">
        <f>MIN(E329*Inputs!B29,E329)</f>
        <v>1.1407265498050156E-8</v>
      </c>
      <c r="N329">
        <f>MIN((E329-M329)*Inputs!B30,E329-M329)</f>
        <v>4.2369843278472009E-9</v>
      </c>
      <c r="O329">
        <f>MIN(F329*Inputs!B31,F329)</f>
        <v>6.4690027071115732E-8</v>
      </c>
      <c r="P329">
        <f>MIN((F329-O329)*Inputs!B34,F329-O329)</f>
        <v>4.1469636948996133E-9</v>
      </c>
      <c r="Q329">
        <f>P329*Inputs!B35</f>
        <v>1.0367409237249033E-9</v>
      </c>
      <c r="R329">
        <f>C329*Inputs!B8/12</f>
        <v>2.0496180539493532E-9</v>
      </c>
      <c r="S329">
        <f t="shared" si="71"/>
        <v>0</v>
      </c>
      <c r="T329">
        <f t="shared" si="72"/>
        <v>3.5090282944439048E-7</v>
      </c>
      <c r="U329">
        <f t="shared" si="73"/>
        <v>4.0621293640749445E-6</v>
      </c>
      <c r="V329">
        <f t="shared" si="74"/>
        <v>3.0530842547591984E-8</v>
      </c>
      <c r="W329">
        <f t="shared" si="75"/>
        <v>4.7448355248779629E-7</v>
      </c>
      <c r="X329">
        <f t="shared" si="76"/>
        <v>4.5671437591103327E-6</v>
      </c>
      <c r="Y329">
        <f t="shared" si="83"/>
        <v>81618.466816236483</v>
      </c>
      <c r="Z329">
        <f>IF(Inputs!B3&gt;0,(V329+W329)/Inputs!B3,0)</f>
        <v>1.6833813167846275E-15</v>
      </c>
      <c r="AA329">
        <f>IF(OR(Y329/Inputs!B3&gt;=Inputs!B23,Z329&gt;=Inputs!B24),1,0)</f>
        <v>0</v>
      </c>
      <c r="AB329">
        <f t="shared" si="77"/>
        <v>0</v>
      </c>
    </row>
    <row r="330" spans="1:28" x14ac:dyDescent="0.2">
      <c r="A330">
        <v>329</v>
      </c>
      <c r="B330">
        <f t="shared" si="78"/>
        <v>0</v>
      </c>
      <c r="C330">
        <f t="shared" si="79"/>
        <v>4.5671437591103327E-6</v>
      </c>
      <c r="D330">
        <f t="shared" si="80"/>
        <v>4.0621293640749445E-6</v>
      </c>
      <c r="E330">
        <f t="shared" si="81"/>
        <v>3.0530842547591984E-8</v>
      </c>
      <c r="F330">
        <f t="shared" si="82"/>
        <v>4.7448355248779629E-7</v>
      </c>
      <c r="G330">
        <f>MAX(Inputs!B7-A330+1,0)</f>
        <v>0</v>
      </c>
      <c r="H330">
        <f>IF(AND(A330&lt;=Inputs!B7,D330&gt;0),-PMT(Inputs!B6/12,G330,D330),0)</f>
        <v>0</v>
      </c>
      <c r="I330">
        <f>IF(AND(A330&lt;=Inputs!B7,D330&gt;0),D330*Inputs!B6/12,0)</f>
        <v>0</v>
      </c>
      <c r="J330">
        <f t="shared" si="70"/>
        <v>0</v>
      </c>
      <c r="K330">
        <f>MAX((D330-J330)*Inputs!B32,0)</f>
        <v>3.2497034912599554E-7</v>
      </c>
      <c r="L330">
        <f>MAX((D330-J330-K330)*Inputs!B33,0)</f>
        <v>1.2691590827580972E-8</v>
      </c>
      <c r="M330">
        <f>MIN(E330*Inputs!B29,E330)</f>
        <v>1.0685794891657193E-8</v>
      </c>
      <c r="N330">
        <f>MIN((E330-M330)*Inputs!B30,E330-M330)</f>
        <v>3.9690095311869586E-9</v>
      </c>
      <c r="O330">
        <f>MIN(F330*Inputs!B31,F330)</f>
        <v>5.693802629853555E-8</v>
      </c>
      <c r="P330">
        <f>MIN((F330-O330)*Inputs!B34,F330-O330)</f>
        <v>3.6500205458206484E-9</v>
      </c>
      <c r="Q330">
        <f>P330*Inputs!B35</f>
        <v>9.125051364551621E-10</v>
      </c>
      <c r="R330">
        <f>C330*Inputs!B8/12</f>
        <v>1.9029765662959719E-9</v>
      </c>
      <c r="S330">
        <f t="shared" si="71"/>
        <v>0</v>
      </c>
      <c r="T330">
        <f t="shared" si="72"/>
        <v>3.2770786453536103E-7</v>
      </c>
      <c r="U330">
        <f t="shared" si="73"/>
        <v>3.7920912453115607E-6</v>
      </c>
      <c r="V330">
        <f t="shared" si="74"/>
        <v>2.8567628952328806E-8</v>
      </c>
      <c r="W330">
        <f t="shared" si="75"/>
        <v>4.1786451517462704E-7</v>
      </c>
      <c r="X330">
        <f t="shared" si="76"/>
        <v>4.2385233894385168E-6</v>
      </c>
      <c r="Y330">
        <f t="shared" si="83"/>
        <v>81618.4668162374</v>
      </c>
      <c r="Z330">
        <f>IF(Inputs!B3&gt;0,(V330+W330)/Inputs!B3,0)</f>
        <v>1.4881071470898528E-15</v>
      </c>
      <c r="AA330">
        <f>IF(OR(Y330/Inputs!B3&gt;=Inputs!B23,Z330&gt;=Inputs!B24),1,0)</f>
        <v>0</v>
      </c>
      <c r="AB330">
        <f t="shared" si="77"/>
        <v>0</v>
      </c>
    </row>
    <row r="331" spans="1:28" x14ac:dyDescent="0.2">
      <c r="A331">
        <v>330</v>
      </c>
      <c r="B331">
        <f t="shared" si="78"/>
        <v>0</v>
      </c>
      <c r="C331">
        <f t="shared" si="79"/>
        <v>4.2385233894385168E-6</v>
      </c>
      <c r="D331">
        <f t="shared" si="80"/>
        <v>3.7920912453115607E-6</v>
      </c>
      <c r="E331">
        <f t="shared" si="81"/>
        <v>2.8567628952328806E-8</v>
      </c>
      <c r="F331">
        <f t="shared" si="82"/>
        <v>4.1786451517462704E-7</v>
      </c>
      <c r="G331">
        <f>MAX(Inputs!B7-A331+1,0)</f>
        <v>0</v>
      </c>
      <c r="H331">
        <f>IF(AND(A331&lt;=Inputs!B7,D331&gt;0),-PMT(Inputs!B6/12,G331,D331),0)</f>
        <v>0</v>
      </c>
      <c r="I331">
        <f>IF(AND(A331&lt;=Inputs!B7,D331&gt;0),D331*Inputs!B6/12,0)</f>
        <v>0</v>
      </c>
      <c r="J331">
        <f t="shared" si="70"/>
        <v>0</v>
      </c>
      <c r="K331">
        <f>MAX((D331-J331)*Inputs!B32,0)</f>
        <v>3.0336729962492486E-7</v>
      </c>
      <c r="L331">
        <f>MAX((D331-J331-K331)*Inputs!B33,0)</f>
        <v>1.1847892115889388E-8</v>
      </c>
      <c r="M331">
        <f>MIN(E331*Inputs!B29,E331)</f>
        <v>9.9986701333150811E-9</v>
      </c>
      <c r="N331">
        <f>MIN((E331-M331)*Inputs!B30,E331-M331)</f>
        <v>3.7137917638027451E-9</v>
      </c>
      <c r="O331">
        <f>MIN(F331*Inputs!B31,F331)</f>
        <v>5.014374182095524E-8</v>
      </c>
      <c r="P331">
        <f>MIN((F331-O331)*Inputs!B34,F331-O331)</f>
        <v>3.2144719406180076E-9</v>
      </c>
      <c r="Q331">
        <f>P331*Inputs!B35</f>
        <v>8.0361798515450191E-10</v>
      </c>
      <c r="R331">
        <f>C331*Inputs!B8/12</f>
        <v>1.7660514122660487E-9</v>
      </c>
      <c r="S331">
        <f t="shared" si="71"/>
        <v>0</v>
      </c>
      <c r="T331">
        <f t="shared" si="72"/>
        <v>3.057781535803884E-7</v>
      </c>
      <c r="U331">
        <f t="shared" si="73"/>
        <v>3.5370184655250166E-6</v>
      </c>
      <c r="V331">
        <f t="shared" si="74"/>
        <v>2.6703059171100371E-8</v>
      </c>
      <c r="W331">
        <f t="shared" si="75"/>
        <v>3.6822009317685653E-7</v>
      </c>
      <c r="X331">
        <f t="shared" si="76"/>
        <v>3.9319416178729734E-6</v>
      </c>
      <c r="Y331">
        <f t="shared" si="83"/>
        <v>81618.4668162382</v>
      </c>
      <c r="Z331">
        <f>IF(Inputs!B3&gt;0,(V331+W331)/Inputs!B3,0)</f>
        <v>1.3164105078265229E-15</v>
      </c>
      <c r="AA331">
        <f>IF(OR(Y331/Inputs!B3&gt;=Inputs!B23,Z331&gt;=Inputs!B24),1,0)</f>
        <v>0</v>
      </c>
      <c r="AB331">
        <f t="shared" si="77"/>
        <v>0</v>
      </c>
    </row>
    <row r="332" spans="1:28" x14ac:dyDescent="0.2">
      <c r="A332">
        <v>331</v>
      </c>
      <c r="B332">
        <f t="shared" si="78"/>
        <v>0</v>
      </c>
      <c r="C332">
        <f t="shared" si="79"/>
        <v>3.9319416178729734E-6</v>
      </c>
      <c r="D332">
        <f t="shared" si="80"/>
        <v>3.5370184655250166E-6</v>
      </c>
      <c r="E332">
        <f t="shared" si="81"/>
        <v>2.6703059171100371E-8</v>
      </c>
      <c r="F332">
        <f t="shared" si="82"/>
        <v>3.6822009317685653E-7</v>
      </c>
      <c r="G332">
        <f>MAX(Inputs!B7-A332+1,0)</f>
        <v>0</v>
      </c>
      <c r="H332">
        <f>IF(AND(A332&lt;=Inputs!B7,D332&gt;0),-PMT(Inputs!B6/12,G332,D332),0)</f>
        <v>0</v>
      </c>
      <c r="I332">
        <f>IF(AND(A332&lt;=Inputs!B7,D332&gt;0),D332*Inputs!B6/12,0)</f>
        <v>0</v>
      </c>
      <c r="J332">
        <f t="shared" si="70"/>
        <v>0</v>
      </c>
      <c r="K332">
        <f>MAX((D332-J332)*Inputs!B32,0)</f>
        <v>2.8296147724200133E-7</v>
      </c>
      <c r="L332">
        <f>MAX((D332-J332-K332)*Inputs!B33,0)</f>
        <v>1.1050950644518571E-8</v>
      </c>
      <c r="M332">
        <f>MIN(E332*Inputs!B29,E332)</f>
        <v>9.3460707098851284E-9</v>
      </c>
      <c r="N332">
        <f>MIN((E332-M332)*Inputs!B30,E332-M332)</f>
        <v>3.4713976922430484E-9</v>
      </c>
      <c r="O332">
        <f>MIN(F332*Inputs!B31,F332)</f>
        <v>4.4186411181222783E-8</v>
      </c>
      <c r="P332">
        <f>MIN((F332-O332)*Inputs!B34,F332-O332)</f>
        <v>2.8325763842237457E-9</v>
      </c>
      <c r="Q332">
        <f>P332*Inputs!B35</f>
        <v>7.0814409605593642E-10</v>
      </c>
      <c r="R332">
        <f>C332*Inputs!B8/12</f>
        <v>1.6383090074470721E-9</v>
      </c>
      <c r="S332">
        <f t="shared" si="71"/>
        <v>0</v>
      </c>
      <c r="T332">
        <f t="shared" si="72"/>
        <v>2.8508590953016915E-7</v>
      </c>
      <c r="U332">
        <f t="shared" si="73"/>
        <v>3.2965385195296042E-6</v>
      </c>
      <c r="V332">
        <f t="shared" si="74"/>
        <v>2.4936541413490763E-8</v>
      </c>
      <c r="W332">
        <f t="shared" si="75"/>
        <v>3.2467250330365304E-7</v>
      </c>
      <c r="X332">
        <f t="shared" si="76"/>
        <v>3.6461475642467482E-6</v>
      </c>
      <c r="Y332">
        <f t="shared" si="83"/>
        <v>81618.466816238913</v>
      </c>
      <c r="Z332">
        <f>IF(Inputs!B3&gt;0,(V332+W332)/Inputs!B3,0)</f>
        <v>1.1653634823904793E-15</v>
      </c>
      <c r="AA332">
        <f>IF(OR(Y332/Inputs!B3&gt;=Inputs!B23,Z332&gt;=Inputs!B24),1,0)</f>
        <v>0</v>
      </c>
      <c r="AB332">
        <f t="shared" si="77"/>
        <v>0</v>
      </c>
    </row>
    <row r="333" spans="1:28" x14ac:dyDescent="0.2">
      <c r="A333">
        <v>332</v>
      </c>
      <c r="B333">
        <f t="shared" si="78"/>
        <v>0</v>
      </c>
      <c r="C333">
        <f t="shared" si="79"/>
        <v>3.6461475642467482E-6</v>
      </c>
      <c r="D333">
        <f t="shared" si="80"/>
        <v>3.2965385195296042E-6</v>
      </c>
      <c r="E333">
        <f t="shared" si="81"/>
        <v>2.4936541413490763E-8</v>
      </c>
      <c r="F333">
        <f t="shared" si="82"/>
        <v>3.2467250330365304E-7</v>
      </c>
      <c r="G333">
        <f>MAX(Inputs!B7-A333+1,0)</f>
        <v>0</v>
      </c>
      <c r="H333">
        <f>IF(AND(A333&lt;=Inputs!B7,D333&gt;0),-PMT(Inputs!B6/12,G333,D333),0)</f>
        <v>0</v>
      </c>
      <c r="I333">
        <f>IF(AND(A333&lt;=Inputs!B7,D333&gt;0),D333*Inputs!B6/12,0)</f>
        <v>0</v>
      </c>
      <c r="J333">
        <f t="shared" si="70"/>
        <v>0</v>
      </c>
      <c r="K333">
        <f>MAX((D333-J333)*Inputs!B32,0)</f>
        <v>2.6372308156236835E-7</v>
      </c>
      <c r="L333">
        <f>MAX((D333-J333-K333)*Inputs!B33,0)</f>
        <v>1.0299602569835188E-8</v>
      </c>
      <c r="M333">
        <f>MIN(E333*Inputs!B29,E333)</f>
        <v>8.7277894947217667E-9</v>
      </c>
      <c r="N333">
        <f>MIN((E333-M333)*Inputs!B30,E333-M333)</f>
        <v>3.2417503837537989E-9</v>
      </c>
      <c r="O333">
        <f>MIN(F333*Inputs!B31,F333)</f>
        <v>3.8960700396438363E-8</v>
      </c>
      <c r="P333">
        <f>MIN((F333-O333)*Inputs!B34,F333-O333)</f>
        <v>2.4975814261798582E-9</v>
      </c>
      <c r="Q333">
        <f>P333*Inputs!B35</f>
        <v>6.2439535654496454E-10</v>
      </c>
      <c r="R333">
        <f>C333*Inputs!B8/12</f>
        <v>1.5192281517694785E-9</v>
      </c>
      <c r="S333">
        <f t="shared" si="71"/>
        <v>0</v>
      </c>
      <c r="T333">
        <f t="shared" si="72"/>
        <v>2.6559626763200321E-7</v>
      </c>
      <c r="U333">
        <f t="shared" si="73"/>
        <v>3.0702043252885606E-6</v>
      </c>
      <c r="V333">
        <f t="shared" si="74"/>
        <v>2.3266604104850382E-8</v>
      </c>
      <c r="W333">
        <f t="shared" si="75"/>
        <v>2.8645597186478859E-7</v>
      </c>
      <c r="X333">
        <f t="shared" si="76"/>
        <v>3.3799269012581995E-6</v>
      </c>
      <c r="Y333">
        <f t="shared" si="83"/>
        <v>81618.466816239539</v>
      </c>
      <c r="Z333">
        <f>IF(Inputs!B3&gt;0,(V333+W333)/Inputs!B3,0)</f>
        <v>1.0324085865654633E-15</v>
      </c>
      <c r="AA333">
        <f>IF(OR(Y333/Inputs!B3&gt;=Inputs!B23,Z333&gt;=Inputs!B24),1,0)</f>
        <v>0</v>
      </c>
      <c r="AB333">
        <f t="shared" si="77"/>
        <v>0</v>
      </c>
    </row>
    <row r="334" spans="1:28" x14ac:dyDescent="0.2">
      <c r="A334">
        <v>333</v>
      </c>
      <c r="B334">
        <f t="shared" si="78"/>
        <v>0</v>
      </c>
      <c r="C334">
        <f t="shared" si="79"/>
        <v>3.3799269012581995E-6</v>
      </c>
      <c r="D334">
        <f t="shared" si="80"/>
        <v>3.0702043252885606E-6</v>
      </c>
      <c r="E334">
        <f t="shared" si="81"/>
        <v>2.3266604104850382E-8</v>
      </c>
      <c r="F334">
        <f t="shared" si="82"/>
        <v>2.8645597186478859E-7</v>
      </c>
      <c r="G334">
        <f>MAX(Inputs!B7-A334+1,0)</f>
        <v>0</v>
      </c>
      <c r="H334">
        <f>IF(AND(A334&lt;=Inputs!B7,D334&gt;0),-PMT(Inputs!B6/12,G334,D334),0)</f>
        <v>0</v>
      </c>
      <c r="I334">
        <f>IF(AND(A334&lt;=Inputs!B7,D334&gt;0),D334*Inputs!B6/12,0)</f>
        <v>0</v>
      </c>
      <c r="J334">
        <f t="shared" si="70"/>
        <v>0</v>
      </c>
      <c r="K334">
        <f>MAX((D334-J334)*Inputs!B32,0)</f>
        <v>2.4561634602308486E-7</v>
      </c>
      <c r="L334">
        <f>MAX((D334-J334-K334)*Inputs!B33,0)</f>
        <v>9.5924510426086034E-9</v>
      </c>
      <c r="M334">
        <f>MIN(E334*Inputs!B29,E334)</f>
        <v>8.1433114366976335E-9</v>
      </c>
      <c r="N334">
        <f>MIN((E334-M334)*Inputs!B30,E334-M334)</f>
        <v>3.0246585336305495E-9</v>
      </c>
      <c r="O334">
        <f>MIN(F334*Inputs!B31,F334)</f>
        <v>3.4374716623774627E-8</v>
      </c>
      <c r="P334">
        <f>MIN((F334-O334)*Inputs!B34,F334-O334)</f>
        <v>2.2035962622885482E-9</v>
      </c>
      <c r="Q334">
        <f>P334*Inputs!B35</f>
        <v>5.5089906557213705E-10</v>
      </c>
      <c r="R334">
        <f>C334*Inputs!B8/12</f>
        <v>1.4083028755242498E-9</v>
      </c>
      <c r="S334">
        <f t="shared" si="71"/>
        <v>0</v>
      </c>
      <c r="T334">
        <f t="shared" si="72"/>
        <v>2.4726904321980128E-7</v>
      </c>
      <c r="U334">
        <f t="shared" si="73"/>
        <v>2.8575135562833399E-6</v>
      </c>
      <c r="V334">
        <f t="shared" si="74"/>
        <v>2.1691085177130801E-8</v>
      </c>
      <c r="W334">
        <f t="shared" si="75"/>
        <v>2.5290231751235597E-7</v>
      </c>
      <c r="X334">
        <f t="shared" si="76"/>
        <v>3.1321069589728267E-6</v>
      </c>
      <c r="Y334">
        <f t="shared" si="83"/>
        <v>81618.466816240092</v>
      </c>
      <c r="Z334">
        <f>IF(Inputs!B3&gt;0,(V334+W334)/Inputs!B3,0)</f>
        <v>9.1531134229828928E-16</v>
      </c>
      <c r="AA334">
        <f>IF(OR(Y334/Inputs!B3&gt;=Inputs!B23,Z334&gt;=Inputs!B24),1,0)</f>
        <v>0</v>
      </c>
      <c r="AB334">
        <f t="shared" si="77"/>
        <v>0</v>
      </c>
    </row>
    <row r="335" spans="1:28" x14ac:dyDescent="0.2">
      <c r="A335">
        <v>334</v>
      </c>
      <c r="B335">
        <f t="shared" si="78"/>
        <v>0</v>
      </c>
      <c r="C335">
        <f t="shared" si="79"/>
        <v>3.1321069589728267E-6</v>
      </c>
      <c r="D335">
        <f t="shared" si="80"/>
        <v>2.8575135562833399E-6</v>
      </c>
      <c r="E335">
        <f t="shared" si="81"/>
        <v>2.1691085177130801E-8</v>
      </c>
      <c r="F335">
        <f t="shared" si="82"/>
        <v>2.5290231751235597E-7</v>
      </c>
      <c r="G335">
        <f>MAX(Inputs!B7-A335+1,0)</f>
        <v>0</v>
      </c>
      <c r="H335">
        <f>IF(AND(A335&lt;=Inputs!B7,D335&gt;0),-PMT(Inputs!B6/12,G335,D335),0)</f>
        <v>0</v>
      </c>
      <c r="I335">
        <f>IF(AND(A335&lt;=Inputs!B7,D335&gt;0),D335*Inputs!B6/12,0)</f>
        <v>0</v>
      </c>
      <c r="J335">
        <f t="shared" si="70"/>
        <v>0</v>
      </c>
      <c r="K335">
        <f>MAX((D335-J335)*Inputs!B32,0)</f>
        <v>2.2860108450266719E-7</v>
      </c>
      <c r="L335">
        <f>MAX((D335-J335-K335)*Inputs!B33,0)</f>
        <v>8.9279266094650195E-9</v>
      </c>
      <c r="M335">
        <f>MIN(E335*Inputs!B29,E335)</f>
        <v>7.5918798119957807E-9</v>
      </c>
      <c r="N335">
        <f>MIN((E335-M335)*Inputs!B30,E335-M335)</f>
        <v>2.8198410730270042E-9</v>
      </c>
      <c r="O335">
        <f>MIN(F335*Inputs!B31,F335)</f>
        <v>3.0348278101482717E-8</v>
      </c>
      <c r="P335">
        <f>MIN((F335-O335)*Inputs!B34,F335-O335)</f>
        <v>1.9454808289260958E-9</v>
      </c>
      <c r="Q335">
        <f>P335*Inputs!B35</f>
        <v>4.8637020723152394E-10</v>
      </c>
      <c r="R335">
        <f>C335*Inputs!B8/12</f>
        <v>1.3050445662386778E-9</v>
      </c>
      <c r="S335">
        <f t="shared" si="71"/>
        <v>0</v>
      </c>
      <c r="T335">
        <f t="shared" si="72"/>
        <v>2.3006019512436175E-7</v>
      </c>
      <c r="U335">
        <f t="shared" si="73"/>
        <v>2.6579247030846859E-6</v>
      </c>
      <c r="V335">
        <f t="shared" si="74"/>
        <v>2.0207290901573038E-8</v>
      </c>
      <c r="W335">
        <f t="shared" si="75"/>
        <v>2.2342839965497418E-7</v>
      </c>
      <c r="X335">
        <f t="shared" si="76"/>
        <v>2.9015603936412333E-6</v>
      </c>
      <c r="Y335">
        <f t="shared" si="83"/>
        <v>81618.466816240572</v>
      </c>
      <c r="Z335">
        <f>IF(Inputs!B3&gt;0,(V335+W335)/Inputs!B3,0)</f>
        <v>8.1211896852182401E-16</v>
      </c>
      <c r="AA335">
        <f>IF(OR(Y335/Inputs!B3&gt;=Inputs!B23,Z335&gt;=Inputs!B24),1,0)</f>
        <v>0</v>
      </c>
      <c r="AB335">
        <f t="shared" si="77"/>
        <v>0</v>
      </c>
    </row>
    <row r="336" spans="1:28" x14ac:dyDescent="0.2">
      <c r="A336">
        <v>335</v>
      </c>
      <c r="B336">
        <f t="shared" si="78"/>
        <v>0</v>
      </c>
      <c r="C336">
        <f t="shared" si="79"/>
        <v>2.9015603936412333E-6</v>
      </c>
      <c r="D336">
        <f t="shared" si="80"/>
        <v>2.6579247030846859E-6</v>
      </c>
      <c r="E336">
        <f t="shared" si="81"/>
        <v>2.0207290901573038E-8</v>
      </c>
      <c r="F336">
        <f t="shared" si="82"/>
        <v>2.2342839965497418E-7</v>
      </c>
      <c r="G336">
        <f>MAX(Inputs!B7-A336+1,0)</f>
        <v>0</v>
      </c>
      <c r="H336">
        <f>IF(AND(A336&lt;=Inputs!B7,D336&gt;0),-PMT(Inputs!B6/12,G336,D336),0)</f>
        <v>0</v>
      </c>
      <c r="I336">
        <f>IF(AND(A336&lt;=Inputs!B7,D336&gt;0),D336*Inputs!B6/12,0)</f>
        <v>0</v>
      </c>
      <c r="J336">
        <f t="shared" si="70"/>
        <v>0</v>
      </c>
      <c r="K336">
        <f>MAX((D336-J336)*Inputs!B32,0)</f>
        <v>2.1263397624677489E-7</v>
      </c>
      <c r="L336">
        <f>MAX((D336-J336-K336)*Inputs!B33,0)</f>
        <v>8.3043373951613304E-9</v>
      </c>
      <c r="M336">
        <f>MIN(E336*Inputs!B29,E336)</f>
        <v>7.072551815550563E-9</v>
      </c>
      <c r="N336">
        <f>MIN((E336-M336)*Inputs!B30,E336-M336)</f>
        <v>2.6269478172044953E-9</v>
      </c>
      <c r="O336">
        <f>MIN(F336*Inputs!B31,F336)</f>
        <v>2.6811407958596899E-8</v>
      </c>
      <c r="P336">
        <f>MIN((F336-O336)*Inputs!B34,F336-O336)</f>
        <v>1.7187492484925658E-9</v>
      </c>
      <c r="Q336">
        <f>P336*Inputs!B35</f>
        <v>4.2968731212314144E-10</v>
      </c>
      <c r="R336">
        <f>C336*Inputs!B8/12</f>
        <v>1.2089834973505138E-9</v>
      </c>
      <c r="S336">
        <f t="shared" si="71"/>
        <v>0</v>
      </c>
      <c r="T336">
        <f t="shared" si="72"/>
        <v>2.1392303818314431E-7</v>
      </c>
      <c r="U336">
        <f t="shared" si="73"/>
        <v>2.470870349216897E-6</v>
      </c>
      <c r="V336">
        <f t="shared" si="74"/>
        <v>1.8812128663979311E-8</v>
      </c>
      <c r="W336">
        <f t="shared" si="75"/>
        <v>1.9752519026508922E-7</v>
      </c>
      <c r="X336">
        <f t="shared" si="76"/>
        <v>2.6872076681459655E-6</v>
      </c>
      <c r="Y336">
        <f t="shared" si="83"/>
        <v>81618.466816241009</v>
      </c>
      <c r="Z336">
        <f>IF(Inputs!B3&gt;0,(V336+W336)/Inputs!B3,0)</f>
        <v>7.2112439643022846E-16</v>
      </c>
      <c r="AA336">
        <f>IF(OR(Y336/Inputs!B3&gt;=Inputs!B23,Z336&gt;=Inputs!B24),1,0)</f>
        <v>0</v>
      </c>
      <c r="AB336">
        <f t="shared" si="77"/>
        <v>0</v>
      </c>
    </row>
    <row r="337" spans="1:28" x14ac:dyDescent="0.2">
      <c r="A337">
        <v>336</v>
      </c>
      <c r="B337">
        <f t="shared" si="78"/>
        <v>0</v>
      </c>
      <c r="C337">
        <f t="shared" si="79"/>
        <v>2.6872076681459655E-6</v>
      </c>
      <c r="D337">
        <f t="shared" si="80"/>
        <v>2.470870349216897E-6</v>
      </c>
      <c r="E337">
        <f t="shared" si="81"/>
        <v>1.8812128663979311E-8</v>
      </c>
      <c r="F337">
        <f t="shared" si="82"/>
        <v>1.9752519026508922E-7</v>
      </c>
      <c r="G337">
        <f>MAX(Inputs!B7-A337+1,0)</f>
        <v>0</v>
      </c>
      <c r="H337">
        <f>IF(AND(A337&lt;=Inputs!B7,D337&gt;0),-PMT(Inputs!B6/12,G337,D337),0)</f>
        <v>0</v>
      </c>
      <c r="I337">
        <f>IF(AND(A337&lt;=Inputs!B7,D337&gt;0),D337*Inputs!B6/12,0)</f>
        <v>0</v>
      </c>
      <c r="J337">
        <f t="shared" si="70"/>
        <v>0</v>
      </c>
      <c r="K337">
        <f>MAX((D337-J337)*Inputs!B32,0)</f>
        <v>1.9766962793735177E-7</v>
      </c>
      <c r="L337">
        <f>MAX((D337-J337-K337)*Inputs!B33,0)</f>
        <v>7.7199105812831016E-9</v>
      </c>
      <c r="M337">
        <f>MIN(E337*Inputs!B29,E337)</f>
        <v>6.5842450323927583E-9</v>
      </c>
      <c r="N337">
        <f>MIN((E337-M337)*Inputs!B30,E337-M337)</f>
        <v>2.4455767263173107E-9</v>
      </c>
      <c r="O337">
        <f>MIN(F337*Inputs!B31,F337)</f>
        <v>2.3703022831810707E-8</v>
      </c>
      <c r="P337">
        <f>MIN((F337-O337)*Inputs!B34,F337-O337)</f>
        <v>1.519485763003875E-9</v>
      </c>
      <c r="Q337">
        <f>P337*Inputs!B35</f>
        <v>3.7987144075096875E-10</v>
      </c>
      <c r="R337">
        <f>C337*Inputs!B8/12</f>
        <v>1.1196698617274858E-9</v>
      </c>
      <c r="S337">
        <f t="shared" si="71"/>
        <v>0</v>
      </c>
      <c r="T337">
        <f t="shared" si="72"/>
        <v>1.9880924225960469E-7</v>
      </c>
      <c r="U337">
        <f t="shared" si="73"/>
        <v>2.2957680785624652E-6</v>
      </c>
      <c r="V337">
        <f t="shared" si="74"/>
        <v>1.7502217486552344E-8</v>
      </c>
      <c r="W337">
        <f t="shared" si="75"/>
        <v>1.7474825839659195E-7</v>
      </c>
      <c r="X337">
        <f t="shared" si="76"/>
        <v>2.4880185544456095E-6</v>
      </c>
      <c r="Y337">
        <f t="shared" si="83"/>
        <v>81618.466816241387</v>
      </c>
      <c r="Z337">
        <f>IF(Inputs!B3&gt;0,(V337+W337)/Inputs!B3,0)</f>
        <v>6.408349196104809E-16</v>
      </c>
      <c r="AA337">
        <f>IF(OR(Y337/Inputs!B3&gt;=Inputs!B23,Z337&gt;=Inputs!B24),1,0)</f>
        <v>0</v>
      </c>
      <c r="AB337">
        <f t="shared" si="77"/>
        <v>0</v>
      </c>
    </row>
    <row r="338" spans="1:28" x14ac:dyDescent="0.2">
      <c r="A338">
        <v>337</v>
      </c>
      <c r="B338">
        <f t="shared" si="78"/>
        <v>0</v>
      </c>
      <c r="C338">
        <f t="shared" si="79"/>
        <v>2.4880185544456095E-6</v>
      </c>
      <c r="D338">
        <f t="shared" si="80"/>
        <v>2.2957680785624652E-6</v>
      </c>
      <c r="E338">
        <f t="shared" si="81"/>
        <v>1.7502217486552344E-8</v>
      </c>
      <c r="F338">
        <f t="shared" si="82"/>
        <v>1.7474825839659195E-7</v>
      </c>
      <c r="G338">
        <f>MAX(Inputs!B7-A338+1,0)</f>
        <v>0</v>
      </c>
      <c r="H338">
        <f>IF(AND(A338&lt;=Inputs!B7,D338&gt;0),-PMT(Inputs!B6/12,G338,D338),0)</f>
        <v>0</v>
      </c>
      <c r="I338">
        <f>IF(AND(A338&lt;=Inputs!B7,D338&gt;0),D338*Inputs!B6/12,0)</f>
        <v>0</v>
      </c>
      <c r="J338">
        <f t="shared" si="70"/>
        <v>0</v>
      </c>
      <c r="K338">
        <f>MAX((D338-J338)*Inputs!B32,0)</f>
        <v>1.8366144628499723E-7</v>
      </c>
      <c r="L338">
        <f>MAX((D338-J338-K338)*Inputs!B33,0)</f>
        <v>7.1728264850008879E-9</v>
      </c>
      <c r="M338">
        <f>MIN(E338*Inputs!B29,E338)</f>
        <v>6.1257761202933199E-9</v>
      </c>
      <c r="N338">
        <f>MIN((E338-M338)*Inputs!B30,E338-M338)</f>
        <v>2.2752882732518052E-9</v>
      </c>
      <c r="O338">
        <f>MIN(F338*Inputs!B31,F338)</f>
        <v>2.0969791007591035E-8</v>
      </c>
      <c r="P338">
        <f>MIN((F338-O338)*Inputs!B34,F338-O338)</f>
        <v>1.344271535124163E-9</v>
      </c>
      <c r="Q338">
        <f>P338*Inputs!B35</f>
        <v>3.3606788378104074E-10</v>
      </c>
      <c r="R338">
        <f>C338*Inputs!B8/12</f>
        <v>1.0366743976856707E-9</v>
      </c>
      <c r="S338">
        <f t="shared" si="71"/>
        <v>0</v>
      </c>
      <c r="T338">
        <f t="shared" si="72"/>
        <v>1.8466964993634036E-7</v>
      </c>
      <c r="U338">
        <f t="shared" si="73"/>
        <v>2.1320293729203516E-6</v>
      </c>
      <c r="V338">
        <f t="shared" si="74"/>
        <v>1.627397957800811E-8</v>
      </c>
      <c r="W338">
        <f t="shared" si="75"/>
        <v>1.5470948412712855E-7</v>
      </c>
      <c r="X338">
        <f t="shared" si="76"/>
        <v>2.3030128366254883E-6</v>
      </c>
      <c r="Y338">
        <f t="shared" si="83"/>
        <v>81618.466816241722</v>
      </c>
      <c r="Z338">
        <f>IF(Inputs!B3&gt;0,(V338+W338)/Inputs!B3,0)</f>
        <v>5.6994487901712226E-16</v>
      </c>
      <c r="AA338">
        <f>IF(OR(Y338/Inputs!B3&gt;=Inputs!B23,Z338&gt;=Inputs!B24),1,0)</f>
        <v>0</v>
      </c>
      <c r="AB338">
        <f t="shared" si="77"/>
        <v>0</v>
      </c>
    </row>
    <row r="339" spans="1:28" x14ac:dyDescent="0.2">
      <c r="A339">
        <v>338</v>
      </c>
      <c r="B339">
        <f t="shared" si="78"/>
        <v>0</v>
      </c>
      <c r="C339">
        <f t="shared" si="79"/>
        <v>2.3030128366254883E-6</v>
      </c>
      <c r="D339">
        <f t="shared" si="80"/>
        <v>2.1320293729203516E-6</v>
      </c>
      <c r="E339">
        <f t="shared" si="81"/>
        <v>1.627397957800811E-8</v>
      </c>
      <c r="F339">
        <f t="shared" si="82"/>
        <v>1.5470948412712855E-7</v>
      </c>
      <c r="G339">
        <f>MAX(Inputs!B7-A339+1,0)</f>
        <v>0</v>
      </c>
      <c r="H339">
        <f>IF(AND(A339&lt;=Inputs!B7,D339&gt;0),-PMT(Inputs!B6/12,G339,D339),0)</f>
        <v>0</v>
      </c>
      <c r="I339">
        <f>IF(AND(A339&lt;=Inputs!B7,D339&gt;0),D339*Inputs!B6/12,0)</f>
        <v>0</v>
      </c>
      <c r="J339">
        <f t="shared" si="70"/>
        <v>0</v>
      </c>
      <c r="K339">
        <f>MAX((D339-J339)*Inputs!B32,0)</f>
        <v>1.7056234983362813E-7</v>
      </c>
      <c r="L339">
        <f>MAX((D339-J339-K339)*Inputs!B33,0)</f>
        <v>6.661246358324969E-9</v>
      </c>
      <c r="M339">
        <f>MIN(E339*Inputs!B29,E339)</f>
        <v>5.6958928523028385E-9</v>
      </c>
      <c r="N339">
        <f>MIN((E339-M339)*Inputs!B30,E339-M339)</f>
        <v>2.1156173451410548E-9</v>
      </c>
      <c r="O339">
        <f>MIN(F339*Inputs!B31,F339)</f>
        <v>1.8565138095255425E-8</v>
      </c>
      <c r="P339">
        <f>MIN((F339-O339)*Inputs!B34,F339-O339)</f>
        <v>1.1901209066922432E-9</v>
      </c>
      <c r="Q339">
        <f>P339*Inputs!B35</f>
        <v>2.9753022667306081E-10</v>
      </c>
      <c r="R339">
        <f>C339*Inputs!B8/12</f>
        <v>9.5958868192728668E-10</v>
      </c>
      <c r="S339">
        <f t="shared" si="71"/>
        <v>0</v>
      </c>
      <c r="T339">
        <f t="shared" si="72"/>
        <v>1.7145494051364731E-7</v>
      </c>
      <c r="U339">
        <f t="shared" si="73"/>
        <v>1.9790668076759567E-6</v>
      </c>
      <c r="V339">
        <f t="shared" si="74"/>
        <v>1.5123715738889186E-8</v>
      </c>
      <c r="W339">
        <f t="shared" si="75"/>
        <v>1.3706984247032193E-7</v>
      </c>
      <c r="X339">
        <f t="shared" si="76"/>
        <v>2.1312603658851676E-6</v>
      </c>
      <c r="Y339">
        <f t="shared" si="83"/>
        <v>81618.466816242013</v>
      </c>
      <c r="Z339">
        <f>IF(Inputs!B3&gt;0,(V339+W339)/Inputs!B3,0)</f>
        <v>5.0731186069737031E-16</v>
      </c>
      <c r="AA339">
        <f>IF(OR(Y339/Inputs!B3&gt;=Inputs!B23,Z339&gt;=Inputs!B24),1,0)</f>
        <v>0</v>
      </c>
      <c r="AB339">
        <f t="shared" si="77"/>
        <v>0</v>
      </c>
    </row>
    <row r="340" spans="1:28" x14ac:dyDescent="0.2">
      <c r="A340">
        <v>339</v>
      </c>
      <c r="B340">
        <f t="shared" si="78"/>
        <v>0</v>
      </c>
      <c r="C340">
        <f t="shared" si="79"/>
        <v>2.1312603658851676E-6</v>
      </c>
      <c r="D340">
        <f t="shared" si="80"/>
        <v>1.9790668076759567E-6</v>
      </c>
      <c r="E340">
        <f t="shared" si="81"/>
        <v>1.5123715738889186E-8</v>
      </c>
      <c r="F340">
        <f t="shared" si="82"/>
        <v>1.3706984247032193E-7</v>
      </c>
      <c r="G340">
        <f>MAX(Inputs!B7-A340+1,0)</f>
        <v>0</v>
      </c>
      <c r="H340">
        <f>IF(AND(A340&lt;=Inputs!B7,D340&gt;0),-PMT(Inputs!B6/12,G340,D340),0)</f>
        <v>0</v>
      </c>
      <c r="I340">
        <f>IF(AND(A340&lt;=Inputs!B7,D340&gt;0),D340*Inputs!B6/12,0)</f>
        <v>0</v>
      </c>
      <c r="J340">
        <f t="shared" si="70"/>
        <v>0</v>
      </c>
      <c r="K340">
        <f>MAX((D340-J340)*Inputs!B32,0)</f>
        <v>1.5832534461407653E-7</v>
      </c>
      <c r="L340">
        <f>MAX((D340-J340-K340)*Inputs!B33,0)</f>
        <v>6.1833348700331348E-9</v>
      </c>
      <c r="M340">
        <f>MIN(E340*Inputs!B29,E340)</f>
        <v>5.2933005086112145E-9</v>
      </c>
      <c r="N340">
        <f>MIN((E340-M340)*Inputs!B30,E340-M340)</f>
        <v>1.9660830460555943E-9</v>
      </c>
      <c r="O340">
        <f>MIN(F340*Inputs!B31,F340)</f>
        <v>1.644838109643863E-8</v>
      </c>
      <c r="P340">
        <f>MIN((F340-O340)*Inputs!B34,F340-O340)</f>
        <v>1.0544258881174657E-9</v>
      </c>
      <c r="Q340">
        <f>P340*Inputs!B35</f>
        <v>2.6360647202936642E-10</v>
      </c>
      <c r="R340">
        <f>C340*Inputs!B8/12</f>
        <v>8.8802515245215324E-10</v>
      </c>
      <c r="S340">
        <f t="shared" si="71"/>
        <v>0</v>
      </c>
      <c r="T340">
        <f t="shared" si="72"/>
        <v>1.5911616403016464E-7</v>
      </c>
      <c r="U340">
        <f t="shared" si="73"/>
        <v>1.8362998097968966E-6</v>
      </c>
      <c r="V340">
        <f t="shared" si="74"/>
        <v>1.4047667054255512E-8</v>
      </c>
      <c r="W340">
        <f t="shared" si="75"/>
        <v>1.2153311853182143E-7</v>
      </c>
      <c r="X340">
        <f t="shared" si="76"/>
        <v>1.9718805953829734E-6</v>
      </c>
      <c r="Y340">
        <f t="shared" si="83"/>
        <v>81618.466816242275</v>
      </c>
      <c r="Z340">
        <f>IF(Inputs!B3&gt;0,(V340+W340)/Inputs!B3,0)</f>
        <v>4.5193595195358982E-16</v>
      </c>
      <c r="AA340">
        <f>IF(OR(Y340/Inputs!B3&gt;=Inputs!B23,Z340&gt;=Inputs!B24),1,0)</f>
        <v>0</v>
      </c>
      <c r="AB340">
        <f t="shared" si="77"/>
        <v>0</v>
      </c>
    </row>
    <row r="341" spans="1:28" x14ac:dyDescent="0.2">
      <c r="A341">
        <v>340</v>
      </c>
      <c r="B341">
        <f t="shared" si="78"/>
        <v>0</v>
      </c>
      <c r="C341">
        <f t="shared" si="79"/>
        <v>1.9718805953829734E-6</v>
      </c>
      <c r="D341">
        <f t="shared" si="80"/>
        <v>1.8362998097968966E-6</v>
      </c>
      <c r="E341">
        <f t="shared" si="81"/>
        <v>1.4047667054255512E-8</v>
      </c>
      <c r="F341">
        <f t="shared" si="82"/>
        <v>1.2153311853182143E-7</v>
      </c>
      <c r="G341">
        <f>MAX(Inputs!B7-A341+1,0)</f>
        <v>0</v>
      </c>
      <c r="H341">
        <f>IF(AND(A341&lt;=Inputs!B7,D341&gt;0),-PMT(Inputs!B6/12,G341,D341),0)</f>
        <v>0</v>
      </c>
      <c r="I341">
        <f>IF(AND(A341&lt;=Inputs!B7,D341&gt;0),D341*Inputs!B6/12,0)</f>
        <v>0</v>
      </c>
      <c r="J341">
        <f t="shared" si="70"/>
        <v>0</v>
      </c>
      <c r="K341">
        <f>MAX((D341-J341)*Inputs!B32,0)</f>
        <v>1.4690398478375172E-7</v>
      </c>
      <c r="L341">
        <f>MAX((D341-J341-K341)*Inputs!B33,0)</f>
        <v>5.7372780957738595E-9</v>
      </c>
      <c r="M341">
        <f>MIN(E341*Inputs!B29,E341)</f>
        <v>4.9166834689894285E-9</v>
      </c>
      <c r="N341">
        <f>MIN((E341-M341)*Inputs!B30,E341-M341)</f>
        <v>1.8261967170532167E-9</v>
      </c>
      <c r="O341">
        <f>MIN(F341*Inputs!B31,F341)</f>
        <v>1.458397422381857E-8</v>
      </c>
      <c r="P341">
        <f>MIN((F341-O341)*Inputs!B34,F341-O341)</f>
        <v>9.3490781147827825E-10</v>
      </c>
      <c r="Q341">
        <f>P341*Inputs!B35</f>
        <v>2.3372695286956956E-10</v>
      </c>
      <c r="R341">
        <f>C341*Inputs!B8/12</f>
        <v>8.2161691474290556E-10</v>
      </c>
      <c r="S341">
        <f t="shared" si="71"/>
        <v>0</v>
      </c>
      <c r="T341">
        <f t="shared" si="72"/>
        <v>1.4760516564236043E-7</v>
      </c>
      <c r="U341">
        <f t="shared" si="73"/>
        <v>1.7031592046101791E-6</v>
      </c>
      <c r="V341">
        <f t="shared" si="74"/>
        <v>1.3042064963986726E-8</v>
      </c>
      <c r="W341">
        <f t="shared" si="75"/>
        <v>1.0784043321357778E-7</v>
      </c>
      <c r="X341">
        <f t="shared" si="76"/>
        <v>1.8240417027877435E-6</v>
      </c>
      <c r="Y341">
        <f t="shared" si="83"/>
        <v>81618.466816242508</v>
      </c>
      <c r="Z341">
        <f>IF(Inputs!B3&gt;0,(V341+W341)/Inputs!B3,0)</f>
        <v>4.0294166059188169E-16</v>
      </c>
      <c r="AA341">
        <f>IF(OR(Y341/Inputs!B3&gt;=Inputs!B23,Z341&gt;=Inputs!B24),1,0)</f>
        <v>0</v>
      </c>
      <c r="AB341">
        <f t="shared" si="77"/>
        <v>0</v>
      </c>
    </row>
    <row r="342" spans="1:28" x14ac:dyDescent="0.2">
      <c r="A342">
        <v>341</v>
      </c>
      <c r="B342">
        <f t="shared" si="78"/>
        <v>0</v>
      </c>
      <c r="C342">
        <f t="shared" si="79"/>
        <v>1.8240417027877435E-6</v>
      </c>
      <c r="D342">
        <f t="shared" si="80"/>
        <v>1.7031592046101791E-6</v>
      </c>
      <c r="E342">
        <f t="shared" si="81"/>
        <v>1.3042064963986726E-8</v>
      </c>
      <c r="F342">
        <f t="shared" si="82"/>
        <v>1.0784043321357778E-7</v>
      </c>
      <c r="G342">
        <f>MAX(Inputs!B7-A342+1,0)</f>
        <v>0</v>
      </c>
      <c r="H342">
        <f>IF(AND(A342&lt;=Inputs!B7,D342&gt;0),-PMT(Inputs!B6/12,G342,D342),0)</f>
        <v>0</v>
      </c>
      <c r="I342">
        <f>IF(AND(A342&lt;=Inputs!B7,D342&gt;0),D342*Inputs!B6/12,0)</f>
        <v>0</v>
      </c>
      <c r="J342">
        <f t="shared" si="70"/>
        <v>0</v>
      </c>
      <c r="K342">
        <f>MAX((D342-J342)*Inputs!B32,0)</f>
        <v>1.3625273636881434E-7</v>
      </c>
      <c r="L342">
        <f>MAX((D342-J342-K342)*Inputs!B33,0)</f>
        <v>5.3212977238757014E-9</v>
      </c>
      <c r="M342">
        <f>MIN(E342*Inputs!B29,E342)</f>
        <v>4.564722737395354E-9</v>
      </c>
      <c r="N342">
        <f>MIN((E342-M342)*Inputs!B30,E342-M342)</f>
        <v>1.6954684453182744E-9</v>
      </c>
      <c r="O342">
        <f>MIN(F342*Inputs!B31,F342)</f>
        <v>1.2940851985629334E-8</v>
      </c>
      <c r="P342">
        <f>MIN((F342-O342)*Inputs!B34,F342-O342)</f>
        <v>8.2957521885836549E-10</v>
      </c>
      <c r="Q342">
        <f>P342*Inputs!B35</f>
        <v>2.0739380471459137E-10</v>
      </c>
      <c r="R342">
        <f>C342*Inputs!B8/12</f>
        <v>7.6001737616155981E-10</v>
      </c>
      <c r="S342">
        <f t="shared" si="71"/>
        <v>0</v>
      </c>
      <c r="T342">
        <f t="shared" si="72"/>
        <v>1.3687491778295811E-7</v>
      </c>
      <c r="U342">
        <f t="shared" si="73"/>
        <v>1.5790907452405138E-6</v>
      </c>
      <c r="V342">
        <f t="shared" si="74"/>
        <v>1.2103171505148798E-8</v>
      </c>
      <c r="W342">
        <f t="shared" si="75"/>
        <v>9.5765474454408357E-8</v>
      </c>
      <c r="X342">
        <f t="shared" si="76"/>
        <v>1.686959391200071E-6</v>
      </c>
      <c r="Y342">
        <f t="shared" si="83"/>
        <v>81618.466816242712</v>
      </c>
      <c r="Z342">
        <f>IF(Inputs!B3&gt;0,(V342+W342)/Inputs!B3,0)</f>
        <v>3.5956215319852383E-16</v>
      </c>
      <c r="AA342">
        <f>IF(OR(Y342/Inputs!B3&gt;=Inputs!B23,Z342&gt;=Inputs!B24),1,0)</f>
        <v>0</v>
      </c>
      <c r="AB342">
        <f t="shared" si="77"/>
        <v>0</v>
      </c>
    </row>
    <row r="343" spans="1:28" x14ac:dyDescent="0.2">
      <c r="A343">
        <v>342</v>
      </c>
      <c r="B343">
        <f t="shared" si="78"/>
        <v>0</v>
      </c>
      <c r="C343">
        <f t="shared" si="79"/>
        <v>1.686959391200071E-6</v>
      </c>
      <c r="D343">
        <f t="shared" si="80"/>
        <v>1.5790907452405138E-6</v>
      </c>
      <c r="E343">
        <f t="shared" si="81"/>
        <v>1.2103171505148798E-8</v>
      </c>
      <c r="F343">
        <f t="shared" si="82"/>
        <v>9.5765474454408357E-8</v>
      </c>
      <c r="G343">
        <f>MAX(Inputs!B7-A343+1,0)</f>
        <v>0</v>
      </c>
      <c r="H343">
        <f>IF(AND(A343&lt;=Inputs!B7,D343&gt;0),-PMT(Inputs!B6/12,G343,D343),0)</f>
        <v>0</v>
      </c>
      <c r="I343">
        <f>IF(AND(A343&lt;=Inputs!B7,D343&gt;0),D343*Inputs!B6/12,0)</f>
        <v>0</v>
      </c>
      <c r="J343">
        <f t="shared" si="70"/>
        <v>0</v>
      </c>
      <c r="K343">
        <f>MAX((D343-J343)*Inputs!B32,0)</f>
        <v>1.2632725961924109E-7</v>
      </c>
      <c r="L343">
        <f>MAX((D343-J343-K343)*Inputs!B33,0)</f>
        <v>4.9336620826147467E-9</v>
      </c>
      <c r="M343">
        <f>MIN(E343*Inputs!B29,E343)</f>
        <v>4.2361100268020789E-9</v>
      </c>
      <c r="N343">
        <f>MIN((E343-M343)*Inputs!B30,E343-M343)</f>
        <v>1.573412295669344E-9</v>
      </c>
      <c r="O343">
        <f>MIN(F343*Inputs!B31,F343)</f>
        <v>1.1491856934529002E-8</v>
      </c>
      <c r="P343">
        <f>MIN((F343-O343)*Inputs!B34,F343-O343)</f>
        <v>7.3668717810369891E-10</v>
      </c>
      <c r="Q343">
        <f>P343*Inputs!B35</f>
        <v>1.8417179452592473E-10</v>
      </c>
      <c r="R343">
        <f>C343*Inputs!B8/12</f>
        <v>7.0289974633336285E-10</v>
      </c>
      <c r="S343">
        <f t="shared" si="71"/>
        <v>0</v>
      </c>
      <c r="T343">
        <f t="shared" si="72"/>
        <v>1.2687977500281889E-7</v>
      </c>
      <c r="U343">
        <f t="shared" si="73"/>
        <v>1.463557790499989E-6</v>
      </c>
      <c r="V343">
        <f t="shared" si="74"/>
        <v>1.1227311265292122E-8</v>
      </c>
      <c r="W343">
        <f t="shared" si="75"/>
        <v>8.511034263744499E-8</v>
      </c>
      <c r="X343">
        <f t="shared" si="76"/>
        <v>1.5598954444027261E-6</v>
      </c>
      <c r="Y343">
        <f t="shared" si="83"/>
        <v>81618.466816242901</v>
      </c>
      <c r="Z343">
        <f>IF(Inputs!B3&gt;0,(V343+W343)/Inputs!B3,0)</f>
        <v>3.211255130091237E-16</v>
      </c>
      <c r="AA343">
        <f>IF(OR(Y343/Inputs!B3&gt;=Inputs!B23,Z343&gt;=Inputs!B24),1,0)</f>
        <v>0</v>
      </c>
      <c r="AB343">
        <f t="shared" si="77"/>
        <v>0</v>
      </c>
    </row>
    <row r="344" spans="1:28" x14ac:dyDescent="0.2">
      <c r="A344">
        <v>343</v>
      </c>
      <c r="B344">
        <f t="shared" si="78"/>
        <v>0</v>
      </c>
      <c r="C344">
        <f t="shared" si="79"/>
        <v>1.5598954444027261E-6</v>
      </c>
      <c r="D344">
        <f t="shared" si="80"/>
        <v>1.463557790499989E-6</v>
      </c>
      <c r="E344">
        <f t="shared" si="81"/>
        <v>1.1227311265292122E-8</v>
      </c>
      <c r="F344">
        <f t="shared" si="82"/>
        <v>8.511034263744499E-8</v>
      </c>
      <c r="G344">
        <f>MAX(Inputs!B7-A344+1,0)</f>
        <v>0</v>
      </c>
      <c r="H344">
        <f>IF(AND(A344&lt;=Inputs!B7,D344&gt;0),-PMT(Inputs!B6/12,G344,D344),0)</f>
        <v>0</v>
      </c>
      <c r="I344">
        <f>IF(AND(A344&lt;=Inputs!B7,D344&gt;0),D344*Inputs!B6/12,0)</f>
        <v>0</v>
      </c>
      <c r="J344">
        <f t="shared" si="70"/>
        <v>0</v>
      </c>
      <c r="K344">
        <f>MAX((D344-J344)*Inputs!B32,0)</f>
        <v>1.1708462323999912E-7</v>
      </c>
      <c r="L344">
        <f>MAX((D344-J344-K344)*Inputs!B33,0)</f>
        <v>4.5726945069299463E-9</v>
      </c>
      <c r="M344">
        <f>MIN(E344*Inputs!B29,E344)</f>
        <v>3.9295589428522425E-9</v>
      </c>
      <c r="N344">
        <f>MIN((E344-M344)*Inputs!B30,E344-M344)</f>
        <v>1.4595504644879759E-9</v>
      </c>
      <c r="O344">
        <f>MIN(F344*Inputs!B31,F344)</f>
        <v>1.0213241116493398E-8</v>
      </c>
      <c r="P344">
        <f>MIN((F344-O344)*Inputs!B34,F344-O344)</f>
        <v>6.5472132313058298E-10</v>
      </c>
      <c r="Q344">
        <f>P344*Inputs!B35</f>
        <v>1.6368033078264575E-10</v>
      </c>
      <c r="R344">
        <f>C344*Inputs!B8/12</f>
        <v>6.4995643516780262E-10</v>
      </c>
      <c r="S344">
        <f t="shared" si="71"/>
        <v>0</v>
      </c>
      <c r="T344">
        <f t="shared" si="72"/>
        <v>1.1757566423234706E-7</v>
      </c>
      <c r="U344">
        <f t="shared" si="73"/>
        <v>1.3560432728124057E-6</v>
      </c>
      <c r="V344">
        <f t="shared" si="74"/>
        <v>1.041089636488185E-8</v>
      </c>
      <c r="W344">
        <f t="shared" si="75"/>
        <v>7.5701930662308981E-8</v>
      </c>
      <c r="X344">
        <f t="shared" si="76"/>
        <v>1.4421560998395964E-6</v>
      </c>
      <c r="Y344">
        <f t="shared" si="83"/>
        <v>81618.466816243061</v>
      </c>
      <c r="Z344">
        <f>IF(Inputs!B3&gt;0,(V344+W344)/Inputs!B3,0)</f>
        <v>2.8704275675730276E-16</v>
      </c>
      <c r="AA344">
        <f>IF(OR(Y344/Inputs!B3&gt;=Inputs!B23,Z344&gt;=Inputs!B24),1,0)</f>
        <v>0</v>
      </c>
      <c r="AB344">
        <f t="shared" si="77"/>
        <v>0</v>
      </c>
    </row>
    <row r="345" spans="1:28" x14ac:dyDescent="0.2">
      <c r="A345">
        <v>344</v>
      </c>
      <c r="B345">
        <f t="shared" si="78"/>
        <v>0</v>
      </c>
      <c r="C345">
        <f t="shared" si="79"/>
        <v>1.4421560998395964E-6</v>
      </c>
      <c r="D345">
        <f t="shared" si="80"/>
        <v>1.3560432728124057E-6</v>
      </c>
      <c r="E345">
        <f t="shared" si="81"/>
        <v>1.041089636488185E-8</v>
      </c>
      <c r="F345">
        <f t="shared" si="82"/>
        <v>7.5701930662308981E-8</v>
      </c>
      <c r="G345">
        <f>MAX(Inputs!B7-A345+1,0)</f>
        <v>0</v>
      </c>
      <c r="H345">
        <f>IF(AND(A345&lt;=Inputs!B7,D345&gt;0),-PMT(Inputs!B6/12,G345,D345),0)</f>
        <v>0</v>
      </c>
      <c r="I345">
        <f>IF(AND(A345&lt;=Inputs!B7,D345&gt;0),D345*Inputs!B6/12,0)</f>
        <v>0</v>
      </c>
      <c r="J345">
        <f t="shared" si="70"/>
        <v>0</v>
      </c>
      <c r="K345">
        <f>MAX((D345-J345)*Inputs!B32,0)</f>
        <v>1.0848346182499246E-7</v>
      </c>
      <c r="L345">
        <f>MAX((D345-J345-K345)*Inputs!B33,0)</f>
        <v>4.2367794869447897E-9</v>
      </c>
      <c r="M345">
        <f>MIN(E345*Inputs!B29,E345)</f>
        <v>3.6438137277086472E-9</v>
      </c>
      <c r="N345">
        <f>MIN((E345-M345)*Inputs!B30,E345-M345)</f>
        <v>1.3534165274346405E-9</v>
      </c>
      <c r="O345">
        <f>MIN(F345*Inputs!B31,F345)</f>
        <v>9.0842316794770781E-9</v>
      </c>
      <c r="P345">
        <f>MIN((F345-O345)*Inputs!B34,F345-O345)</f>
        <v>5.82346007205012E-10</v>
      </c>
      <c r="Q345">
        <f>P345*Inputs!B35</f>
        <v>1.45586501801253E-10</v>
      </c>
      <c r="R345">
        <f>C345*Inputs!B8/12</f>
        <v>6.0089837493316521E-10</v>
      </c>
      <c r="S345">
        <f t="shared" si="71"/>
        <v>0</v>
      </c>
      <c r="T345">
        <f t="shared" si="72"/>
        <v>1.0892022133039622E-7</v>
      </c>
      <c r="U345">
        <f t="shared" si="73"/>
        <v>1.2560510769076542E-6</v>
      </c>
      <c r="V345">
        <f t="shared" si="74"/>
        <v>9.6504455966833517E-9</v>
      </c>
      <c r="W345">
        <f t="shared" si="75"/>
        <v>6.7388769503061528E-8</v>
      </c>
      <c r="X345">
        <f t="shared" si="76"/>
        <v>1.333090292007399E-6</v>
      </c>
      <c r="Y345">
        <f t="shared" si="83"/>
        <v>81618.466816243206</v>
      </c>
      <c r="Z345">
        <f>IF(Inputs!B3&gt;0,(V345+W345)/Inputs!B3,0)</f>
        <v>2.5679738366581629E-16</v>
      </c>
      <c r="AA345">
        <f>IF(OR(Y345/Inputs!B3&gt;=Inputs!B23,Z345&gt;=Inputs!B24),1,0)</f>
        <v>0</v>
      </c>
      <c r="AB345">
        <f t="shared" si="77"/>
        <v>0</v>
      </c>
    </row>
    <row r="346" spans="1:28" x14ac:dyDescent="0.2">
      <c r="A346">
        <v>345</v>
      </c>
      <c r="B346">
        <f t="shared" si="78"/>
        <v>0</v>
      </c>
      <c r="C346">
        <f t="shared" si="79"/>
        <v>1.333090292007399E-6</v>
      </c>
      <c r="D346">
        <f t="shared" si="80"/>
        <v>1.2560510769076542E-6</v>
      </c>
      <c r="E346">
        <f t="shared" si="81"/>
        <v>9.6504455966833517E-9</v>
      </c>
      <c r="F346">
        <f t="shared" si="82"/>
        <v>6.7388769503061528E-8</v>
      </c>
      <c r="G346">
        <f>MAX(Inputs!B7-A346+1,0)</f>
        <v>0</v>
      </c>
      <c r="H346">
        <f>IF(AND(A346&lt;=Inputs!B7,D346&gt;0),-PMT(Inputs!B6/12,G346,D346),0)</f>
        <v>0</v>
      </c>
      <c r="I346">
        <f>IF(AND(A346&lt;=Inputs!B7,D346&gt;0),D346*Inputs!B6/12,0)</f>
        <v>0</v>
      </c>
      <c r="J346">
        <f t="shared" si="70"/>
        <v>0</v>
      </c>
      <c r="K346">
        <f>MAX((D346-J346)*Inputs!B32,0)</f>
        <v>1.0048408615261233E-7</v>
      </c>
      <c r="L346">
        <f>MAX((D346-J346-K346)*Inputs!B33,0)</f>
        <v>3.9243669755171972E-9</v>
      </c>
      <c r="M346">
        <f>MIN(E346*Inputs!B29,E346)</f>
        <v>3.3776559588391727E-9</v>
      </c>
      <c r="N346">
        <f>MIN((E346-M346)*Inputs!B30,E346-M346)</f>
        <v>1.2545579275688359E-9</v>
      </c>
      <c r="O346">
        <f>MIN(F346*Inputs!B31,F346)</f>
        <v>8.0866523403673832E-9</v>
      </c>
      <c r="P346">
        <f>MIN((F346-O346)*Inputs!B34,F346-O346)</f>
        <v>5.1839603702611553E-10</v>
      </c>
      <c r="Q346">
        <f>P346*Inputs!B35</f>
        <v>1.2959900925652888E-10</v>
      </c>
      <c r="R346">
        <f>C346*Inputs!B8/12</f>
        <v>5.5545428833641629E-10</v>
      </c>
      <c r="S346">
        <f t="shared" si="71"/>
        <v>0</v>
      </c>
      <c r="T346">
        <f t="shared" si="72"/>
        <v>1.0087288318038192E-7</v>
      </c>
      <c r="U346">
        <f t="shared" si="73"/>
        <v>1.1631069320787312E-6</v>
      </c>
      <c r="V346">
        <f t="shared" si="74"/>
        <v>8.9425986857925399E-9</v>
      </c>
      <c r="W346">
        <f t="shared" si="75"/>
        <v>6.0038279053236859E-8</v>
      </c>
      <c r="X346">
        <f t="shared" si="76"/>
        <v>1.2320878098177605E-6</v>
      </c>
      <c r="Y346">
        <f t="shared" si="83"/>
        <v>81618.466816243337</v>
      </c>
      <c r="Z346">
        <f>IF(Inputs!B3&gt;0,(V346+W346)/Inputs!B3,0)</f>
        <v>2.2993625913009796E-16</v>
      </c>
      <c r="AA346">
        <f>IF(OR(Y346/Inputs!B3&gt;=Inputs!B23,Z346&gt;=Inputs!B24),1,0)</f>
        <v>0</v>
      </c>
      <c r="AB346">
        <f t="shared" si="77"/>
        <v>0</v>
      </c>
    </row>
    <row r="347" spans="1:28" x14ac:dyDescent="0.2">
      <c r="A347">
        <v>346</v>
      </c>
      <c r="B347">
        <f t="shared" si="78"/>
        <v>0</v>
      </c>
      <c r="C347">
        <f t="shared" si="79"/>
        <v>1.2320878098177605E-6</v>
      </c>
      <c r="D347">
        <f t="shared" si="80"/>
        <v>1.1631069320787312E-6</v>
      </c>
      <c r="E347">
        <f t="shared" si="81"/>
        <v>8.9425986857925399E-9</v>
      </c>
      <c r="F347">
        <f t="shared" si="82"/>
        <v>6.0038279053236859E-8</v>
      </c>
      <c r="G347">
        <f>MAX(Inputs!B7-A347+1,0)</f>
        <v>0</v>
      </c>
      <c r="H347">
        <f>IF(AND(A347&lt;=Inputs!B7,D347&gt;0),-PMT(Inputs!B6/12,G347,D347),0)</f>
        <v>0</v>
      </c>
      <c r="I347">
        <f>IF(AND(A347&lt;=Inputs!B7,D347&gt;0),D347*Inputs!B6/12,0)</f>
        <v>0</v>
      </c>
      <c r="J347">
        <f t="shared" si="70"/>
        <v>0</v>
      </c>
      <c r="K347">
        <f>MAX((D347-J347)*Inputs!B32,0)</f>
        <v>9.30485545662985E-8</v>
      </c>
      <c r="L347">
        <f>MAX((D347-J347-K347)*Inputs!B33,0)</f>
        <v>3.6339751759796304E-9</v>
      </c>
      <c r="M347">
        <f>MIN(E347*Inputs!B29,E347)</f>
        <v>3.1299095400273888E-9</v>
      </c>
      <c r="N347">
        <f>MIN((E347-M347)*Inputs!B30,E347-M347)</f>
        <v>1.1625378291530304E-9</v>
      </c>
      <c r="O347">
        <f>MIN(F347*Inputs!B31,F347)</f>
        <v>7.204593486388423E-9</v>
      </c>
      <c r="P347">
        <f>MIN((F347-O347)*Inputs!B34,F347-O347)</f>
        <v>4.6185152452816432E-10</v>
      </c>
      <c r="Q347">
        <f>P347*Inputs!B35</f>
        <v>1.1546288113204108E-10</v>
      </c>
      <c r="R347">
        <f>C347*Inputs!B8/12</f>
        <v>5.1336992075740029E-10</v>
      </c>
      <c r="S347">
        <f t="shared" si="71"/>
        <v>0</v>
      </c>
      <c r="T347">
        <f t="shared" si="72"/>
        <v>9.3394943209694628E-8</v>
      </c>
      <c r="U347">
        <f t="shared" si="73"/>
        <v>1.0767589053628688E-6</v>
      </c>
      <c r="V347">
        <f t="shared" si="74"/>
        <v>8.2841264925917511E-9</v>
      </c>
      <c r="W347">
        <f t="shared" si="75"/>
        <v>5.3534371871473299E-8</v>
      </c>
      <c r="X347">
        <f t="shared" si="76"/>
        <v>1.1385774037269339E-6</v>
      </c>
      <c r="Y347">
        <f t="shared" si="83"/>
        <v>81618.466816243454</v>
      </c>
      <c r="Z347">
        <f>IF(Inputs!B3&gt;0,(V347+W347)/Inputs!B3,0)</f>
        <v>2.0606166121355018E-16</v>
      </c>
      <c r="AA347">
        <f>IF(OR(Y347/Inputs!B3&gt;=Inputs!B23,Z347&gt;=Inputs!B24),1,0)</f>
        <v>0</v>
      </c>
      <c r="AB347">
        <f t="shared" si="77"/>
        <v>0</v>
      </c>
    </row>
    <row r="348" spans="1:28" x14ac:dyDescent="0.2">
      <c r="A348">
        <v>347</v>
      </c>
      <c r="B348">
        <f t="shared" si="78"/>
        <v>0</v>
      </c>
      <c r="C348">
        <f t="shared" si="79"/>
        <v>1.1385774037269339E-6</v>
      </c>
      <c r="D348">
        <f t="shared" si="80"/>
        <v>1.0767589053628688E-6</v>
      </c>
      <c r="E348">
        <f t="shared" si="81"/>
        <v>8.2841264925917511E-9</v>
      </c>
      <c r="F348">
        <f t="shared" si="82"/>
        <v>5.3534371871473299E-8</v>
      </c>
      <c r="G348">
        <f>MAX(Inputs!B7-A348+1,0)</f>
        <v>0</v>
      </c>
      <c r="H348">
        <f>IF(AND(A348&lt;=Inputs!B7,D348&gt;0),-PMT(Inputs!B6/12,G348,D348),0)</f>
        <v>0</v>
      </c>
      <c r="I348">
        <f>IF(AND(A348&lt;=Inputs!B7,D348&gt;0),D348*Inputs!B6/12,0)</f>
        <v>0</v>
      </c>
      <c r="J348">
        <f t="shared" si="70"/>
        <v>0</v>
      </c>
      <c r="K348">
        <f>MAX((D348-J348)*Inputs!B32,0)</f>
        <v>8.6140712429029511E-8</v>
      </c>
      <c r="L348">
        <f>MAX((D348-J348-K348)*Inputs!B33,0)</f>
        <v>3.3641920830188965E-9</v>
      </c>
      <c r="M348">
        <f>MIN(E348*Inputs!B29,E348)</f>
        <v>2.8994442724071128E-9</v>
      </c>
      <c r="N348">
        <f>MIN((E348-M348)*Inputs!B30,E348-M348)</f>
        <v>1.0769364440369277E-9</v>
      </c>
      <c r="O348">
        <f>MIN(F348*Inputs!B31,F348)</f>
        <v>6.424124624576796E-9</v>
      </c>
      <c r="P348">
        <f>MIN((F348-O348)*Inputs!B34,F348-O348)</f>
        <v>4.1181945341194152E-10</v>
      </c>
      <c r="Q348">
        <f>P348*Inputs!B35</f>
        <v>1.0295486335298538E-10</v>
      </c>
      <c r="R348">
        <f>C348*Inputs!B8/12</f>
        <v>4.7440725155288919E-10</v>
      </c>
      <c r="S348">
        <f t="shared" si="71"/>
        <v>0</v>
      </c>
      <c r="T348">
        <f t="shared" si="72"/>
        <v>8.6449577019088467E-8</v>
      </c>
      <c r="U348">
        <f t="shared" si="73"/>
        <v>9.9657756974780427E-7</v>
      </c>
      <c r="V348">
        <f t="shared" si="74"/>
        <v>7.6719378591666071E-9</v>
      </c>
      <c r="W348">
        <f t="shared" si="75"/>
        <v>4.7775364237521491E-8</v>
      </c>
      <c r="X348">
        <f t="shared" si="76"/>
        <v>1.0520248718444924E-6</v>
      </c>
      <c r="Y348">
        <f t="shared" si="83"/>
        <v>81618.466816243556</v>
      </c>
      <c r="Z348">
        <f>IF(Inputs!B3&gt;0,(V348+W348)/Inputs!B3,0)</f>
        <v>1.8482434032229366E-16</v>
      </c>
      <c r="AA348">
        <f>IF(OR(Y348/Inputs!B3&gt;=Inputs!B23,Z348&gt;=Inputs!B24),1,0)</f>
        <v>0</v>
      </c>
      <c r="AB348">
        <f t="shared" si="77"/>
        <v>0</v>
      </c>
    </row>
    <row r="349" spans="1:28" x14ac:dyDescent="0.2">
      <c r="A349">
        <v>348</v>
      </c>
      <c r="B349">
        <f t="shared" si="78"/>
        <v>0</v>
      </c>
      <c r="C349">
        <f t="shared" si="79"/>
        <v>1.0520248718444924E-6</v>
      </c>
      <c r="D349">
        <f t="shared" si="80"/>
        <v>9.9657756974780427E-7</v>
      </c>
      <c r="E349">
        <f t="shared" si="81"/>
        <v>7.6719378591666071E-9</v>
      </c>
      <c r="F349">
        <f t="shared" si="82"/>
        <v>4.7775364237521491E-8</v>
      </c>
      <c r="G349">
        <f>MAX(Inputs!B7-A349+1,0)</f>
        <v>0</v>
      </c>
      <c r="H349">
        <f>IF(AND(A349&lt;=Inputs!B7,D349&gt;0),-PMT(Inputs!B6/12,G349,D349),0)</f>
        <v>0</v>
      </c>
      <c r="I349">
        <f>IF(AND(A349&lt;=Inputs!B7,D349&gt;0),D349*Inputs!B6/12,0)</f>
        <v>0</v>
      </c>
      <c r="J349">
        <f t="shared" si="70"/>
        <v>0</v>
      </c>
      <c r="K349">
        <f>MAX((D349-J349)*Inputs!B32,0)</f>
        <v>7.9726205579824345E-8</v>
      </c>
      <c r="L349">
        <f>MAX((D349-J349-K349)*Inputs!B33,0)</f>
        <v>3.1136760082145962E-9</v>
      </c>
      <c r="M349">
        <f>MIN(E349*Inputs!B29,E349)</f>
        <v>2.6851782507083122E-9</v>
      </c>
      <c r="N349">
        <f>MIN((E349-M349)*Inputs!B30,E349-M349)</f>
        <v>9.9735192169165916E-10</v>
      </c>
      <c r="O349">
        <f>MIN(F349*Inputs!B31,F349)</f>
        <v>5.7330437085025786E-9</v>
      </c>
      <c r="P349">
        <f>MIN((F349-O349)*Inputs!B34,F349-O349)</f>
        <v>3.6751760969734257E-10</v>
      </c>
      <c r="Q349">
        <f>P349*Inputs!B35</f>
        <v>9.1879402424335642E-11</v>
      </c>
      <c r="R349">
        <f>C349*Inputs!B8/12</f>
        <v>4.3834369660187184E-10</v>
      </c>
      <c r="S349">
        <f t="shared" si="71"/>
        <v>0</v>
      </c>
      <c r="T349">
        <f t="shared" si="72"/>
        <v>8.0001843787097363E-8</v>
      </c>
      <c r="U349">
        <f t="shared" si="73"/>
        <v>9.2215591011897624E-7</v>
      </c>
      <c r="V349">
        <f t="shared" si="74"/>
        <v>7.1030836949812332E-9</v>
      </c>
      <c r="W349">
        <f t="shared" si="75"/>
        <v>4.2672154841013226E-8</v>
      </c>
      <c r="X349">
        <f t="shared" si="76"/>
        <v>9.7193114865497085E-7</v>
      </c>
      <c r="Y349">
        <f t="shared" si="83"/>
        <v>81618.466816243643</v>
      </c>
      <c r="Z349">
        <f>IF(Inputs!B3&gt;0,(V349+W349)/Inputs!B3,0)</f>
        <v>1.659174617866482E-16</v>
      </c>
      <c r="AA349">
        <f>IF(OR(Y349/Inputs!B3&gt;=Inputs!B23,Z349&gt;=Inputs!B24),1,0)</f>
        <v>0</v>
      </c>
      <c r="AB349">
        <f t="shared" si="77"/>
        <v>0</v>
      </c>
    </row>
    <row r="350" spans="1:28" x14ac:dyDescent="0.2">
      <c r="A350">
        <v>349</v>
      </c>
      <c r="B350">
        <f t="shared" si="78"/>
        <v>0</v>
      </c>
      <c r="C350">
        <f t="shared" si="79"/>
        <v>9.7193114865497085E-7</v>
      </c>
      <c r="D350">
        <f t="shared" si="80"/>
        <v>9.2215591011897624E-7</v>
      </c>
      <c r="E350">
        <f t="shared" si="81"/>
        <v>7.1030836949812332E-9</v>
      </c>
      <c r="F350">
        <f t="shared" si="82"/>
        <v>4.2672154841013226E-8</v>
      </c>
      <c r="G350">
        <f>MAX(Inputs!B7-A350+1,0)</f>
        <v>0</v>
      </c>
      <c r="H350">
        <f>IF(AND(A350&lt;=Inputs!B7,D350&gt;0),-PMT(Inputs!B6/12,G350,D350),0)</f>
        <v>0</v>
      </c>
      <c r="I350">
        <f>IF(AND(A350&lt;=Inputs!B7,D350&gt;0),D350*Inputs!B6/12,0)</f>
        <v>0</v>
      </c>
      <c r="J350">
        <f t="shared" si="70"/>
        <v>0</v>
      </c>
      <c r="K350">
        <f>MAX((D350-J350)*Inputs!B32,0)</f>
        <v>7.3772472809518095E-8</v>
      </c>
      <c r="L350">
        <f>MAX((D350-J350-K350)*Inputs!B33,0)</f>
        <v>2.8811552861834597E-9</v>
      </c>
      <c r="M350">
        <f>MIN(E350*Inputs!B29,E350)</f>
        <v>2.4860792932434315E-9</v>
      </c>
      <c r="N350">
        <f>MIN((E350-M350)*Inputs!B30,E350-M350)</f>
        <v>9.2340088034756033E-10</v>
      </c>
      <c r="O350">
        <f>MIN(F350*Inputs!B31,F350)</f>
        <v>5.1206585809215866E-9</v>
      </c>
      <c r="P350">
        <f>MIN((F350-O350)*Inputs!B34,F350-O350)</f>
        <v>3.2826057107247003E-10</v>
      </c>
      <c r="Q350">
        <f>P350*Inputs!B35</f>
        <v>8.2065142768117507E-11</v>
      </c>
      <c r="R350">
        <f>C350*Inputs!B8/12</f>
        <v>4.0497131193957118E-10</v>
      </c>
      <c r="S350">
        <f t="shared" si="71"/>
        <v>0</v>
      </c>
      <c r="T350">
        <f t="shared" si="72"/>
        <v>7.4018668237822456E-8</v>
      </c>
      <c r="U350">
        <f t="shared" si="73"/>
        <v>8.531090198974397E-7</v>
      </c>
      <c r="V350">
        <f t="shared" si="74"/>
        <v>6.5747588075737006E-9</v>
      </c>
      <c r="W350">
        <f t="shared" si="75"/>
        <v>3.8146636569366733E-8</v>
      </c>
      <c r="X350">
        <f t="shared" si="76"/>
        <v>8.9783041527438013E-7</v>
      </c>
      <c r="Y350">
        <f t="shared" si="83"/>
        <v>81618.46681624373</v>
      </c>
      <c r="Z350">
        <f>IF(Inputs!B3&gt;0,(V350+W350)/Inputs!B3,0)</f>
        <v>1.4907131792313477E-16</v>
      </c>
      <c r="AA350">
        <f>IF(OR(Y350/Inputs!B3&gt;=Inputs!B23,Z350&gt;=Inputs!B24),1,0)</f>
        <v>0</v>
      </c>
      <c r="AB350">
        <f t="shared" si="77"/>
        <v>0</v>
      </c>
    </row>
    <row r="351" spans="1:28" x14ac:dyDescent="0.2">
      <c r="A351">
        <v>350</v>
      </c>
      <c r="B351">
        <f t="shared" si="78"/>
        <v>0</v>
      </c>
      <c r="C351">
        <f t="shared" si="79"/>
        <v>8.9783041527438013E-7</v>
      </c>
      <c r="D351">
        <f t="shared" si="80"/>
        <v>8.531090198974397E-7</v>
      </c>
      <c r="E351">
        <f t="shared" si="81"/>
        <v>6.5747588075737006E-9</v>
      </c>
      <c r="F351">
        <f t="shared" si="82"/>
        <v>3.8146636569366733E-8</v>
      </c>
      <c r="G351">
        <f>MAX(Inputs!B7-A351+1,0)</f>
        <v>0</v>
      </c>
      <c r="H351">
        <f>IF(AND(A351&lt;=Inputs!B7,D351&gt;0),-PMT(Inputs!B6/12,G351,D351),0)</f>
        <v>0</v>
      </c>
      <c r="I351">
        <f>IF(AND(A351&lt;=Inputs!B7,D351&gt;0),D351*Inputs!B6/12,0)</f>
        <v>0</v>
      </c>
      <c r="J351">
        <f t="shared" si="70"/>
        <v>0</v>
      </c>
      <c r="K351">
        <f>MAX((D351-J351)*Inputs!B32,0)</f>
        <v>6.8248721591795184E-8</v>
      </c>
      <c r="L351">
        <f>MAX((D351-J351-K351)*Inputs!B33,0)</f>
        <v>2.6654273267642736E-9</v>
      </c>
      <c r="M351">
        <f>MIN(E351*Inputs!B29,E351)</f>
        <v>2.301165582650795E-9</v>
      </c>
      <c r="N351">
        <f>MIN((E351-M351)*Inputs!B30,E351-M351)</f>
        <v>8.5471864498458113E-10</v>
      </c>
      <c r="O351">
        <f>MIN(F351*Inputs!B31,F351)</f>
        <v>4.5775963883240074E-9</v>
      </c>
      <c r="P351">
        <f>MIN((F351-O351)*Inputs!B34,F351-O351)</f>
        <v>2.9344748938525751E-10</v>
      </c>
      <c r="Q351">
        <f>P351*Inputs!B35</f>
        <v>7.3361872346314376E-11</v>
      </c>
      <c r="R351">
        <f>C351*Inputs!B8/12</f>
        <v>3.740960063643251E-10</v>
      </c>
      <c r="S351">
        <f t="shared" si="71"/>
        <v>0</v>
      </c>
      <c r="T351">
        <f t="shared" si="72"/>
        <v>6.8468807208834124E-8</v>
      </c>
      <c r="U351">
        <f t="shared" si="73"/>
        <v>7.8907363294985507E-7</v>
      </c>
      <c r="V351">
        <f t="shared" si="74"/>
        <v>6.0843019067025985E-9</v>
      </c>
      <c r="W351">
        <f t="shared" si="75"/>
        <v>3.4130311336642047E-8</v>
      </c>
      <c r="X351">
        <f t="shared" si="76"/>
        <v>8.2928824619319972E-7</v>
      </c>
      <c r="Y351">
        <f t="shared" si="83"/>
        <v>81618.466816243803</v>
      </c>
      <c r="Z351">
        <f>IF(Inputs!B3&gt;0,(V351+W351)/Inputs!B3,0)</f>
        <v>1.340487108111488E-16</v>
      </c>
      <c r="AA351">
        <f>IF(OR(Y351/Inputs!B3&gt;=Inputs!B23,Z351&gt;=Inputs!B24),1,0)</f>
        <v>0</v>
      </c>
      <c r="AB351">
        <f t="shared" si="77"/>
        <v>0</v>
      </c>
    </row>
    <row r="352" spans="1:28" x14ac:dyDescent="0.2">
      <c r="A352">
        <v>351</v>
      </c>
      <c r="B352">
        <f t="shared" si="78"/>
        <v>0</v>
      </c>
      <c r="C352">
        <f t="shared" si="79"/>
        <v>8.2928824619319972E-7</v>
      </c>
      <c r="D352">
        <f t="shared" si="80"/>
        <v>7.8907363294985507E-7</v>
      </c>
      <c r="E352">
        <f t="shared" si="81"/>
        <v>6.0843019067025985E-9</v>
      </c>
      <c r="F352">
        <f t="shared" si="82"/>
        <v>3.4130311336642047E-8</v>
      </c>
      <c r="G352">
        <f>MAX(Inputs!B7-A352+1,0)</f>
        <v>0</v>
      </c>
      <c r="H352">
        <f>IF(AND(A352&lt;=Inputs!B7,D352&gt;0),-PMT(Inputs!B6/12,G352,D352),0)</f>
        <v>0</v>
      </c>
      <c r="I352">
        <f>IF(AND(A352&lt;=Inputs!B7,D352&gt;0),D352*Inputs!B6/12,0)</f>
        <v>0</v>
      </c>
      <c r="J352">
        <f t="shared" si="70"/>
        <v>0</v>
      </c>
      <c r="K352">
        <f>MAX((D352-J352)*Inputs!B32,0)</f>
        <v>6.3125890635988405E-8</v>
      </c>
      <c r="L352">
        <f>MAX((D352-J352-K352)*Inputs!B33,0)</f>
        <v>2.4653571525319868E-9</v>
      </c>
      <c r="M352">
        <f>MIN(E352*Inputs!B29,E352)</f>
        <v>2.1295056673459095E-9</v>
      </c>
      <c r="N352">
        <f>MIN((E352-M352)*Inputs!B30,E352-M352)</f>
        <v>7.9095924787133775E-10</v>
      </c>
      <c r="O352">
        <f>MIN(F352*Inputs!B31,F352)</f>
        <v>4.0956373603970458E-9</v>
      </c>
      <c r="P352">
        <f>MIN((F352-O352)*Inputs!B34,F352-O352)</f>
        <v>2.6255143505148783E-10</v>
      </c>
      <c r="Q352">
        <f>P352*Inputs!B35</f>
        <v>6.5637858762871957E-11</v>
      </c>
      <c r="R352">
        <f>C352*Inputs!B8/12</f>
        <v>3.4553676924716655E-10</v>
      </c>
      <c r="S352">
        <f t="shared" si="71"/>
        <v>0</v>
      </c>
      <c r="T352">
        <f t="shared" si="72"/>
        <v>6.3322804212277026E-8</v>
      </c>
      <c r="U352">
        <f t="shared" si="73"/>
        <v>7.2970752818907763E-7</v>
      </c>
      <c r="V352">
        <f t="shared" si="74"/>
        <v>5.6291941440173378E-9</v>
      </c>
      <c r="W352">
        <f t="shared" si="75"/>
        <v>3.0563081789064848E-8</v>
      </c>
      <c r="X352">
        <f t="shared" si="76"/>
        <v>7.6589980412215981E-7</v>
      </c>
      <c r="Y352">
        <f t="shared" si="83"/>
        <v>81618.466816243876</v>
      </c>
      <c r="Z352">
        <f>IF(Inputs!B3&gt;0,(V352+W352)/Inputs!B3,0)</f>
        <v>1.2064091977694061E-16</v>
      </c>
      <c r="AA352">
        <f>IF(OR(Y352/Inputs!B3&gt;=Inputs!B23,Z352&gt;=Inputs!B24),1,0)</f>
        <v>0</v>
      </c>
      <c r="AB352">
        <f t="shared" si="77"/>
        <v>0</v>
      </c>
    </row>
    <row r="353" spans="1:28" x14ac:dyDescent="0.2">
      <c r="A353">
        <v>352</v>
      </c>
      <c r="B353">
        <f t="shared" si="78"/>
        <v>0</v>
      </c>
      <c r="C353">
        <f t="shared" si="79"/>
        <v>7.6589980412215981E-7</v>
      </c>
      <c r="D353">
        <f t="shared" si="80"/>
        <v>7.2970752818907763E-7</v>
      </c>
      <c r="E353">
        <f t="shared" si="81"/>
        <v>5.6291941440173378E-9</v>
      </c>
      <c r="F353">
        <f t="shared" si="82"/>
        <v>3.0563081789064848E-8</v>
      </c>
      <c r="G353">
        <f>MAX(Inputs!B7-A353+1,0)</f>
        <v>0</v>
      </c>
      <c r="H353">
        <f>IF(AND(A353&lt;=Inputs!B7,D353&gt;0),-PMT(Inputs!B6/12,G353,D353),0)</f>
        <v>0</v>
      </c>
      <c r="I353">
        <f>IF(AND(A353&lt;=Inputs!B7,D353&gt;0),D353*Inputs!B6/12,0)</f>
        <v>0</v>
      </c>
      <c r="J353">
        <f t="shared" si="70"/>
        <v>0</v>
      </c>
      <c r="K353">
        <f>MAX((D353-J353)*Inputs!B32,0)</f>
        <v>5.8376602255126211E-8</v>
      </c>
      <c r="L353">
        <f>MAX((D353-J353-K353)*Inputs!B33,0)</f>
        <v>2.2798755385502826E-9</v>
      </c>
      <c r="M353">
        <f>MIN(E353*Inputs!B29,E353)</f>
        <v>1.9702179504060679E-9</v>
      </c>
      <c r="N353">
        <f>MIN((E353-M353)*Inputs!B30,E353-M353)</f>
        <v>7.3179523872225399E-10</v>
      </c>
      <c r="O353">
        <f>MIN(F353*Inputs!B31,F353)</f>
        <v>3.6675698146877816E-9</v>
      </c>
      <c r="P353">
        <f>MIN((F353-O353)*Inputs!B34,F353-O353)</f>
        <v>2.3511010210739141E-10</v>
      </c>
      <c r="Q353">
        <f>P353*Inputs!B35</f>
        <v>5.8777525526847852E-11</v>
      </c>
      <c r="R353">
        <f>C353*Inputs!B8/12</f>
        <v>3.1912491838423324E-10</v>
      </c>
      <c r="S353">
        <f t="shared" si="71"/>
        <v>0</v>
      </c>
      <c r="T353">
        <f t="shared" si="72"/>
        <v>5.8552934831706753E-8</v>
      </c>
      <c r="U353">
        <f t="shared" si="73"/>
        <v>6.7468883816049499E-7</v>
      </c>
      <c r="V353">
        <f t="shared" si="74"/>
        <v>5.2070564934392986E-9</v>
      </c>
      <c r="W353">
        <f t="shared" si="75"/>
        <v>2.739219711099193E-8</v>
      </c>
      <c r="X353">
        <f t="shared" si="76"/>
        <v>7.0728809176492622E-7</v>
      </c>
      <c r="Y353">
        <f t="shared" si="83"/>
        <v>81618.466816243934</v>
      </c>
      <c r="Z353">
        <f>IF(Inputs!B3&gt;0,(V353+W353)/Inputs!B3,0)</f>
        <v>1.0866417868143742E-16</v>
      </c>
      <c r="AA353">
        <f>IF(OR(Y353/Inputs!B3&gt;=Inputs!B23,Z353&gt;=Inputs!B24),1,0)</f>
        <v>0</v>
      </c>
      <c r="AB353">
        <f t="shared" si="77"/>
        <v>0</v>
      </c>
    </row>
    <row r="354" spans="1:28" x14ac:dyDescent="0.2">
      <c r="A354">
        <v>353</v>
      </c>
      <c r="B354">
        <f t="shared" si="78"/>
        <v>0</v>
      </c>
      <c r="C354">
        <f t="shared" si="79"/>
        <v>7.0728809176492622E-7</v>
      </c>
      <c r="D354">
        <f t="shared" si="80"/>
        <v>6.7468883816049499E-7</v>
      </c>
      <c r="E354">
        <f t="shared" si="81"/>
        <v>5.2070564934392986E-9</v>
      </c>
      <c r="F354">
        <f t="shared" si="82"/>
        <v>2.739219711099193E-8</v>
      </c>
      <c r="G354">
        <f>MAX(Inputs!B7-A354+1,0)</f>
        <v>0</v>
      </c>
      <c r="H354">
        <f>IF(AND(A354&lt;=Inputs!B7,D354&gt;0),-PMT(Inputs!B6/12,G354,D354),0)</f>
        <v>0</v>
      </c>
      <c r="I354">
        <f>IF(AND(A354&lt;=Inputs!B7,D354&gt;0),D354*Inputs!B6/12,0)</f>
        <v>0</v>
      </c>
      <c r="J354">
        <f t="shared" si="70"/>
        <v>0</v>
      </c>
      <c r="K354">
        <f>MAX((D354-J354)*Inputs!B32,0)</f>
        <v>5.3975107052839599E-8</v>
      </c>
      <c r="L354">
        <f>MAX((D354-J354-K354)*Inputs!B33,0)</f>
        <v>2.1079768521402068E-9</v>
      </c>
      <c r="M354">
        <f>MIN(E354*Inputs!B29,E354)</f>
        <v>1.8224697727037544E-9</v>
      </c>
      <c r="N354">
        <f>MIN((E354-M354)*Inputs!B30,E354-M354)</f>
        <v>6.7691734414710889E-10</v>
      </c>
      <c r="O354">
        <f>MIN(F354*Inputs!B31,F354)</f>
        <v>3.2870636533190315E-9</v>
      </c>
      <c r="P354">
        <f>MIN((F354-O354)*Inputs!B34,F354-O354)</f>
        <v>2.1071769869801985E-10</v>
      </c>
      <c r="Q354">
        <f>P354*Inputs!B35</f>
        <v>5.2679424674504962E-11</v>
      </c>
      <c r="R354">
        <f>C354*Inputs!B8/12</f>
        <v>2.9470337156871928E-10</v>
      </c>
      <c r="S354">
        <f t="shared" si="71"/>
        <v>0</v>
      </c>
      <c r="T354">
        <f t="shared" si="72"/>
        <v>5.4133145326863115E-8</v>
      </c>
      <c r="U354">
        <f t="shared" si="73"/>
        <v>6.2371528768153809E-7</v>
      </c>
      <c r="V354">
        <f t="shared" si="74"/>
        <v>4.8156462287286424E-9</v>
      </c>
      <c r="W354">
        <f t="shared" si="75"/>
        <v>2.4571333103121986E-8</v>
      </c>
      <c r="X354">
        <f t="shared" si="76"/>
        <v>6.5310226701338874E-7</v>
      </c>
      <c r="Y354">
        <f t="shared" si="83"/>
        <v>81618.466816243992</v>
      </c>
      <c r="Z354">
        <f>IF(Inputs!B3&gt;0,(V354+W354)/Inputs!B3,0)</f>
        <v>9.7956597772835422E-17</v>
      </c>
      <c r="AA354">
        <f>IF(OR(Y354/Inputs!B3&gt;=Inputs!B23,Z354&gt;=Inputs!B24),1,0)</f>
        <v>0</v>
      </c>
      <c r="AB354">
        <f t="shared" si="77"/>
        <v>0</v>
      </c>
    </row>
    <row r="355" spans="1:28" x14ac:dyDescent="0.2">
      <c r="A355">
        <v>354</v>
      </c>
      <c r="B355">
        <f t="shared" si="78"/>
        <v>0</v>
      </c>
      <c r="C355">
        <f t="shared" si="79"/>
        <v>6.5310226701338874E-7</v>
      </c>
      <c r="D355">
        <f t="shared" si="80"/>
        <v>6.2371528768153809E-7</v>
      </c>
      <c r="E355">
        <f t="shared" si="81"/>
        <v>4.8156462287286424E-9</v>
      </c>
      <c r="F355">
        <f t="shared" si="82"/>
        <v>2.4571333103121986E-8</v>
      </c>
      <c r="G355">
        <f>MAX(Inputs!B7-A355+1,0)</f>
        <v>0</v>
      </c>
      <c r="H355">
        <f>IF(AND(A355&lt;=Inputs!B7,D355&gt;0),-PMT(Inputs!B6/12,G355,D355),0)</f>
        <v>0</v>
      </c>
      <c r="I355">
        <f>IF(AND(A355&lt;=Inputs!B7,D355&gt;0),D355*Inputs!B6/12,0)</f>
        <v>0</v>
      </c>
      <c r="J355">
        <f t="shared" si="70"/>
        <v>0</v>
      </c>
      <c r="K355">
        <f>MAX((D355-J355)*Inputs!B32,0)</f>
        <v>4.989722301452305E-8</v>
      </c>
      <c r="L355">
        <f>MAX((D355-J355-K355)*Inputs!B33,0)</f>
        <v>1.9487166741090992E-9</v>
      </c>
      <c r="M355">
        <f>MIN(E355*Inputs!B29,E355)</f>
        <v>1.6854761800550247E-9</v>
      </c>
      <c r="N355">
        <f>MIN((E355-M355)*Inputs!B30,E355-M355)</f>
        <v>6.2603400973472363E-10</v>
      </c>
      <c r="O355">
        <f>MIN(F355*Inputs!B31,F355)</f>
        <v>2.9485599723746383E-9</v>
      </c>
      <c r="P355">
        <f>MIN((F355-O355)*Inputs!B34,F355-O355)</f>
        <v>1.8901787047066293E-10</v>
      </c>
      <c r="Q355">
        <f>P355*Inputs!B35</f>
        <v>4.7254467617665733E-11</v>
      </c>
      <c r="R355">
        <f>C355*Inputs!B8/12</f>
        <v>2.7212594458891197E-10</v>
      </c>
      <c r="S355">
        <f t="shared" si="71"/>
        <v>0</v>
      </c>
      <c r="T355">
        <f t="shared" si="72"/>
        <v>5.0038986417376052E-8</v>
      </c>
      <c r="U355">
        <f t="shared" si="73"/>
        <v>5.7650338414533561E-7</v>
      </c>
      <c r="V355">
        <f t="shared" si="74"/>
        <v>4.4528527130479929E-9</v>
      </c>
      <c r="W355">
        <f t="shared" si="75"/>
        <v>2.2059789270011408E-8</v>
      </c>
      <c r="X355">
        <f t="shared" si="76"/>
        <v>6.0301602612839505E-7</v>
      </c>
      <c r="Y355">
        <f t="shared" si="83"/>
        <v>81618.466816244036</v>
      </c>
      <c r="Z355">
        <f>IF(Inputs!B3&gt;0,(V355+W355)/Inputs!B3,0)</f>
        <v>8.8375473276864668E-17</v>
      </c>
      <c r="AA355">
        <f>IF(OR(Y355/Inputs!B3&gt;=Inputs!B23,Z355&gt;=Inputs!B24),1,0)</f>
        <v>0</v>
      </c>
      <c r="AB355">
        <f t="shared" si="77"/>
        <v>0</v>
      </c>
    </row>
    <row r="356" spans="1:28" x14ac:dyDescent="0.2">
      <c r="A356">
        <v>355</v>
      </c>
      <c r="B356">
        <f t="shared" si="78"/>
        <v>0</v>
      </c>
      <c r="C356">
        <f t="shared" si="79"/>
        <v>6.0301602612839505E-7</v>
      </c>
      <c r="D356">
        <f t="shared" si="80"/>
        <v>5.7650338414533561E-7</v>
      </c>
      <c r="E356">
        <f t="shared" si="81"/>
        <v>4.4528527130479929E-9</v>
      </c>
      <c r="F356">
        <f t="shared" si="82"/>
        <v>2.2059789270011408E-8</v>
      </c>
      <c r="G356">
        <f>MAX(Inputs!B7-A356+1,0)</f>
        <v>0</v>
      </c>
      <c r="H356">
        <f>IF(AND(A356&lt;=Inputs!B7,D356&gt;0),-PMT(Inputs!B6/12,G356,D356),0)</f>
        <v>0</v>
      </c>
      <c r="I356">
        <f>IF(AND(A356&lt;=Inputs!B7,D356&gt;0),D356*Inputs!B6/12,0)</f>
        <v>0</v>
      </c>
      <c r="J356">
        <f t="shared" si="70"/>
        <v>0</v>
      </c>
      <c r="K356">
        <f>MAX((D356-J356)*Inputs!B32,0)</f>
        <v>4.6120270731626851E-8</v>
      </c>
      <c r="L356">
        <f>MAX((D356-J356-K356)*Inputs!B33,0)</f>
        <v>1.8012092689604801E-9</v>
      </c>
      <c r="M356">
        <f>MIN(E356*Inputs!B29,E356)</f>
        <v>1.5584984495667975E-9</v>
      </c>
      <c r="N356">
        <f>MIN((E356-M356)*Inputs!B30,E356-M356)</f>
        <v>5.788708526962391E-10</v>
      </c>
      <c r="O356">
        <f>MIN(F356*Inputs!B31,F356)</f>
        <v>2.6471747124013688E-9</v>
      </c>
      <c r="P356">
        <f>MIN((F356-O356)*Inputs!B34,F356-O356)</f>
        <v>1.6969752407610898E-10</v>
      </c>
      <c r="Q356">
        <f>P356*Inputs!B35</f>
        <v>4.2424381019027244E-11</v>
      </c>
      <c r="R356">
        <f>C356*Inputs!B8/12</f>
        <v>2.5125667755349791E-10</v>
      </c>
      <c r="S356">
        <f t="shared" si="71"/>
        <v>0</v>
      </c>
      <c r="T356">
        <f t="shared" si="72"/>
        <v>4.6247543874683929E-8</v>
      </c>
      <c r="U356">
        <f t="shared" si="73"/>
        <v>5.327875773067165E-7</v>
      </c>
      <c r="V356">
        <f t="shared" si="74"/>
        <v>4.1166926797454365E-9</v>
      </c>
      <c r="W356">
        <f t="shared" si="75"/>
        <v>1.982178788623017E-8</v>
      </c>
      <c r="X356">
        <f t="shared" si="76"/>
        <v>5.5672605787269209E-7</v>
      </c>
      <c r="Y356">
        <f t="shared" si="83"/>
        <v>81618.466816244079</v>
      </c>
      <c r="Z356">
        <f>IF(Inputs!B3&gt;0,(V356+W356)/Inputs!B3,0)</f>
        <v>7.979493521991869E-17</v>
      </c>
      <c r="AA356">
        <f>IF(OR(Y356/Inputs!B3&gt;=Inputs!B23,Z356&gt;=Inputs!B24),1,0)</f>
        <v>0</v>
      </c>
      <c r="AB356">
        <f t="shared" si="77"/>
        <v>0</v>
      </c>
    </row>
    <row r="357" spans="1:28" x14ac:dyDescent="0.2">
      <c r="A357">
        <v>356</v>
      </c>
      <c r="B357">
        <f t="shared" si="78"/>
        <v>0</v>
      </c>
      <c r="C357">
        <f t="shared" si="79"/>
        <v>5.5672605787269209E-7</v>
      </c>
      <c r="D357">
        <f t="shared" si="80"/>
        <v>5.327875773067165E-7</v>
      </c>
      <c r="E357">
        <f t="shared" si="81"/>
        <v>4.1166926797454365E-9</v>
      </c>
      <c r="F357">
        <f t="shared" si="82"/>
        <v>1.982178788623017E-8</v>
      </c>
      <c r="G357">
        <f>MAX(Inputs!B7-A357+1,0)</f>
        <v>0</v>
      </c>
      <c r="H357">
        <f>IF(AND(A357&lt;=Inputs!B7,D357&gt;0),-PMT(Inputs!B6/12,G357,D357),0)</f>
        <v>0</v>
      </c>
      <c r="I357">
        <f>IF(AND(A357&lt;=Inputs!B7,D357&gt;0),D357*Inputs!B6/12,0)</f>
        <v>0</v>
      </c>
      <c r="J357">
        <f t="shared" si="70"/>
        <v>0</v>
      </c>
      <c r="K357">
        <f>MAX((D357-J357)*Inputs!B32,0)</f>
        <v>4.2623006184537323E-8</v>
      </c>
      <c r="L357">
        <f>MAX((D357-J357-K357)*Inputs!B33,0)</f>
        <v>1.66462495975553E-9</v>
      </c>
      <c r="M357">
        <f>MIN(E357*Inputs!B29,E357)</f>
        <v>1.4408424379109027E-9</v>
      </c>
      <c r="N357">
        <f>MIN((E357-M357)*Inputs!B30,E357-M357)</f>
        <v>5.3517004836690677E-10</v>
      </c>
      <c r="O357">
        <f>MIN(F357*Inputs!B31,F357)</f>
        <v>2.3786145463476201E-9</v>
      </c>
      <c r="P357">
        <f>MIN((F357-O357)*Inputs!B34,F357-O357)</f>
        <v>1.524814351525911E-10</v>
      </c>
      <c r="Q357">
        <f>P357*Inputs!B35</f>
        <v>3.8120358788147775E-11</v>
      </c>
      <c r="R357">
        <f>C357*Inputs!B8/12</f>
        <v>2.3196919078028838E-10</v>
      </c>
      <c r="S357">
        <f t="shared" si="71"/>
        <v>0</v>
      </c>
      <c r="T357">
        <f t="shared" si="72"/>
        <v>4.2737367260901767E-8</v>
      </c>
      <c r="U357">
        <f t="shared" si="73"/>
        <v>4.9231940314668219E-7</v>
      </c>
      <c r="V357">
        <f t="shared" si="74"/>
        <v>3.8053051532231569E-9</v>
      </c>
      <c r="W357">
        <f t="shared" si="75"/>
        <v>1.7825861953096867E-8</v>
      </c>
      <c r="X357">
        <f t="shared" si="76"/>
        <v>5.139505702530022E-7</v>
      </c>
      <c r="Y357">
        <f t="shared" si="83"/>
        <v>81618.466816244123</v>
      </c>
      <c r="Z357">
        <f>IF(Inputs!B3&gt;0,(V357+W357)/Inputs!B3,0)</f>
        <v>7.2103890354400081E-17</v>
      </c>
      <c r="AA357">
        <f>IF(OR(Y357/Inputs!B3&gt;=Inputs!B23,Z357&gt;=Inputs!B24),1,0)</f>
        <v>0</v>
      </c>
      <c r="AB357">
        <f t="shared" si="77"/>
        <v>0</v>
      </c>
    </row>
    <row r="358" spans="1:28" x14ac:dyDescent="0.2">
      <c r="A358">
        <v>357</v>
      </c>
      <c r="B358">
        <f t="shared" si="78"/>
        <v>0</v>
      </c>
      <c r="C358">
        <f t="shared" si="79"/>
        <v>5.139505702530022E-7</v>
      </c>
      <c r="D358">
        <f t="shared" si="80"/>
        <v>4.9231940314668219E-7</v>
      </c>
      <c r="E358">
        <f t="shared" si="81"/>
        <v>3.8053051532231569E-9</v>
      </c>
      <c r="F358">
        <f t="shared" si="82"/>
        <v>1.7825861953096867E-8</v>
      </c>
      <c r="G358">
        <f>MAX(Inputs!B7-A358+1,0)</f>
        <v>0</v>
      </c>
      <c r="H358">
        <f>IF(AND(A358&lt;=Inputs!B7,D358&gt;0),-PMT(Inputs!B6/12,G358,D358),0)</f>
        <v>0</v>
      </c>
      <c r="I358">
        <f>IF(AND(A358&lt;=Inputs!B7,D358&gt;0),D358*Inputs!B6/12,0)</f>
        <v>0</v>
      </c>
      <c r="J358">
        <f t="shared" si="70"/>
        <v>0</v>
      </c>
      <c r="K358">
        <f>MAX((D358-J358)*Inputs!B32,0)</f>
        <v>3.9385552251734574E-8</v>
      </c>
      <c r="L358">
        <f>MAX((D358-J358-K358)*Inputs!B33,0)</f>
        <v>1.5381874532298355E-9</v>
      </c>
      <c r="M358">
        <f>MIN(E358*Inputs!B29,E358)</f>
        <v>1.3318568036281047E-9</v>
      </c>
      <c r="N358">
        <f>MIN((E358-M358)*Inputs!B30,E358-M358)</f>
        <v>4.9468966991901039E-10</v>
      </c>
      <c r="O358">
        <f>MIN(F358*Inputs!B31,F358)</f>
        <v>2.1391034343716239E-9</v>
      </c>
      <c r="P358">
        <f>MIN((F358-O358)*Inputs!B34,F358-O358)</f>
        <v>1.371275401109707E-10</v>
      </c>
      <c r="Q358">
        <f>P358*Inputs!B35</f>
        <v>3.4281885027742674E-11</v>
      </c>
      <c r="R358">
        <f>C358*Inputs!B8/12</f>
        <v>2.1414607093875091E-10</v>
      </c>
      <c r="S358">
        <f t="shared" si="71"/>
        <v>0</v>
      </c>
      <c r="T358">
        <f t="shared" si="72"/>
        <v>3.9488397906817803E-8</v>
      </c>
      <c r="U358">
        <f t="shared" si="73"/>
        <v>4.548666236797175E-7</v>
      </c>
      <c r="V358">
        <f t="shared" si="74"/>
        <v>3.5169461329058771E-9</v>
      </c>
      <c r="W358">
        <f t="shared" si="75"/>
        <v>1.6044320648533281E-8</v>
      </c>
      <c r="X358">
        <f t="shared" si="76"/>
        <v>4.7442789046115668E-7</v>
      </c>
      <c r="Y358">
        <f t="shared" si="83"/>
        <v>81618.466816244152</v>
      </c>
      <c r="Z358">
        <f>IF(Inputs!B3&gt;0,(V358+W358)/Inputs!B3,0)</f>
        <v>6.5204222604797184E-17</v>
      </c>
      <c r="AA358">
        <f>IF(OR(Y358/Inputs!B3&gt;=Inputs!B23,Z358&gt;=Inputs!B24),1,0)</f>
        <v>0</v>
      </c>
      <c r="AB358">
        <f t="shared" si="77"/>
        <v>0</v>
      </c>
    </row>
    <row r="359" spans="1:28" x14ac:dyDescent="0.2">
      <c r="A359">
        <v>358</v>
      </c>
      <c r="B359">
        <f t="shared" si="78"/>
        <v>0</v>
      </c>
      <c r="C359">
        <f t="shared" si="79"/>
        <v>4.7442789046115668E-7</v>
      </c>
      <c r="D359">
        <f t="shared" si="80"/>
        <v>4.548666236797175E-7</v>
      </c>
      <c r="E359">
        <f t="shared" si="81"/>
        <v>3.5169461329058771E-9</v>
      </c>
      <c r="F359">
        <f t="shared" si="82"/>
        <v>1.6044320648533281E-8</v>
      </c>
      <c r="G359">
        <f>MAX(Inputs!B7-A359+1,0)</f>
        <v>0</v>
      </c>
      <c r="H359">
        <f>IF(AND(A359&lt;=Inputs!B7,D359&gt;0),-PMT(Inputs!B6/12,G359,D359),0)</f>
        <v>0</v>
      </c>
      <c r="I359">
        <f>IF(AND(A359&lt;=Inputs!B7,D359&gt;0),D359*Inputs!B6/12,0)</f>
        <v>0</v>
      </c>
      <c r="J359">
        <f t="shared" si="70"/>
        <v>0</v>
      </c>
      <c r="K359">
        <f>MAX((D359-J359)*Inputs!B32,0)</f>
        <v>3.6389329894377402E-8</v>
      </c>
      <c r="L359">
        <f>MAX((D359-J359-K359)*Inputs!B33,0)</f>
        <v>1.4211711522340673E-9</v>
      </c>
      <c r="M359">
        <f>MIN(E359*Inputs!B29,E359)</f>
        <v>1.2309311465170569E-9</v>
      </c>
      <c r="N359">
        <f>MIN((E359-M359)*Inputs!B30,E359-M359)</f>
        <v>4.5720299727776407E-10</v>
      </c>
      <c r="O359">
        <f>MIN(F359*Inputs!B31,F359)</f>
        <v>1.9253184778239938E-9</v>
      </c>
      <c r="P359">
        <f>MIN((F359-O359)*Inputs!B34,F359-O359)</f>
        <v>1.2342282404485909E-10</v>
      </c>
      <c r="Q359">
        <f>P359*Inputs!B35</f>
        <v>3.0855706011214773E-11</v>
      </c>
      <c r="R359">
        <f>C359*Inputs!B8/12</f>
        <v>1.9767828769214863E-10</v>
      </c>
      <c r="S359">
        <f t="shared" si="71"/>
        <v>0</v>
      </c>
      <c r="T359">
        <f t="shared" si="72"/>
        <v>3.648189701241105E-8</v>
      </c>
      <c r="U359">
        <f t="shared" si="73"/>
        <v>4.2021237225744709E-7</v>
      </c>
      <c r="V359">
        <f t="shared" si="74"/>
        <v>3.2499831413451238E-9</v>
      </c>
      <c r="W359">
        <f t="shared" si="75"/>
        <v>1.4452782343942192E-8</v>
      </c>
      <c r="X359">
        <f t="shared" si="76"/>
        <v>4.3791513774273437E-7</v>
      </c>
      <c r="Y359">
        <f t="shared" si="83"/>
        <v>81618.466816244181</v>
      </c>
      <c r="Z359">
        <f>IF(Inputs!B3&gt;0,(V359+W359)/Inputs!B3,0)</f>
        <v>5.9009218284291048E-17</v>
      </c>
      <c r="AA359">
        <f>IF(OR(Y359/Inputs!B3&gt;=Inputs!B23,Z359&gt;=Inputs!B24),1,0)</f>
        <v>0</v>
      </c>
      <c r="AB359">
        <f t="shared" si="77"/>
        <v>0</v>
      </c>
    </row>
    <row r="360" spans="1:28" x14ac:dyDescent="0.2">
      <c r="A360">
        <v>359</v>
      </c>
      <c r="B360">
        <f t="shared" si="78"/>
        <v>0</v>
      </c>
      <c r="C360">
        <f t="shared" si="79"/>
        <v>4.3791513774273437E-7</v>
      </c>
      <c r="D360">
        <f t="shared" si="80"/>
        <v>4.2021237225744709E-7</v>
      </c>
      <c r="E360">
        <f t="shared" si="81"/>
        <v>3.2499831413451238E-9</v>
      </c>
      <c r="F360">
        <f t="shared" si="82"/>
        <v>1.4452782343942192E-8</v>
      </c>
      <c r="G360">
        <f>MAX(Inputs!B7-A360+1,0)</f>
        <v>0</v>
      </c>
      <c r="H360">
        <f>IF(AND(A360&lt;=Inputs!B7,D360&gt;0),-PMT(Inputs!B6/12,G360,D360),0)</f>
        <v>0</v>
      </c>
      <c r="I360">
        <f>IF(AND(A360&lt;=Inputs!B7,D360&gt;0),D360*Inputs!B6/12,0)</f>
        <v>0</v>
      </c>
      <c r="J360">
        <f t="shared" si="70"/>
        <v>0</v>
      </c>
      <c r="K360">
        <f>MAX((D360-J360)*Inputs!B32,0)</f>
        <v>3.3616989780595768E-8</v>
      </c>
      <c r="L360">
        <f>MAX((D360-J360-K360)*Inputs!B33,0)</f>
        <v>1.3128984853472683E-9</v>
      </c>
      <c r="M360">
        <f>MIN(E360*Inputs!B29,E360)</f>
        <v>1.1374940994707932E-9</v>
      </c>
      <c r="N360">
        <f>MIN((E360-M360)*Inputs!B30,E360-M360)</f>
        <v>4.2249780837486617E-10</v>
      </c>
      <c r="O360">
        <f>MIN(F360*Inputs!B31,F360)</f>
        <v>1.7343338812730631E-9</v>
      </c>
      <c r="P360">
        <f>MIN((F360-O360)*Inputs!B34,F360-O360)</f>
        <v>1.1117972840801414E-10</v>
      </c>
      <c r="Q360">
        <f>P360*Inputs!B35</f>
        <v>2.7794932102003534E-11</v>
      </c>
      <c r="R360">
        <f>C360*Inputs!B8/12</f>
        <v>1.8246464072613934E-10</v>
      </c>
      <c r="S360">
        <f t="shared" si="71"/>
        <v>0</v>
      </c>
      <c r="T360">
        <f t="shared" si="72"/>
        <v>3.3700374576901783E-8</v>
      </c>
      <c r="U360">
        <f t="shared" si="73"/>
        <v>3.8815431197224793E-7</v>
      </c>
      <c r="V360">
        <f t="shared" si="74"/>
        <v>3.002889718846733E-9</v>
      </c>
      <c r="W360">
        <f t="shared" si="75"/>
        <v>1.3029766542635982E-8</v>
      </c>
      <c r="X360">
        <f t="shared" si="76"/>
        <v>4.0418696823373068E-7</v>
      </c>
      <c r="Y360">
        <f t="shared" si="83"/>
        <v>81618.46681624421</v>
      </c>
      <c r="Z360">
        <f>IF(Inputs!B3&gt;0,(V360+W360)/Inputs!B3,0)</f>
        <v>5.3442187538275716E-17</v>
      </c>
      <c r="AA360">
        <f>IF(OR(Y360/Inputs!B3&gt;=Inputs!B23,Z360&gt;=Inputs!B24),1,0)</f>
        <v>0</v>
      </c>
      <c r="AB360">
        <f t="shared" si="77"/>
        <v>0</v>
      </c>
    </row>
    <row r="361" spans="1:28" x14ac:dyDescent="0.2">
      <c r="A361">
        <v>360</v>
      </c>
      <c r="B361">
        <f t="shared" si="78"/>
        <v>0</v>
      </c>
      <c r="C361">
        <f t="shared" si="79"/>
        <v>4.0418696823373068E-7</v>
      </c>
      <c r="D361">
        <f t="shared" si="80"/>
        <v>3.8815431197224793E-7</v>
      </c>
      <c r="E361">
        <f t="shared" si="81"/>
        <v>3.002889718846733E-9</v>
      </c>
      <c r="F361">
        <f t="shared" si="82"/>
        <v>1.3029766542635982E-8</v>
      </c>
      <c r="G361">
        <f>MAX(Inputs!B7-A361+1,0)</f>
        <v>0</v>
      </c>
      <c r="H361">
        <f>IF(AND(A361&lt;=Inputs!B7,D361&gt;0),-PMT(Inputs!B6/12,G361,D361),0)</f>
        <v>0</v>
      </c>
      <c r="I361">
        <f>IF(AND(A361&lt;=Inputs!B7,D361&gt;0),D361*Inputs!B6/12,0)</f>
        <v>0</v>
      </c>
      <c r="J361">
        <f t="shared" si="70"/>
        <v>0</v>
      </c>
      <c r="K361">
        <f>MAX((D361-J361)*Inputs!B32,0)</f>
        <v>3.1052344957779835E-8</v>
      </c>
      <c r="L361">
        <f>MAX((D361-J361-K361)*Inputs!B33,0)</f>
        <v>1.212737277419237E-9</v>
      </c>
      <c r="M361">
        <f>MIN(E361*Inputs!B29,E361)</f>
        <v>1.0510114015963565E-9</v>
      </c>
      <c r="N361">
        <f>MIN((E361-M361)*Inputs!B30,E361-M361)</f>
        <v>3.9037566345007531E-10</v>
      </c>
      <c r="O361">
        <f>MIN(F361*Inputs!B31,F361)</f>
        <v>1.5635719851163178E-9</v>
      </c>
      <c r="P361">
        <f>MIN((F361-O361)*Inputs!B34,F361-O361)</f>
        <v>1.0023301195269782E-10</v>
      </c>
      <c r="Q361">
        <f>P361*Inputs!B35</f>
        <v>2.5058252988174456E-11</v>
      </c>
      <c r="R361">
        <f>C361*Inputs!B8/12</f>
        <v>1.6841123676405446E-10</v>
      </c>
      <c r="S361">
        <f t="shared" si="71"/>
        <v>0</v>
      </c>
      <c r="T361">
        <f t="shared" si="72"/>
        <v>3.1127519716744359E-8</v>
      </c>
      <c r="U361">
        <f t="shared" si="73"/>
        <v>3.5850381312376152E-7</v>
      </c>
      <c r="V361">
        <f t="shared" si="74"/>
        <v>2.774239931219538E-9</v>
      </c>
      <c r="W361">
        <f t="shared" si="75"/>
        <v>1.1756337209017041E-8</v>
      </c>
      <c r="X361">
        <f t="shared" si="76"/>
        <v>3.7303439026399808E-7</v>
      </c>
      <c r="Y361">
        <f t="shared" si="83"/>
        <v>81618.466816244239</v>
      </c>
      <c r="Z361">
        <f>IF(Inputs!B3&gt;0,(V361+W361)/Inputs!B3,0)</f>
        <v>4.8435257134121925E-17</v>
      </c>
      <c r="AA361">
        <f>IF(OR(Y361/Inputs!B3&gt;=Inputs!B23,Z361&gt;=Inputs!B24),1,0)</f>
        <v>0</v>
      </c>
      <c r="AB361">
        <f t="shared" si="77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3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47" width="14" customWidth="1"/>
  </cols>
  <sheetData>
    <row r="1" spans="1:47" x14ac:dyDescent="0.2">
      <c r="A1" s="1" t="s">
        <v>33</v>
      </c>
      <c r="B1" s="1" t="s">
        <v>110</v>
      </c>
      <c r="C1" s="1" t="s">
        <v>44</v>
      </c>
      <c r="D1" s="1" t="s">
        <v>123</v>
      </c>
      <c r="E1" s="1" t="s">
        <v>40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132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61</v>
      </c>
      <c r="S1" s="1" t="s">
        <v>62</v>
      </c>
      <c r="T1" s="1" t="s">
        <v>133</v>
      </c>
      <c r="U1" s="1" t="s">
        <v>134</v>
      </c>
      <c r="V1" s="1" t="s">
        <v>64</v>
      </c>
      <c r="W1" s="1" t="s">
        <v>45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65</v>
      </c>
      <c r="AM1" s="1" t="s">
        <v>66</v>
      </c>
      <c r="AN1" s="1" t="s">
        <v>67</v>
      </c>
      <c r="AO1" s="1" t="s">
        <v>149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</row>
    <row r="2" spans="1:47" x14ac:dyDescent="0.2">
      <c r="A2">
        <v>1</v>
      </c>
      <c r="B2">
        <f>PoolStates_V2!B2</f>
        <v>0</v>
      </c>
      <c r="C2">
        <f>PoolStates_V2!S2</f>
        <v>1290937.5</v>
      </c>
      <c r="D2">
        <f>PoolStates_V2!T2</f>
        <v>24056280.360471386</v>
      </c>
      <c r="E2">
        <f>PoolStates_V2!Q2</f>
        <v>2884.7316150499182</v>
      </c>
      <c r="F2">
        <f>Inputs!B3*Inputs!B9</f>
        <v>240000000</v>
      </c>
      <c r="G2">
        <f>Inputs!B3*Inputs!B10</f>
        <v>45000000</v>
      </c>
      <c r="H2">
        <f>Inputs!B3*Inputs!B11</f>
        <v>15000000</v>
      </c>
      <c r="I2">
        <f t="shared" ref="I2:I65" si="0">MIN(E2,H2)</f>
        <v>2884.7316150499182</v>
      </c>
      <c r="J2">
        <f t="shared" ref="J2:J65" si="1">MIN(MAX(E2-I2,0),G2)</f>
        <v>0</v>
      </c>
      <c r="K2">
        <f t="shared" ref="K2:K65" si="2">MIN(MAX(E2-I2-J2,0),F2)</f>
        <v>0</v>
      </c>
      <c r="L2">
        <f t="shared" ref="L2:L65" si="3">MAX(E2-I2-J2-K2,0)</f>
        <v>0</v>
      </c>
      <c r="M2">
        <f t="shared" ref="M2:M65" si="4">MAX(F2-K2,0)</f>
        <v>240000000</v>
      </c>
      <c r="N2">
        <f t="shared" ref="N2:N65" si="5">MAX(G2-J2,0)</f>
        <v>45000000</v>
      </c>
      <c r="O2">
        <f t="shared" ref="O2:O65" si="6">MAX(H2-I2,0)</f>
        <v>14997115.26838495</v>
      </c>
      <c r="P2">
        <f>M2*Inputs!B6/12</f>
        <v>1150000</v>
      </c>
      <c r="Q2">
        <f t="shared" ref="Q2:Q65" si="7">MIN(C2,P2)</f>
        <v>1150000</v>
      </c>
      <c r="R2">
        <f>N2*Inputs!B6/12</f>
        <v>215625</v>
      </c>
      <c r="S2">
        <f t="shared" ref="S2:S65" si="8">MIN(MAX(C2-Q2,0),R2)</f>
        <v>140937.5</v>
      </c>
      <c r="T2">
        <f t="shared" ref="T2:T65" si="9">MAX(C2-Q2-S2,0)</f>
        <v>0</v>
      </c>
      <c r="U2">
        <f t="shared" ref="U2:U65" si="10">IF(B2=1,T2,0)</f>
        <v>0</v>
      </c>
      <c r="V2">
        <f t="shared" ref="V2:V65" si="11">T2-U2</f>
        <v>0</v>
      </c>
      <c r="W2">
        <f t="shared" ref="W2:W65" si="12">D2+U2</f>
        <v>24056280.360471386</v>
      </c>
      <c r="X2">
        <f t="shared" ref="X2:X65" si="13">M2+N2</f>
        <v>285000000</v>
      </c>
      <c r="Y2">
        <f t="shared" ref="Y2:Y65" si="14">IF(X2&gt;0,W2*(M2/X2),0)</f>
        <v>20257920.303554852</v>
      </c>
      <c r="Z2">
        <f t="shared" ref="Z2:Z65" si="15">IF(X2&gt;0,W2-Y2,0)</f>
        <v>3798360.0569165349</v>
      </c>
      <c r="AA2">
        <f t="shared" ref="AA2:AA65" si="16">MIN(Y2,M2)</f>
        <v>20257920.303554852</v>
      </c>
      <c r="AB2">
        <f t="shared" ref="AB2:AB65" si="17">MIN(Z2,N2)</f>
        <v>3798360.0569165349</v>
      </c>
      <c r="AC2">
        <f t="shared" ref="AC2:AC65" si="18">MAX(W2-AA2-AB2,0)</f>
        <v>0</v>
      </c>
      <c r="AD2">
        <f t="shared" ref="AD2:AD65" si="19">MIN(AC2,MAX(M2-AA2,0))</f>
        <v>0</v>
      </c>
      <c r="AE2">
        <f t="shared" ref="AE2:AE65" si="20">MAX(AC2-AD2,0)</f>
        <v>0</v>
      </c>
      <c r="AF2">
        <f t="shared" ref="AF2:AF65" si="21">MIN(AE2,MAX(N2-AB2,0))</f>
        <v>0</v>
      </c>
      <c r="AG2">
        <f t="shared" ref="AG2:AG65" si="22">MAX(AE2-AF2,0)</f>
        <v>0</v>
      </c>
      <c r="AH2">
        <f t="shared" ref="AH2:AH65" si="23">MIN(AG2,O2)</f>
        <v>0</v>
      </c>
      <c r="AI2">
        <f t="shared" ref="AI2:AI65" si="24">MIN(W2,M2)</f>
        <v>24056280.360471386</v>
      </c>
      <c r="AJ2">
        <f t="shared" ref="AJ2:AJ65" si="25">MIN(MAX(W2-AI2,0),N2)</f>
        <v>0</v>
      </c>
      <c r="AK2">
        <f t="shared" ref="AK2:AK65" si="26">MIN(MAX(W2-AI2-AJ2,0),O2)</f>
        <v>0</v>
      </c>
      <c r="AL2">
        <f t="shared" ref="AL2:AL65" si="27">IF(B2=1,AI2,AA2+AD2)</f>
        <v>20257920.303554852</v>
      </c>
      <c r="AM2">
        <f t="shared" ref="AM2:AM65" si="28">IF(B2=1,AJ2,AB2+AF2)</f>
        <v>3798360.0569165349</v>
      </c>
      <c r="AN2">
        <f t="shared" ref="AN2:AN65" si="29">IF(B2=1,AK2,AH2)</f>
        <v>0</v>
      </c>
      <c r="AO2">
        <f t="shared" ref="AO2:AO65" si="30">MAX(W2-AL2-AM2-AN2,0)</f>
        <v>0</v>
      </c>
      <c r="AP2">
        <f t="shared" ref="AP2:AP65" si="31">MAX(M2-AL2,0)</f>
        <v>219742079.69644514</v>
      </c>
      <c r="AQ2">
        <f t="shared" ref="AQ2:AQ65" si="32">MAX(N2-AM2,0)</f>
        <v>41201639.943083465</v>
      </c>
      <c r="AR2">
        <f t="shared" ref="AR2:AR65" si="33">MAX(O2-AN2,0)</f>
        <v>14997115.26838495</v>
      </c>
      <c r="AS2">
        <f t="shared" ref="AS2:AS65" si="34">W2-(AL2+AM2+AN2+AO2)</f>
        <v>0</v>
      </c>
      <c r="AT2">
        <f t="shared" ref="AT2:AT65" si="35">C2-(Q2+S2+V2+U2)</f>
        <v>0</v>
      </c>
      <c r="AU2">
        <f t="shared" ref="AU2:AU65" si="36">E2-(I2+J2+K2+L2)</f>
        <v>0</v>
      </c>
    </row>
    <row r="3" spans="1:47" x14ac:dyDescent="0.2">
      <c r="A3">
        <v>2</v>
      </c>
      <c r="B3">
        <f>PoolStates_V2!B3</f>
        <v>0</v>
      </c>
      <c r="C3">
        <f>PoolStates_V2!S3</f>
        <v>1187210.4154618641</v>
      </c>
      <c r="D3">
        <f>PoolStates_V2!T3</f>
        <v>22127880.534813609</v>
      </c>
      <c r="E3">
        <f>PoolStates_V2!Q3</f>
        <v>3266.4029038479239</v>
      </c>
      <c r="F3">
        <f t="shared" ref="F3:F66" si="37">AP2</f>
        <v>219742079.69644514</v>
      </c>
      <c r="G3">
        <f t="shared" ref="G3:G66" si="38">AQ2</f>
        <v>41201639.943083465</v>
      </c>
      <c r="H3">
        <f t="shared" ref="H3:H66" si="39">AR2</f>
        <v>14997115.26838495</v>
      </c>
      <c r="I3">
        <f t="shared" si="0"/>
        <v>3266.4029038479239</v>
      </c>
      <c r="J3">
        <f t="shared" si="1"/>
        <v>0</v>
      </c>
      <c r="K3">
        <f t="shared" si="2"/>
        <v>0</v>
      </c>
      <c r="L3">
        <f t="shared" si="3"/>
        <v>0</v>
      </c>
      <c r="M3">
        <f t="shared" si="4"/>
        <v>219742079.69644514</v>
      </c>
      <c r="N3">
        <f t="shared" si="5"/>
        <v>41201639.943083465</v>
      </c>
      <c r="O3">
        <f t="shared" si="6"/>
        <v>14993848.865481103</v>
      </c>
      <c r="P3">
        <f>M3*Inputs!B6/12</f>
        <v>1052930.7985454663</v>
      </c>
      <c r="Q3">
        <f t="shared" si="7"/>
        <v>1052930.7985454663</v>
      </c>
      <c r="R3">
        <f>N3*Inputs!B6/12</f>
        <v>197424.52472727493</v>
      </c>
      <c r="S3">
        <f t="shared" si="8"/>
        <v>134279.61691639782</v>
      </c>
      <c r="T3">
        <f t="shared" si="9"/>
        <v>0</v>
      </c>
      <c r="U3">
        <f t="shared" si="10"/>
        <v>0</v>
      </c>
      <c r="V3">
        <f t="shared" si="11"/>
        <v>0</v>
      </c>
      <c r="W3">
        <f t="shared" si="12"/>
        <v>22127880.534813609</v>
      </c>
      <c r="X3">
        <f t="shared" si="13"/>
        <v>260943719.6395286</v>
      </c>
      <c r="Y3">
        <f t="shared" si="14"/>
        <v>18634004.660895668</v>
      </c>
      <c r="Z3">
        <f t="shared" si="15"/>
        <v>3493875.873917941</v>
      </c>
      <c r="AA3">
        <f t="shared" si="16"/>
        <v>18634004.660895668</v>
      </c>
      <c r="AB3">
        <f t="shared" si="17"/>
        <v>3493875.873917941</v>
      </c>
      <c r="AC3">
        <f t="shared" si="18"/>
        <v>0</v>
      </c>
      <c r="AD3">
        <f t="shared" si="19"/>
        <v>0</v>
      </c>
      <c r="AE3">
        <f t="shared" si="20"/>
        <v>0</v>
      </c>
      <c r="AF3">
        <f t="shared" si="21"/>
        <v>0</v>
      </c>
      <c r="AG3">
        <f t="shared" si="22"/>
        <v>0</v>
      </c>
      <c r="AH3">
        <f t="shared" si="23"/>
        <v>0</v>
      </c>
      <c r="AI3">
        <f t="shared" si="24"/>
        <v>22127880.534813609</v>
      </c>
      <c r="AJ3">
        <f t="shared" si="25"/>
        <v>0</v>
      </c>
      <c r="AK3">
        <f t="shared" si="26"/>
        <v>0</v>
      </c>
      <c r="AL3">
        <f t="shared" si="27"/>
        <v>18634004.660895668</v>
      </c>
      <c r="AM3">
        <f t="shared" si="28"/>
        <v>3493875.873917941</v>
      </c>
      <c r="AN3">
        <f t="shared" si="29"/>
        <v>0</v>
      </c>
      <c r="AO3">
        <f t="shared" si="30"/>
        <v>0</v>
      </c>
      <c r="AP3">
        <f t="shared" si="31"/>
        <v>201108075.03554946</v>
      </c>
      <c r="AQ3">
        <f t="shared" si="32"/>
        <v>37707764.069165528</v>
      </c>
      <c r="AR3">
        <f t="shared" si="33"/>
        <v>14993848.865481103</v>
      </c>
      <c r="AS3">
        <f t="shared" si="34"/>
        <v>0</v>
      </c>
      <c r="AT3">
        <f t="shared" si="35"/>
        <v>0</v>
      </c>
      <c r="AU3">
        <f t="shared" si="36"/>
        <v>0</v>
      </c>
    </row>
    <row r="4" spans="1:47" x14ac:dyDescent="0.2">
      <c r="A4">
        <v>3</v>
      </c>
      <c r="B4">
        <f>PoolStates_V2!B4</f>
        <v>0</v>
      </c>
      <c r="C4">
        <f>PoolStates_V2!S4</f>
        <v>1091525.7960539896</v>
      </c>
      <c r="D4">
        <f>PoolStates_V2!T4</f>
        <v>20348815.37719341</v>
      </c>
      <c r="E4">
        <f>PoolStates_V2!Q4</f>
        <v>3469.7990430153395</v>
      </c>
      <c r="F4">
        <f t="shared" si="37"/>
        <v>201108075.03554946</v>
      </c>
      <c r="G4">
        <f t="shared" si="38"/>
        <v>37707764.069165528</v>
      </c>
      <c r="H4">
        <f t="shared" si="39"/>
        <v>14993848.865481103</v>
      </c>
      <c r="I4">
        <f t="shared" si="0"/>
        <v>3469.7990430153395</v>
      </c>
      <c r="J4">
        <f t="shared" si="1"/>
        <v>0</v>
      </c>
      <c r="K4">
        <f t="shared" si="2"/>
        <v>0</v>
      </c>
      <c r="L4">
        <f t="shared" si="3"/>
        <v>0</v>
      </c>
      <c r="M4">
        <f t="shared" si="4"/>
        <v>201108075.03554946</v>
      </c>
      <c r="N4">
        <f t="shared" si="5"/>
        <v>37707764.069165528</v>
      </c>
      <c r="O4">
        <f t="shared" si="6"/>
        <v>14990379.066438088</v>
      </c>
      <c r="P4">
        <f>M4*Inputs!B6/12</f>
        <v>963642.85954534123</v>
      </c>
      <c r="Q4">
        <f t="shared" si="7"/>
        <v>963642.85954534123</v>
      </c>
      <c r="R4">
        <f>N4*Inputs!B6/12</f>
        <v>180683.03616475151</v>
      </c>
      <c r="S4">
        <f t="shared" si="8"/>
        <v>127882.93650864833</v>
      </c>
      <c r="T4">
        <f t="shared" si="9"/>
        <v>0</v>
      </c>
      <c r="U4">
        <f t="shared" si="10"/>
        <v>0</v>
      </c>
      <c r="V4">
        <f t="shared" si="11"/>
        <v>0</v>
      </c>
      <c r="W4">
        <f t="shared" si="12"/>
        <v>20348815.37719341</v>
      </c>
      <c r="X4">
        <f t="shared" si="13"/>
        <v>238815839.10471499</v>
      </c>
      <c r="Y4">
        <f t="shared" si="14"/>
        <v>17135844.528162871</v>
      </c>
      <c r="Z4">
        <f t="shared" si="15"/>
        <v>3212970.8490305394</v>
      </c>
      <c r="AA4">
        <f t="shared" si="16"/>
        <v>17135844.528162871</v>
      </c>
      <c r="AB4">
        <f t="shared" si="17"/>
        <v>3212970.8490305394</v>
      </c>
      <c r="AC4">
        <f t="shared" si="18"/>
        <v>0</v>
      </c>
      <c r="AD4">
        <f t="shared" si="19"/>
        <v>0</v>
      </c>
      <c r="AE4">
        <f t="shared" si="20"/>
        <v>0</v>
      </c>
      <c r="AF4">
        <f t="shared" si="21"/>
        <v>0</v>
      </c>
      <c r="AG4">
        <f t="shared" si="22"/>
        <v>0</v>
      </c>
      <c r="AH4">
        <f t="shared" si="23"/>
        <v>0</v>
      </c>
      <c r="AI4">
        <f t="shared" si="24"/>
        <v>20348815.37719341</v>
      </c>
      <c r="AJ4">
        <f t="shared" si="25"/>
        <v>0</v>
      </c>
      <c r="AK4">
        <f t="shared" si="26"/>
        <v>0</v>
      </c>
      <c r="AL4">
        <f t="shared" si="27"/>
        <v>17135844.528162871</v>
      </c>
      <c r="AM4">
        <f t="shared" si="28"/>
        <v>3212970.8490305394</v>
      </c>
      <c r="AN4">
        <f t="shared" si="29"/>
        <v>0</v>
      </c>
      <c r="AO4">
        <f t="shared" si="30"/>
        <v>0</v>
      </c>
      <c r="AP4">
        <f t="shared" si="31"/>
        <v>183972230.5073866</v>
      </c>
      <c r="AQ4">
        <f t="shared" si="32"/>
        <v>34494793.220134988</v>
      </c>
      <c r="AR4">
        <f t="shared" si="33"/>
        <v>14990379.066438088</v>
      </c>
      <c r="AS4">
        <f t="shared" si="34"/>
        <v>0</v>
      </c>
      <c r="AT4">
        <f t="shared" si="35"/>
        <v>0</v>
      </c>
      <c r="AU4">
        <f t="shared" si="36"/>
        <v>0</v>
      </c>
    </row>
    <row r="5" spans="1:47" x14ac:dyDescent="0.2">
      <c r="A5">
        <v>4</v>
      </c>
      <c r="B5">
        <f>PoolStates_V2!B5</f>
        <v>0</v>
      </c>
      <c r="C5">
        <f>PoolStates_V2!S5</f>
        <v>1003439.6409826368</v>
      </c>
      <c r="D5">
        <f>PoolStates_V2!T5</f>
        <v>18710729.38919038</v>
      </c>
      <c r="E5">
        <f>PoolStates_V2!Q5</f>
        <v>3561.345271988283</v>
      </c>
      <c r="F5">
        <f t="shared" si="37"/>
        <v>183972230.5073866</v>
      </c>
      <c r="G5">
        <f t="shared" si="38"/>
        <v>34494793.220134988</v>
      </c>
      <c r="H5">
        <f t="shared" si="39"/>
        <v>14990379.066438088</v>
      </c>
      <c r="I5">
        <f t="shared" si="0"/>
        <v>3561.345271988283</v>
      </c>
      <c r="J5">
        <f t="shared" si="1"/>
        <v>0</v>
      </c>
      <c r="K5">
        <f t="shared" si="2"/>
        <v>0</v>
      </c>
      <c r="L5">
        <f t="shared" si="3"/>
        <v>0</v>
      </c>
      <c r="M5">
        <f t="shared" si="4"/>
        <v>183972230.5073866</v>
      </c>
      <c r="N5">
        <f t="shared" si="5"/>
        <v>34494793.220134988</v>
      </c>
      <c r="O5">
        <f t="shared" si="6"/>
        <v>14986817.7211661</v>
      </c>
      <c r="P5">
        <f>M5*Inputs!B6/12</f>
        <v>881533.60451456078</v>
      </c>
      <c r="Q5">
        <f t="shared" si="7"/>
        <v>881533.60451456078</v>
      </c>
      <c r="R5">
        <f>N5*Inputs!B6/12</f>
        <v>165287.55084648015</v>
      </c>
      <c r="S5">
        <f t="shared" si="8"/>
        <v>121906.03646807605</v>
      </c>
      <c r="T5">
        <f t="shared" si="9"/>
        <v>0</v>
      </c>
      <c r="U5">
        <f t="shared" si="10"/>
        <v>0</v>
      </c>
      <c r="V5">
        <f t="shared" si="11"/>
        <v>0</v>
      </c>
      <c r="W5">
        <f t="shared" si="12"/>
        <v>18710729.38919038</v>
      </c>
      <c r="X5">
        <f t="shared" si="13"/>
        <v>218467023.7275216</v>
      </c>
      <c r="Y5">
        <f t="shared" si="14"/>
        <v>15756403.696160318</v>
      </c>
      <c r="Z5">
        <f t="shared" si="15"/>
        <v>2954325.6930300612</v>
      </c>
      <c r="AA5">
        <f t="shared" si="16"/>
        <v>15756403.696160318</v>
      </c>
      <c r="AB5">
        <f t="shared" si="17"/>
        <v>2954325.6930300612</v>
      </c>
      <c r="AC5">
        <f t="shared" si="18"/>
        <v>0</v>
      </c>
      <c r="AD5">
        <f t="shared" si="19"/>
        <v>0</v>
      </c>
      <c r="AE5">
        <f t="shared" si="20"/>
        <v>0</v>
      </c>
      <c r="AF5">
        <f t="shared" si="21"/>
        <v>0</v>
      </c>
      <c r="AG5">
        <f t="shared" si="22"/>
        <v>0</v>
      </c>
      <c r="AH5">
        <f t="shared" si="23"/>
        <v>0</v>
      </c>
      <c r="AI5">
        <f t="shared" si="24"/>
        <v>18710729.38919038</v>
      </c>
      <c r="AJ5">
        <f t="shared" si="25"/>
        <v>0</v>
      </c>
      <c r="AK5">
        <f t="shared" si="26"/>
        <v>0</v>
      </c>
      <c r="AL5">
        <f t="shared" si="27"/>
        <v>15756403.696160318</v>
      </c>
      <c r="AM5">
        <f t="shared" si="28"/>
        <v>2954325.6930300612</v>
      </c>
      <c r="AN5">
        <f t="shared" si="29"/>
        <v>0</v>
      </c>
      <c r="AO5">
        <f t="shared" si="30"/>
        <v>0</v>
      </c>
      <c r="AP5">
        <f t="shared" si="31"/>
        <v>168215826.81122628</v>
      </c>
      <c r="AQ5">
        <f t="shared" si="32"/>
        <v>31540467.527104929</v>
      </c>
      <c r="AR5">
        <f t="shared" si="33"/>
        <v>14986817.7211661</v>
      </c>
      <c r="AS5">
        <f t="shared" si="34"/>
        <v>0</v>
      </c>
      <c r="AT5">
        <f t="shared" si="35"/>
        <v>0</v>
      </c>
      <c r="AU5">
        <f t="shared" si="36"/>
        <v>0</v>
      </c>
    </row>
    <row r="6" spans="1:47" x14ac:dyDescent="0.2">
      <c r="A6">
        <v>5</v>
      </c>
      <c r="B6">
        <f>PoolStates_V2!B6</f>
        <v>0</v>
      </c>
      <c r="C6">
        <f>PoolStates_V2!S6</f>
        <v>922436.00588718418</v>
      </c>
      <c r="D6">
        <f>PoolStates_V2!T6</f>
        <v>17204016.318395328</v>
      </c>
      <c r="E6">
        <f>PoolStates_V2!Q6</f>
        <v>3579.4677887942394</v>
      </c>
      <c r="F6">
        <f t="shared" si="37"/>
        <v>168215826.81122628</v>
      </c>
      <c r="G6">
        <f t="shared" si="38"/>
        <v>31540467.527104929</v>
      </c>
      <c r="H6">
        <f t="shared" si="39"/>
        <v>14986817.7211661</v>
      </c>
      <c r="I6">
        <f t="shared" si="0"/>
        <v>3579.4677887942394</v>
      </c>
      <c r="J6">
        <f t="shared" si="1"/>
        <v>0</v>
      </c>
      <c r="K6">
        <f t="shared" si="2"/>
        <v>0</v>
      </c>
      <c r="L6">
        <f t="shared" si="3"/>
        <v>0</v>
      </c>
      <c r="M6">
        <f t="shared" si="4"/>
        <v>168215826.81122628</v>
      </c>
      <c r="N6">
        <f t="shared" si="5"/>
        <v>31540467.527104929</v>
      </c>
      <c r="O6">
        <f t="shared" si="6"/>
        <v>14983238.253377305</v>
      </c>
      <c r="P6">
        <f>M6*Inputs!B6/12</f>
        <v>806034.170137126</v>
      </c>
      <c r="Q6">
        <f t="shared" si="7"/>
        <v>806034.170137126</v>
      </c>
      <c r="R6">
        <f>N6*Inputs!B6/12</f>
        <v>151131.40690071112</v>
      </c>
      <c r="S6">
        <f t="shared" si="8"/>
        <v>116401.83575005818</v>
      </c>
      <c r="T6">
        <f t="shared" si="9"/>
        <v>0</v>
      </c>
      <c r="U6">
        <f t="shared" si="10"/>
        <v>0</v>
      </c>
      <c r="V6">
        <f t="shared" si="11"/>
        <v>0</v>
      </c>
      <c r="W6">
        <f t="shared" si="12"/>
        <v>17204016.318395328</v>
      </c>
      <c r="X6">
        <f t="shared" si="13"/>
        <v>199756294.33833122</v>
      </c>
      <c r="Y6">
        <f t="shared" si="14"/>
        <v>14487592.689175012</v>
      </c>
      <c r="Z6">
        <f t="shared" si="15"/>
        <v>2716423.6292203162</v>
      </c>
      <c r="AA6">
        <f t="shared" si="16"/>
        <v>14487592.689175012</v>
      </c>
      <c r="AB6">
        <f t="shared" si="17"/>
        <v>2716423.6292203162</v>
      </c>
      <c r="AC6">
        <f t="shared" si="18"/>
        <v>0</v>
      </c>
      <c r="AD6">
        <f t="shared" si="19"/>
        <v>0</v>
      </c>
      <c r="AE6">
        <f t="shared" si="20"/>
        <v>0</v>
      </c>
      <c r="AF6">
        <f t="shared" si="21"/>
        <v>0</v>
      </c>
      <c r="AG6">
        <f t="shared" si="22"/>
        <v>0</v>
      </c>
      <c r="AH6">
        <f t="shared" si="23"/>
        <v>0</v>
      </c>
      <c r="AI6">
        <f t="shared" si="24"/>
        <v>17204016.318395328</v>
      </c>
      <c r="AJ6">
        <f t="shared" si="25"/>
        <v>0</v>
      </c>
      <c r="AK6">
        <f t="shared" si="26"/>
        <v>0</v>
      </c>
      <c r="AL6">
        <f t="shared" si="27"/>
        <v>14487592.689175012</v>
      </c>
      <c r="AM6">
        <f t="shared" si="28"/>
        <v>2716423.6292203162</v>
      </c>
      <c r="AN6">
        <f t="shared" si="29"/>
        <v>0</v>
      </c>
      <c r="AO6">
        <f t="shared" si="30"/>
        <v>0</v>
      </c>
      <c r="AP6">
        <f t="shared" si="31"/>
        <v>153728234.12205127</v>
      </c>
      <c r="AQ6">
        <f t="shared" si="32"/>
        <v>28824043.897884615</v>
      </c>
      <c r="AR6">
        <f t="shared" si="33"/>
        <v>14983238.253377305</v>
      </c>
      <c r="AS6">
        <f t="shared" si="34"/>
        <v>0</v>
      </c>
      <c r="AT6">
        <f t="shared" si="35"/>
        <v>0</v>
      </c>
      <c r="AU6">
        <f t="shared" si="36"/>
        <v>0</v>
      </c>
    </row>
    <row r="7" spans="1:47" x14ac:dyDescent="0.2">
      <c r="A7">
        <v>6</v>
      </c>
      <c r="B7">
        <f>PoolStates_V2!B7</f>
        <v>0</v>
      </c>
      <c r="C7">
        <f>PoolStates_V2!S7</f>
        <v>847986.19237413933</v>
      </c>
      <c r="D7">
        <f>PoolStates_V2!T7</f>
        <v>15818871.885582123</v>
      </c>
      <c r="E7">
        <f>PoolStates_V2!Q7</f>
        <v>3547.4547722601164</v>
      </c>
      <c r="F7">
        <f t="shared" si="37"/>
        <v>153728234.12205127</v>
      </c>
      <c r="G7">
        <f t="shared" si="38"/>
        <v>28824043.897884615</v>
      </c>
      <c r="H7">
        <f t="shared" si="39"/>
        <v>14983238.253377305</v>
      </c>
      <c r="I7">
        <f t="shared" si="0"/>
        <v>3547.4547722601164</v>
      </c>
      <c r="J7">
        <f t="shared" si="1"/>
        <v>0</v>
      </c>
      <c r="K7">
        <f t="shared" si="2"/>
        <v>0</v>
      </c>
      <c r="L7">
        <f t="shared" si="3"/>
        <v>0</v>
      </c>
      <c r="M7">
        <f t="shared" si="4"/>
        <v>153728234.12205127</v>
      </c>
      <c r="N7">
        <f t="shared" si="5"/>
        <v>28824043.897884615</v>
      </c>
      <c r="O7">
        <f t="shared" si="6"/>
        <v>14979690.798605045</v>
      </c>
      <c r="P7">
        <f>M7*Inputs!B6/12</f>
        <v>736614.45516816236</v>
      </c>
      <c r="Q7">
        <f t="shared" si="7"/>
        <v>736614.45516816236</v>
      </c>
      <c r="R7">
        <f>N7*Inputs!B6/12</f>
        <v>138115.21034403043</v>
      </c>
      <c r="S7">
        <f t="shared" si="8"/>
        <v>111371.73720597697</v>
      </c>
      <c r="T7">
        <f t="shared" si="9"/>
        <v>0</v>
      </c>
      <c r="U7">
        <f t="shared" si="10"/>
        <v>0</v>
      </c>
      <c r="V7">
        <f t="shared" si="11"/>
        <v>0</v>
      </c>
      <c r="W7">
        <f t="shared" si="12"/>
        <v>15818871.885582123</v>
      </c>
      <c r="X7">
        <f t="shared" si="13"/>
        <v>182552278.01993588</v>
      </c>
      <c r="Y7">
        <f t="shared" si="14"/>
        <v>13321155.272069158</v>
      </c>
      <c r="Z7">
        <f t="shared" si="15"/>
        <v>2497716.6135129649</v>
      </c>
      <c r="AA7">
        <f t="shared" si="16"/>
        <v>13321155.272069158</v>
      </c>
      <c r="AB7">
        <f t="shared" si="17"/>
        <v>2497716.6135129649</v>
      </c>
      <c r="AC7">
        <f t="shared" si="18"/>
        <v>0</v>
      </c>
      <c r="AD7">
        <f t="shared" si="19"/>
        <v>0</v>
      </c>
      <c r="AE7">
        <f t="shared" si="20"/>
        <v>0</v>
      </c>
      <c r="AF7">
        <f t="shared" si="21"/>
        <v>0</v>
      </c>
      <c r="AG7">
        <f t="shared" si="22"/>
        <v>0</v>
      </c>
      <c r="AH7">
        <f t="shared" si="23"/>
        <v>0</v>
      </c>
      <c r="AI7">
        <f t="shared" si="24"/>
        <v>15818871.885582123</v>
      </c>
      <c r="AJ7">
        <f t="shared" si="25"/>
        <v>0</v>
      </c>
      <c r="AK7">
        <f t="shared" si="26"/>
        <v>0</v>
      </c>
      <c r="AL7">
        <f t="shared" si="27"/>
        <v>13321155.272069158</v>
      </c>
      <c r="AM7">
        <f t="shared" si="28"/>
        <v>2497716.6135129649</v>
      </c>
      <c r="AN7">
        <f t="shared" si="29"/>
        <v>0</v>
      </c>
      <c r="AO7">
        <f t="shared" si="30"/>
        <v>0</v>
      </c>
      <c r="AP7">
        <f t="shared" si="31"/>
        <v>140407078.84998211</v>
      </c>
      <c r="AQ7">
        <f t="shared" si="32"/>
        <v>26326327.284371652</v>
      </c>
      <c r="AR7">
        <f t="shared" si="33"/>
        <v>14979690.798605045</v>
      </c>
      <c r="AS7">
        <f t="shared" si="34"/>
        <v>0</v>
      </c>
      <c r="AT7">
        <f t="shared" si="35"/>
        <v>0</v>
      </c>
      <c r="AU7">
        <f t="shared" si="36"/>
        <v>0</v>
      </c>
    </row>
    <row r="8" spans="1:47" x14ac:dyDescent="0.2">
      <c r="A8">
        <v>7</v>
      </c>
      <c r="B8">
        <f>PoolStates_V2!B8</f>
        <v>0</v>
      </c>
      <c r="C8">
        <f>PoolStates_V2!S8</f>
        <v>779577.20740153687</v>
      </c>
      <c r="D8">
        <f>PoolStates_V2!T8</f>
        <v>14545799.046398303</v>
      </c>
      <c r="E8">
        <f>PoolStates_V2!Q8</f>
        <v>3480.2068407497331</v>
      </c>
      <c r="F8">
        <f t="shared" si="37"/>
        <v>140407078.84998211</v>
      </c>
      <c r="G8">
        <f t="shared" si="38"/>
        <v>26326327.284371652</v>
      </c>
      <c r="H8">
        <f t="shared" si="39"/>
        <v>14979690.798605045</v>
      </c>
      <c r="I8">
        <f t="shared" si="0"/>
        <v>3480.2068407497331</v>
      </c>
      <c r="J8">
        <f t="shared" si="1"/>
        <v>0</v>
      </c>
      <c r="K8">
        <f t="shared" si="2"/>
        <v>0</v>
      </c>
      <c r="L8">
        <f t="shared" si="3"/>
        <v>0</v>
      </c>
      <c r="M8">
        <f t="shared" si="4"/>
        <v>140407078.84998211</v>
      </c>
      <c r="N8">
        <f t="shared" si="5"/>
        <v>26326327.284371652</v>
      </c>
      <c r="O8">
        <f t="shared" si="6"/>
        <v>14976210.591764295</v>
      </c>
      <c r="P8">
        <f>M8*Inputs!B6/12</f>
        <v>672783.91948949767</v>
      </c>
      <c r="Q8">
        <f t="shared" si="7"/>
        <v>672783.91948949767</v>
      </c>
      <c r="R8">
        <f>N8*Inputs!B6/12</f>
        <v>126146.98490428085</v>
      </c>
      <c r="S8">
        <f t="shared" si="8"/>
        <v>106793.2879120392</v>
      </c>
      <c r="T8">
        <f t="shared" si="9"/>
        <v>0</v>
      </c>
      <c r="U8">
        <f t="shared" si="10"/>
        <v>0</v>
      </c>
      <c r="V8">
        <f t="shared" si="11"/>
        <v>0</v>
      </c>
      <c r="W8">
        <f t="shared" si="12"/>
        <v>14545799.046398303</v>
      </c>
      <c r="X8">
        <f t="shared" si="13"/>
        <v>166733406.13435376</v>
      </c>
      <c r="Y8">
        <f t="shared" si="14"/>
        <v>12249093.933809098</v>
      </c>
      <c r="Z8">
        <f t="shared" si="15"/>
        <v>2296705.1125892047</v>
      </c>
      <c r="AA8">
        <f t="shared" si="16"/>
        <v>12249093.933809098</v>
      </c>
      <c r="AB8">
        <f t="shared" si="17"/>
        <v>2296705.1125892047</v>
      </c>
      <c r="AC8">
        <f t="shared" si="18"/>
        <v>0</v>
      </c>
      <c r="AD8">
        <f t="shared" si="19"/>
        <v>0</v>
      </c>
      <c r="AE8">
        <f t="shared" si="20"/>
        <v>0</v>
      </c>
      <c r="AF8">
        <f t="shared" si="21"/>
        <v>0</v>
      </c>
      <c r="AG8">
        <f t="shared" si="22"/>
        <v>0</v>
      </c>
      <c r="AH8">
        <f t="shared" si="23"/>
        <v>0</v>
      </c>
      <c r="AI8">
        <f t="shared" si="24"/>
        <v>14545799.046398303</v>
      </c>
      <c r="AJ8">
        <f t="shared" si="25"/>
        <v>0</v>
      </c>
      <c r="AK8">
        <f t="shared" si="26"/>
        <v>0</v>
      </c>
      <c r="AL8">
        <f t="shared" si="27"/>
        <v>12249093.933809098</v>
      </c>
      <c r="AM8">
        <f t="shared" si="28"/>
        <v>2296705.1125892047</v>
      </c>
      <c r="AN8">
        <f t="shared" si="29"/>
        <v>0</v>
      </c>
      <c r="AO8">
        <f t="shared" si="30"/>
        <v>0</v>
      </c>
      <c r="AP8">
        <f t="shared" si="31"/>
        <v>128157984.91617301</v>
      </c>
      <c r="AQ8">
        <f t="shared" si="32"/>
        <v>24029622.171782449</v>
      </c>
      <c r="AR8">
        <f t="shared" si="33"/>
        <v>14976210.591764295</v>
      </c>
      <c r="AS8">
        <f t="shared" si="34"/>
        <v>0</v>
      </c>
      <c r="AT8">
        <f t="shared" si="35"/>
        <v>0</v>
      </c>
      <c r="AU8">
        <f t="shared" si="36"/>
        <v>0</v>
      </c>
    </row>
    <row r="9" spans="1:47" x14ac:dyDescent="0.2">
      <c r="A9">
        <v>8</v>
      </c>
      <c r="B9">
        <f>PoolStates_V2!B9</f>
        <v>0</v>
      </c>
      <c r="C9">
        <f>PoolStates_V2!S9</f>
        <v>716724.5201398069</v>
      </c>
      <c r="D9">
        <f>PoolStates_V2!T9</f>
        <v>13375833.533338971</v>
      </c>
      <c r="E9">
        <f>PoolStates_V2!Q9</f>
        <v>3387.8117293946152</v>
      </c>
      <c r="F9">
        <f t="shared" si="37"/>
        <v>128157984.91617301</v>
      </c>
      <c r="G9">
        <f t="shared" si="38"/>
        <v>24029622.171782449</v>
      </c>
      <c r="H9">
        <f t="shared" si="39"/>
        <v>14976210.591764295</v>
      </c>
      <c r="I9">
        <f t="shared" si="0"/>
        <v>3387.8117293946152</v>
      </c>
      <c r="J9">
        <f t="shared" si="1"/>
        <v>0</v>
      </c>
      <c r="K9">
        <f t="shared" si="2"/>
        <v>0</v>
      </c>
      <c r="L9">
        <f t="shared" si="3"/>
        <v>0</v>
      </c>
      <c r="M9">
        <f t="shared" si="4"/>
        <v>128157984.91617301</v>
      </c>
      <c r="N9">
        <f t="shared" si="5"/>
        <v>24029622.171782449</v>
      </c>
      <c r="O9">
        <f t="shared" si="6"/>
        <v>14972822.780034902</v>
      </c>
      <c r="P9">
        <f>M9*Inputs!B6/12</f>
        <v>614090.34438999568</v>
      </c>
      <c r="Q9">
        <f t="shared" si="7"/>
        <v>614090.34438999568</v>
      </c>
      <c r="R9">
        <f>N9*Inputs!B6/12</f>
        <v>115141.93957312424</v>
      </c>
      <c r="S9">
        <f t="shared" si="8"/>
        <v>102634.17574981123</v>
      </c>
      <c r="T9">
        <f t="shared" si="9"/>
        <v>0</v>
      </c>
      <c r="U9">
        <f t="shared" si="10"/>
        <v>0</v>
      </c>
      <c r="V9">
        <f t="shared" si="11"/>
        <v>0</v>
      </c>
      <c r="W9">
        <f t="shared" si="12"/>
        <v>13375833.533338971</v>
      </c>
      <c r="X9">
        <f t="shared" si="13"/>
        <v>152187607.08795547</v>
      </c>
      <c r="Y9">
        <f t="shared" si="14"/>
        <v>11263859.817548605</v>
      </c>
      <c r="Z9">
        <f t="shared" si="15"/>
        <v>2111973.7157903668</v>
      </c>
      <c r="AA9">
        <f t="shared" si="16"/>
        <v>11263859.817548605</v>
      </c>
      <c r="AB9">
        <f t="shared" si="17"/>
        <v>2111973.7157903668</v>
      </c>
      <c r="AC9">
        <f t="shared" si="18"/>
        <v>0</v>
      </c>
      <c r="AD9">
        <f t="shared" si="19"/>
        <v>0</v>
      </c>
      <c r="AE9">
        <f t="shared" si="20"/>
        <v>0</v>
      </c>
      <c r="AF9">
        <f t="shared" si="21"/>
        <v>0</v>
      </c>
      <c r="AG9">
        <f t="shared" si="22"/>
        <v>0</v>
      </c>
      <c r="AH9">
        <f t="shared" si="23"/>
        <v>0</v>
      </c>
      <c r="AI9">
        <f t="shared" si="24"/>
        <v>13375833.533338971</v>
      </c>
      <c r="AJ9">
        <f t="shared" si="25"/>
        <v>0</v>
      </c>
      <c r="AK9">
        <f t="shared" si="26"/>
        <v>0</v>
      </c>
      <c r="AL9">
        <f t="shared" si="27"/>
        <v>11263859.817548605</v>
      </c>
      <c r="AM9">
        <f t="shared" si="28"/>
        <v>2111973.7157903668</v>
      </c>
      <c r="AN9">
        <f t="shared" si="29"/>
        <v>0</v>
      </c>
      <c r="AO9">
        <f t="shared" si="30"/>
        <v>0</v>
      </c>
      <c r="AP9">
        <f t="shared" si="31"/>
        <v>116894125.09862441</v>
      </c>
      <c r="AQ9">
        <f t="shared" si="32"/>
        <v>21917648.45599208</v>
      </c>
      <c r="AR9">
        <f t="shared" si="33"/>
        <v>14972822.780034902</v>
      </c>
      <c r="AS9">
        <f t="shared" si="34"/>
        <v>0</v>
      </c>
      <c r="AT9">
        <f t="shared" si="35"/>
        <v>0</v>
      </c>
      <c r="AU9">
        <f t="shared" si="36"/>
        <v>0</v>
      </c>
    </row>
    <row r="10" spans="1:47" x14ac:dyDescent="0.2">
      <c r="A10">
        <v>9</v>
      </c>
      <c r="B10">
        <f>PoolStates_V2!B10</f>
        <v>0</v>
      </c>
      <c r="C10">
        <f>PoolStates_V2!S10</f>
        <v>658976.87454086274</v>
      </c>
      <c r="D10">
        <f>PoolStates_V2!T10</f>
        <v>12300627.917450678</v>
      </c>
      <c r="E10">
        <f>PoolStates_V2!Q10</f>
        <v>3277.463979327998</v>
      </c>
      <c r="F10">
        <f t="shared" si="37"/>
        <v>116894125.09862441</v>
      </c>
      <c r="G10">
        <f t="shared" si="38"/>
        <v>21917648.45599208</v>
      </c>
      <c r="H10">
        <f t="shared" si="39"/>
        <v>14972822.780034902</v>
      </c>
      <c r="I10">
        <f t="shared" si="0"/>
        <v>3277.463979327998</v>
      </c>
      <c r="J10">
        <f t="shared" si="1"/>
        <v>0</v>
      </c>
      <c r="K10">
        <f t="shared" si="2"/>
        <v>0</v>
      </c>
      <c r="L10">
        <f t="shared" si="3"/>
        <v>0</v>
      </c>
      <c r="M10">
        <f t="shared" si="4"/>
        <v>116894125.09862441</v>
      </c>
      <c r="N10">
        <f t="shared" si="5"/>
        <v>21917648.45599208</v>
      </c>
      <c r="O10">
        <f t="shared" si="6"/>
        <v>14969545.316055574</v>
      </c>
      <c r="P10">
        <f>M10*Inputs!B6/12</f>
        <v>560117.68276424205</v>
      </c>
      <c r="Q10">
        <f t="shared" si="7"/>
        <v>560117.68276424205</v>
      </c>
      <c r="R10">
        <f>N10*Inputs!B6/12</f>
        <v>105022.06551829539</v>
      </c>
      <c r="S10">
        <f t="shared" si="8"/>
        <v>98859.19177662069</v>
      </c>
      <c r="T10">
        <f t="shared" si="9"/>
        <v>0</v>
      </c>
      <c r="U10">
        <f t="shared" si="10"/>
        <v>0</v>
      </c>
      <c r="V10">
        <f t="shared" si="11"/>
        <v>0</v>
      </c>
      <c r="W10">
        <f t="shared" si="12"/>
        <v>12300627.917450678</v>
      </c>
      <c r="X10">
        <f t="shared" si="13"/>
        <v>138811773.55461648</v>
      </c>
      <c r="Y10">
        <f t="shared" si="14"/>
        <v>10358423.50943215</v>
      </c>
      <c r="Z10">
        <f t="shared" si="15"/>
        <v>1942204.4080185276</v>
      </c>
      <c r="AA10">
        <f t="shared" si="16"/>
        <v>10358423.50943215</v>
      </c>
      <c r="AB10">
        <f t="shared" si="17"/>
        <v>1942204.4080185276</v>
      </c>
      <c r="AC10">
        <f t="shared" si="18"/>
        <v>0</v>
      </c>
      <c r="AD10">
        <f t="shared" si="19"/>
        <v>0</v>
      </c>
      <c r="AE10">
        <f t="shared" si="20"/>
        <v>0</v>
      </c>
      <c r="AF10">
        <f t="shared" si="21"/>
        <v>0</v>
      </c>
      <c r="AG10">
        <f t="shared" si="22"/>
        <v>0</v>
      </c>
      <c r="AH10">
        <f t="shared" si="23"/>
        <v>0</v>
      </c>
      <c r="AI10">
        <f t="shared" si="24"/>
        <v>12300627.917450678</v>
      </c>
      <c r="AJ10">
        <f t="shared" si="25"/>
        <v>0</v>
      </c>
      <c r="AK10">
        <f t="shared" si="26"/>
        <v>0</v>
      </c>
      <c r="AL10">
        <f t="shared" si="27"/>
        <v>10358423.50943215</v>
      </c>
      <c r="AM10">
        <f t="shared" si="28"/>
        <v>1942204.4080185276</v>
      </c>
      <c r="AN10">
        <f t="shared" si="29"/>
        <v>0</v>
      </c>
      <c r="AO10">
        <f t="shared" si="30"/>
        <v>0</v>
      </c>
      <c r="AP10">
        <f t="shared" si="31"/>
        <v>106535701.58919226</v>
      </c>
      <c r="AQ10">
        <f t="shared" si="32"/>
        <v>19975444.047973551</v>
      </c>
      <c r="AR10">
        <f t="shared" si="33"/>
        <v>14969545.316055574</v>
      </c>
      <c r="AS10">
        <f t="shared" si="34"/>
        <v>0</v>
      </c>
      <c r="AT10">
        <f t="shared" si="35"/>
        <v>0</v>
      </c>
      <c r="AU10">
        <f t="shared" si="36"/>
        <v>0</v>
      </c>
    </row>
    <row r="11" spans="1:47" x14ac:dyDescent="0.2">
      <c r="A11">
        <v>10</v>
      </c>
      <c r="B11">
        <f>PoolStates_V2!B11</f>
        <v>0</v>
      </c>
      <c r="C11">
        <f>PoolStates_V2!S11</f>
        <v>605917.15526859881</v>
      </c>
      <c r="D11">
        <f>PoolStates_V2!T11</f>
        <v>11312465.426754965</v>
      </c>
      <c r="E11">
        <f>PoolStates_V2!Q11</f>
        <v>3154.5183181271909</v>
      </c>
      <c r="F11">
        <f t="shared" si="37"/>
        <v>106535701.58919226</v>
      </c>
      <c r="G11">
        <f t="shared" si="38"/>
        <v>19975444.047973551</v>
      </c>
      <c r="H11">
        <f t="shared" si="39"/>
        <v>14969545.316055574</v>
      </c>
      <c r="I11">
        <f t="shared" si="0"/>
        <v>3154.5183181271909</v>
      </c>
      <c r="J11">
        <f t="shared" si="1"/>
        <v>0</v>
      </c>
      <c r="K11">
        <f t="shared" si="2"/>
        <v>0</v>
      </c>
      <c r="L11">
        <f t="shared" si="3"/>
        <v>0</v>
      </c>
      <c r="M11">
        <f t="shared" si="4"/>
        <v>106535701.58919226</v>
      </c>
      <c r="N11">
        <f t="shared" si="5"/>
        <v>19975444.047973551</v>
      </c>
      <c r="O11">
        <f t="shared" si="6"/>
        <v>14966390.797737446</v>
      </c>
      <c r="P11">
        <f>M11*Inputs!B6/12</f>
        <v>510483.57011487958</v>
      </c>
      <c r="Q11">
        <f t="shared" si="7"/>
        <v>510483.57011487958</v>
      </c>
      <c r="R11">
        <f>N11*Inputs!B6/12</f>
        <v>95715.669396539932</v>
      </c>
      <c r="S11">
        <f t="shared" si="8"/>
        <v>95433.585153719236</v>
      </c>
      <c r="T11">
        <f t="shared" si="9"/>
        <v>0</v>
      </c>
      <c r="U11">
        <f t="shared" si="10"/>
        <v>0</v>
      </c>
      <c r="V11">
        <f t="shared" si="11"/>
        <v>0</v>
      </c>
      <c r="W11">
        <f t="shared" si="12"/>
        <v>11312465.426754965</v>
      </c>
      <c r="X11">
        <f t="shared" si="13"/>
        <v>126511145.63716581</v>
      </c>
      <c r="Y11">
        <f t="shared" si="14"/>
        <v>9526286.6751620751</v>
      </c>
      <c r="Z11">
        <f t="shared" si="15"/>
        <v>1786178.7515928894</v>
      </c>
      <c r="AA11">
        <f t="shared" si="16"/>
        <v>9526286.6751620751</v>
      </c>
      <c r="AB11">
        <f t="shared" si="17"/>
        <v>1786178.7515928894</v>
      </c>
      <c r="AC11">
        <f t="shared" si="18"/>
        <v>0</v>
      </c>
      <c r="AD11">
        <f t="shared" si="19"/>
        <v>0</v>
      </c>
      <c r="AE11">
        <f t="shared" si="20"/>
        <v>0</v>
      </c>
      <c r="AF11">
        <f t="shared" si="21"/>
        <v>0</v>
      </c>
      <c r="AG11">
        <f t="shared" si="22"/>
        <v>0</v>
      </c>
      <c r="AH11">
        <f t="shared" si="23"/>
        <v>0</v>
      </c>
      <c r="AI11">
        <f t="shared" si="24"/>
        <v>11312465.426754965</v>
      </c>
      <c r="AJ11">
        <f t="shared" si="25"/>
        <v>0</v>
      </c>
      <c r="AK11">
        <f t="shared" si="26"/>
        <v>0</v>
      </c>
      <c r="AL11">
        <f t="shared" si="27"/>
        <v>9526286.6751620751</v>
      </c>
      <c r="AM11">
        <f t="shared" si="28"/>
        <v>1786178.7515928894</v>
      </c>
      <c r="AN11">
        <f t="shared" si="29"/>
        <v>0</v>
      </c>
      <c r="AO11">
        <f t="shared" si="30"/>
        <v>0</v>
      </c>
      <c r="AP11">
        <f t="shared" si="31"/>
        <v>97009414.914030179</v>
      </c>
      <c r="AQ11">
        <f t="shared" si="32"/>
        <v>18189265.296380661</v>
      </c>
      <c r="AR11">
        <f t="shared" si="33"/>
        <v>14966390.797737446</v>
      </c>
      <c r="AS11">
        <f t="shared" si="34"/>
        <v>0</v>
      </c>
      <c r="AT11">
        <f t="shared" si="35"/>
        <v>0</v>
      </c>
      <c r="AU11">
        <f t="shared" si="36"/>
        <v>0</v>
      </c>
    </row>
    <row r="12" spans="1:47" x14ac:dyDescent="0.2">
      <c r="A12">
        <v>11</v>
      </c>
      <c r="B12">
        <f>PoolStates_V2!B12</f>
        <v>0</v>
      </c>
      <c r="C12">
        <f>PoolStates_V2!S12</f>
        <v>557161.36002652207</v>
      </c>
      <c r="D12">
        <f>PoolStates_V2!T12</f>
        <v>10404240.107505001</v>
      </c>
      <c r="E12">
        <f>PoolStates_V2!Q12</f>
        <v>3023.0862657416783</v>
      </c>
      <c r="F12">
        <f t="shared" si="37"/>
        <v>97009414.914030179</v>
      </c>
      <c r="G12">
        <f t="shared" si="38"/>
        <v>18189265.296380661</v>
      </c>
      <c r="H12">
        <f t="shared" si="39"/>
        <v>14966390.797737446</v>
      </c>
      <c r="I12">
        <f t="shared" si="0"/>
        <v>3023.0862657416783</v>
      </c>
      <c r="J12">
        <f t="shared" si="1"/>
        <v>0</v>
      </c>
      <c r="K12">
        <f t="shared" si="2"/>
        <v>0</v>
      </c>
      <c r="L12">
        <f t="shared" si="3"/>
        <v>0</v>
      </c>
      <c r="M12">
        <f t="shared" si="4"/>
        <v>97009414.914030179</v>
      </c>
      <c r="N12">
        <f t="shared" si="5"/>
        <v>18189265.296380661</v>
      </c>
      <c r="O12">
        <f t="shared" si="6"/>
        <v>14963367.711471705</v>
      </c>
      <c r="P12">
        <f>M12*Inputs!B6/12</f>
        <v>464836.77979639458</v>
      </c>
      <c r="Q12">
        <f t="shared" si="7"/>
        <v>464836.77979639458</v>
      </c>
      <c r="R12">
        <f>N12*Inputs!B6/12</f>
        <v>87156.896211824016</v>
      </c>
      <c r="S12">
        <f t="shared" si="8"/>
        <v>87156.896211824016</v>
      </c>
      <c r="T12">
        <f t="shared" si="9"/>
        <v>5167.6840183034801</v>
      </c>
      <c r="U12">
        <f t="shared" si="10"/>
        <v>0</v>
      </c>
      <c r="V12">
        <f t="shared" si="11"/>
        <v>5167.6840183034801</v>
      </c>
      <c r="W12">
        <f t="shared" si="12"/>
        <v>10404240.107505001</v>
      </c>
      <c r="X12">
        <f t="shared" si="13"/>
        <v>115198680.21041083</v>
      </c>
      <c r="Y12">
        <f t="shared" si="14"/>
        <v>8761465.3536884226</v>
      </c>
      <c r="Z12">
        <f t="shared" si="15"/>
        <v>1642774.7538165785</v>
      </c>
      <c r="AA12">
        <f t="shared" si="16"/>
        <v>8761465.3536884226</v>
      </c>
      <c r="AB12">
        <f t="shared" si="17"/>
        <v>1642774.7538165785</v>
      </c>
      <c r="AC12">
        <f t="shared" si="18"/>
        <v>0</v>
      </c>
      <c r="AD12">
        <f t="shared" si="19"/>
        <v>0</v>
      </c>
      <c r="AE12">
        <f t="shared" si="20"/>
        <v>0</v>
      </c>
      <c r="AF12">
        <f t="shared" si="21"/>
        <v>0</v>
      </c>
      <c r="AG12">
        <f t="shared" si="22"/>
        <v>0</v>
      </c>
      <c r="AH12">
        <f t="shared" si="23"/>
        <v>0</v>
      </c>
      <c r="AI12">
        <f t="shared" si="24"/>
        <v>10404240.107505001</v>
      </c>
      <c r="AJ12">
        <f t="shared" si="25"/>
        <v>0</v>
      </c>
      <c r="AK12">
        <f t="shared" si="26"/>
        <v>0</v>
      </c>
      <c r="AL12">
        <f t="shared" si="27"/>
        <v>8761465.3536884226</v>
      </c>
      <c r="AM12">
        <f t="shared" si="28"/>
        <v>1642774.7538165785</v>
      </c>
      <c r="AN12">
        <f t="shared" si="29"/>
        <v>0</v>
      </c>
      <c r="AO12">
        <f t="shared" si="30"/>
        <v>0</v>
      </c>
      <c r="AP12">
        <f t="shared" si="31"/>
        <v>88247949.560341761</v>
      </c>
      <c r="AQ12">
        <f t="shared" si="32"/>
        <v>16546490.542564083</v>
      </c>
      <c r="AR12">
        <f t="shared" si="33"/>
        <v>14963367.711471705</v>
      </c>
      <c r="AS12">
        <f t="shared" si="34"/>
        <v>0</v>
      </c>
      <c r="AT12">
        <f t="shared" si="35"/>
        <v>0</v>
      </c>
      <c r="AU12">
        <f t="shared" si="36"/>
        <v>0</v>
      </c>
    </row>
    <row r="13" spans="1:47" x14ac:dyDescent="0.2">
      <c r="A13">
        <v>12</v>
      </c>
      <c r="B13">
        <f>PoolStates_V2!B13</f>
        <v>0</v>
      </c>
      <c r="C13">
        <f>PoolStates_V2!S13</f>
        <v>512356.72645045788</v>
      </c>
      <c r="D13">
        <f>PoolStates_V2!T13</f>
        <v>9569422.0069473758</v>
      </c>
      <c r="E13">
        <f>PoolStates_V2!Q13</f>
        <v>2886.3890791916001</v>
      </c>
      <c r="F13">
        <f t="shared" si="37"/>
        <v>88247949.560341761</v>
      </c>
      <c r="G13">
        <f t="shared" si="38"/>
        <v>16546490.542564083</v>
      </c>
      <c r="H13">
        <f t="shared" si="39"/>
        <v>14963367.711471705</v>
      </c>
      <c r="I13">
        <f t="shared" si="0"/>
        <v>2886.3890791916001</v>
      </c>
      <c r="J13">
        <f t="shared" si="1"/>
        <v>0</v>
      </c>
      <c r="K13">
        <f t="shared" si="2"/>
        <v>0</v>
      </c>
      <c r="L13">
        <f t="shared" si="3"/>
        <v>0</v>
      </c>
      <c r="M13">
        <f t="shared" si="4"/>
        <v>88247949.560341761</v>
      </c>
      <c r="N13">
        <f t="shared" si="5"/>
        <v>16546490.542564083</v>
      </c>
      <c r="O13">
        <f t="shared" si="6"/>
        <v>14960481.322392514</v>
      </c>
      <c r="P13">
        <f>M13*Inputs!B6/12</f>
        <v>422854.7583099709</v>
      </c>
      <c r="Q13">
        <f t="shared" si="7"/>
        <v>422854.7583099709</v>
      </c>
      <c r="R13">
        <f>N13*Inputs!B6/12</f>
        <v>79285.267183119562</v>
      </c>
      <c r="S13">
        <f t="shared" si="8"/>
        <v>79285.267183119562</v>
      </c>
      <c r="T13">
        <f t="shared" si="9"/>
        <v>10216.700957367415</v>
      </c>
      <c r="U13">
        <f t="shared" si="10"/>
        <v>0</v>
      </c>
      <c r="V13">
        <f t="shared" si="11"/>
        <v>10216.700957367415</v>
      </c>
      <c r="W13">
        <f t="shared" si="12"/>
        <v>9569422.0069473758</v>
      </c>
      <c r="X13">
        <f t="shared" si="13"/>
        <v>104794440.10290584</v>
      </c>
      <c r="Y13">
        <f t="shared" si="14"/>
        <v>8058460.6374293687</v>
      </c>
      <c r="Z13">
        <f t="shared" si="15"/>
        <v>1510961.3695180072</v>
      </c>
      <c r="AA13">
        <f t="shared" si="16"/>
        <v>8058460.6374293687</v>
      </c>
      <c r="AB13">
        <f t="shared" si="17"/>
        <v>1510961.3695180072</v>
      </c>
      <c r="AC13">
        <f t="shared" si="18"/>
        <v>0</v>
      </c>
      <c r="AD13">
        <f t="shared" si="19"/>
        <v>0</v>
      </c>
      <c r="AE13">
        <f t="shared" si="20"/>
        <v>0</v>
      </c>
      <c r="AF13">
        <f t="shared" si="21"/>
        <v>0</v>
      </c>
      <c r="AG13">
        <f t="shared" si="22"/>
        <v>0</v>
      </c>
      <c r="AH13">
        <f t="shared" si="23"/>
        <v>0</v>
      </c>
      <c r="AI13">
        <f t="shared" si="24"/>
        <v>9569422.0069473758</v>
      </c>
      <c r="AJ13">
        <f t="shared" si="25"/>
        <v>0</v>
      </c>
      <c r="AK13">
        <f t="shared" si="26"/>
        <v>0</v>
      </c>
      <c r="AL13">
        <f t="shared" si="27"/>
        <v>8058460.6374293687</v>
      </c>
      <c r="AM13">
        <f t="shared" si="28"/>
        <v>1510961.3695180072</v>
      </c>
      <c r="AN13">
        <f t="shared" si="29"/>
        <v>0</v>
      </c>
      <c r="AO13">
        <f t="shared" si="30"/>
        <v>0</v>
      </c>
      <c r="AP13">
        <f t="shared" si="31"/>
        <v>80189488.922912389</v>
      </c>
      <c r="AQ13">
        <f t="shared" si="32"/>
        <v>15035529.173046075</v>
      </c>
      <c r="AR13">
        <f t="shared" si="33"/>
        <v>14960481.322392514</v>
      </c>
      <c r="AS13">
        <f t="shared" si="34"/>
        <v>0</v>
      </c>
      <c r="AT13">
        <f t="shared" si="35"/>
        <v>0</v>
      </c>
      <c r="AU13">
        <f t="shared" si="36"/>
        <v>0</v>
      </c>
    </row>
    <row r="14" spans="1:47" x14ac:dyDescent="0.2">
      <c r="A14">
        <v>13</v>
      </c>
      <c r="B14">
        <f>PoolStates_V2!B14</f>
        <v>0</v>
      </c>
      <c r="C14">
        <f>PoolStates_V2!S14</f>
        <v>471179.54310446826</v>
      </c>
      <c r="D14">
        <f>PoolStates_V2!T14</f>
        <v>8802016.8129625786</v>
      </c>
      <c r="E14">
        <f>PoolStates_V2!Q14</f>
        <v>2746.9783295662864</v>
      </c>
      <c r="F14">
        <f t="shared" si="37"/>
        <v>80189488.922912389</v>
      </c>
      <c r="G14">
        <f t="shared" si="38"/>
        <v>15035529.173046075</v>
      </c>
      <c r="H14">
        <f t="shared" si="39"/>
        <v>14960481.322392514</v>
      </c>
      <c r="I14">
        <f t="shared" si="0"/>
        <v>2746.9783295662864</v>
      </c>
      <c r="J14">
        <f t="shared" si="1"/>
        <v>0</v>
      </c>
      <c r="K14">
        <f t="shared" si="2"/>
        <v>0</v>
      </c>
      <c r="L14">
        <f t="shared" si="3"/>
        <v>0</v>
      </c>
      <c r="M14">
        <f t="shared" si="4"/>
        <v>80189488.922912389</v>
      </c>
      <c r="N14">
        <f t="shared" si="5"/>
        <v>15035529.173046075</v>
      </c>
      <c r="O14">
        <f t="shared" si="6"/>
        <v>14957734.344062949</v>
      </c>
      <c r="P14">
        <f>M14*Inputs!B6/12</f>
        <v>384241.3010889552</v>
      </c>
      <c r="Q14">
        <f t="shared" si="7"/>
        <v>384241.3010889552</v>
      </c>
      <c r="R14">
        <f>N14*Inputs!B6/12</f>
        <v>72045.24395417911</v>
      </c>
      <c r="S14">
        <f t="shared" si="8"/>
        <v>72045.24395417911</v>
      </c>
      <c r="T14">
        <f t="shared" si="9"/>
        <v>14892.998061333958</v>
      </c>
      <c r="U14">
        <f t="shared" si="10"/>
        <v>0</v>
      </c>
      <c r="V14">
        <f t="shared" si="11"/>
        <v>14892.998061333958</v>
      </c>
      <c r="W14">
        <f t="shared" si="12"/>
        <v>8802016.8129625786</v>
      </c>
      <c r="X14">
        <f t="shared" si="13"/>
        <v>95225018.095958471</v>
      </c>
      <c r="Y14">
        <f t="shared" si="14"/>
        <v>7412224.6846000655</v>
      </c>
      <c r="Z14">
        <f t="shared" si="15"/>
        <v>1389792.1283625131</v>
      </c>
      <c r="AA14">
        <f t="shared" si="16"/>
        <v>7412224.6846000655</v>
      </c>
      <c r="AB14">
        <f t="shared" si="17"/>
        <v>1389792.1283625131</v>
      </c>
      <c r="AC14">
        <f t="shared" si="18"/>
        <v>0</v>
      </c>
      <c r="AD14">
        <f t="shared" si="19"/>
        <v>0</v>
      </c>
      <c r="AE14">
        <f t="shared" si="20"/>
        <v>0</v>
      </c>
      <c r="AF14">
        <f t="shared" si="21"/>
        <v>0</v>
      </c>
      <c r="AG14">
        <f t="shared" si="22"/>
        <v>0</v>
      </c>
      <c r="AH14">
        <f t="shared" si="23"/>
        <v>0</v>
      </c>
      <c r="AI14">
        <f t="shared" si="24"/>
        <v>8802016.8129625786</v>
      </c>
      <c r="AJ14">
        <f t="shared" si="25"/>
        <v>0</v>
      </c>
      <c r="AK14">
        <f t="shared" si="26"/>
        <v>0</v>
      </c>
      <c r="AL14">
        <f t="shared" si="27"/>
        <v>7412224.6846000655</v>
      </c>
      <c r="AM14">
        <f t="shared" si="28"/>
        <v>1389792.1283625131</v>
      </c>
      <c r="AN14">
        <f t="shared" si="29"/>
        <v>0</v>
      </c>
      <c r="AO14">
        <f t="shared" si="30"/>
        <v>0</v>
      </c>
      <c r="AP14">
        <f t="shared" si="31"/>
        <v>72777264.238312319</v>
      </c>
      <c r="AQ14">
        <f t="shared" si="32"/>
        <v>13645737.044683561</v>
      </c>
      <c r="AR14">
        <f t="shared" si="33"/>
        <v>14957734.344062949</v>
      </c>
      <c r="AS14">
        <f t="shared" si="34"/>
        <v>0</v>
      </c>
      <c r="AT14">
        <f t="shared" si="35"/>
        <v>0</v>
      </c>
      <c r="AU14">
        <f t="shared" si="36"/>
        <v>0</v>
      </c>
    </row>
    <row r="15" spans="1:47" x14ac:dyDescent="0.2">
      <c r="A15">
        <v>14</v>
      </c>
      <c r="B15">
        <f>PoolStates_V2!B15</f>
        <v>0</v>
      </c>
      <c r="C15">
        <f>PoolStates_V2!S15</f>
        <v>433332.90700548486</v>
      </c>
      <c r="D15">
        <f>PoolStates_V2!T15</f>
        <v>8096524.6248471355</v>
      </c>
      <c r="E15">
        <f>PoolStates_V2!Q15</f>
        <v>2606.882570904173</v>
      </c>
      <c r="F15">
        <f t="shared" si="37"/>
        <v>72777264.238312319</v>
      </c>
      <c r="G15">
        <f t="shared" si="38"/>
        <v>13645737.044683561</v>
      </c>
      <c r="H15">
        <f t="shared" si="39"/>
        <v>14957734.344062949</v>
      </c>
      <c r="I15">
        <f t="shared" si="0"/>
        <v>2606.882570904173</v>
      </c>
      <c r="J15">
        <f t="shared" si="1"/>
        <v>0</v>
      </c>
      <c r="K15">
        <f t="shared" si="2"/>
        <v>0</v>
      </c>
      <c r="L15">
        <f t="shared" si="3"/>
        <v>0</v>
      </c>
      <c r="M15">
        <f t="shared" si="4"/>
        <v>72777264.238312319</v>
      </c>
      <c r="N15">
        <f t="shared" si="5"/>
        <v>13645737.044683561</v>
      </c>
      <c r="O15">
        <f t="shared" si="6"/>
        <v>14955127.461492045</v>
      </c>
      <c r="P15">
        <f>M15*Inputs!B6/12</f>
        <v>348724.39114191319</v>
      </c>
      <c r="Q15">
        <f t="shared" si="7"/>
        <v>348724.39114191319</v>
      </c>
      <c r="R15">
        <f>N15*Inputs!B6/12</f>
        <v>65385.823339108727</v>
      </c>
      <c r="S15">
        <f t="shared" si="8"/>
        <v>65385.823339108727</v>
      </c>
      <c r="T15">
        <f t="shared" si="9"/>
        <v>19222.692524462938</v>
      </c>
      <c r="U15">
        <f t="shared" si="10"/>
        <v>0</v>
      </c>
      <c r="V15">
        <f t="shared" si="11"/>
        <v>19222.692524462938</v>
      </c>
      <c r="W15">
        <f t="shared" si="12"/>
        <v>8096524.6248471355</v>
      </c>
      <c r="X15">
        <f t="shared" si="13"/>
        <v>86423001.28299588</v>
      </c>
      <c r="Y15">
        <f t="shared" si="14"/>
        <v>6818125.9998712717</v>
      </c>
      <c r="Z15">
        <f t="shared" si="15"/>
        <v>1278398.6249758638</v>
      </c>
      <c r="AA15">
        <f t="shared" si="16"/>
        <v>6818125.9998712717</v>
      </c>
      <c r="AB15">
        <f t="shared" si="17"/>
        <v>1278398.6249758638</v>
      </c>
      <c r="AC15">
        <f t="shared" si="18"/>
        <v>0</v>
      </c>
      <c r="AD15">
        <f t="shared" si="19"/>
        <v>0</v>
      </c>
      <c r="AE15">
        <f t="shared" si="20"/>
        <v>0</v>
      </c>
      <c r="AF15">
        <f t="shared" si="21"/>
        <v>0</v>
      </c>
      <c r="AG15">
        <f t="shared" si="22"/>
        <v>0</v>
      </c>
      <c r="AH15">
        <f t="shared" si="23"/>
        <v>0</v>
      </c>
      <c r="AI15">
        <f t="shared" si="24"/>
        <v>8096524.6248471355</v>
      </c>
      <c r="AJ15">
        <f t="shared" si="25"/>
        <v>0</v>
      </c>
      <c r="AK15">
        <f t="shared" si="26"/>
        <v>0</v>
      </c>
      <c r="AL15">
        <f t="shared" si="27"/>
        <v>6818125.9998712717</v>
      </c>
      <c r="AM15">
        <f t="shared" si="28"/>
        <v>1278398.6249758638</v>
      </c>
      <c r="AN15">
        <f t="shared" si="29"/>
        <v>0</v>
      </c>
      <c r="AO15">
        <f t="shared" si="30"/>
        <v>0</v>
      </c>
      <c r="AP15">
        <f t="shared" si="31"/>
        <v>65959138.23844105</v>
      </c>
      <c r="AQ15">
        <f t="shared" si="32"/>
        <v>12367338.419707697</v>
      </c>
      <c r="AR15">
        <f t="shared" si="33"/>
        <v>14955127.461492045</v>
      </c>
      <c r="AS15">
        <f t="shared" si="34"/>
        <v>0</v>
      </c>
      <c r="AT15">
        <f t="shared" si="35"/>
        <v>0</v>
      </c>
      <c r="AU15">
        <f t="shared" si="36"/>
        <v>0</v>
      </c>
    </row>
    <row r="16" spans="1:47" x14ac:dyDescent="0.2">
      <c r="A16">
        <v>15</v>
      </c>
      <c r="B16">
        <f>PoolStates_V2!B16</f>
        <v>0</v>
      </c>
      <c r="C16">
        <f>PoolStates_V2!S16</f>
        <v>398544.55303174607</v>
      </c>
      <c r="D16">
        <f>PoolStates_V2!T16</f>
        <v>7447900.0860743085</v>
      </c>
      <c r="E16">
        <f>PoolStates_V2!Q16</f>
        <v>2467.7110991600866</v>
      </c>
      <c r="F16">
        <f t="shared" si="37"/>
        <v>65959138.23844105</v>
      </c>
      <c r="G16">
        <f t="shared" si="38"/>
        <v>12367338.419707697</v>
      </c>
      <c r="H16">
        <f t="shared" si="39"/>
        <v>14955127.461492045</v>
      </c>
      <c r="I16">
        <f t="shared" si="0"/>
        <v>2467.7110991600866</v>
      </c>
      <c r="J16">
        <f t="shared" si="1"/>
        <v>0</v>
      </c>
      <c r="K16">
        <f t="shared" si="2"/>
        <v>0</v>
      </c>
      <c r="L16">
        <f t="shared" si="3"/>
        <v>0</v>
      </c>
      <c r="M16">
        <f t="shared" si="4"/>
        <v>65959138.23844105</v>
      </c>
      <c r="N16">
        <f t="shared" si="5"/>
        <v>12367338.419707697</v>
      </c>
      <c r="O16">
        <f t="shared" si="6"/>
        <v>14952659.750392884</v>
      </c>
      <c r="P16">
        <f>M16*Inputs!B6/12</f>
        <v>316054.20405919669</v>
      </c>
      <c r="Q16">
        <f t="shared" si="7"/>
        <v>316054.20405919669</v>
      </c>
      <c r="R16">
        <f>N16*Inputs!B6/12</f>
        <v>59260.163261099377</v>
      </c>
      <c r="S16">
        <f t="shared" si="8"/>
        <v>59260.163261099377</v>
      </c>
      <c r="T16">
        <f t="shared" si="9"/>
        <v>23230.185711449994</v>
      </c>
      <c r="U16">
        <f t="shared" si="10"/>
        <v>0</v>
      </c>
      <c r="V16">
        <f t="shared" si="11"/>
        <v>23230.185711449994</v>
      </c>
      <c r="W16">
        <f t="shared" si="12"/>
        <v>7447900.0860743085</v>
      </c>
      <c r="X16">
        <f t="shared" si="13"/>
        <v>78326476.658148751</v>
      </c>
      <c r="Y16">
        <f t="shared" si="14"/>
        <v>6271915.8619573116</v>
      </c>
      <c r="Z16">
        <f t="shared" si="15"/>
        <v>1175984.2241169969</v>
      </c>
      <c r="AA16">
        <f t="shared" si="16"/>
        <v>6271915.8619573116</v>
      </c>
      <c r="AB16">
        <f t="shared" si="17"/>
        <v>1175984.2241169969</v>
      </c>
      <c r="AC16">
        <f t="shared" si="18"/>
        <v>0</v>
      </c>
      <c r="AD16">
        <f t="shared" si="19"/>
        <v>0</v>
      </c>
      <c r="AE16">
        <f t="shared" si="20"/>
        <v>0</v>
      </c>
      <c r="AF16">
        <f t="shared" si="21"/>
        <v>0</v>
      </c>
      <c r="AG16">
        <f t="shared" si="22"/>
        <v>0</v>
      </c>
      <c r="AH16">
        <f t="shared" si="23"/>
        <v>0</v>
      </c>
      <c r="AI16">
        <f t="shared" si="24"/>
        <v>7447900.0860743085</v>
      </c>
      <c r="AJ16">
        <f t="shared" si="25"/>
        <v>0</v>
      </c>
      <c r="AK16">
        <f t="shared" si="26"/>
        <v>0</v>
      </c>
      <c r="AL16">
        <f t="shared" si="27"/>
        <v>6271915.8619573116</v>
      </c>
      <c r="AM16">
        <f t="shared" si="28"/>
        <v>1175984.2241169969</v>
      </c>
      <c r="AN16">
        <f t="shared" si="29"/>
        <v>0</v>
      </c>
      <c r="AO16">
        <f t="shared" si="30"/>
        <v>0</v>
      </c>
      <c r="AP16">
        <f t="shared" si="31"/>
        <v>59687222.376483738</v>
      </c>
      <c r="AQ16">
        <f t="shared" si="32"/>
        <v>11191354.195590701</v>
      </c>
      <c r="AR16">
        <f t="shared" si="33"/>
        <v>14952659.750392884</v>
      </c>
      <c r="AS16">
        <f t="shared" si="34"/>
        <v>0</v>
      </c>
      <c r="AT16">
        <f t="shared" si="35"/>
        <v>0</v>
      </c>
      <c r="AU16">
        <f t="shared" si="36"/>
        <v>0</v>
      </c>
    </row>
    <row r="17" spans="1:47" x14ac:dyDescent="0.2">
      <c r="A17">
        <v>16</v>
      </c>
      <c r="B17">
        <f>PoolStates_V2!B17</f>
        <v>0</v>
      </c>
      <c r="C17">
        <f>PoolStates_V2!S17</f>
        <v>366564.81068196322</v>
      </c>
      <c r="D17">
        <f>PoolStates_V2!T17</f>
        <v>6851514.8639420765</v>
      </c>
      <c r="E17">
        <f>PoolStates_V2!Q17</f>
        <v>2330.7314861333457</v>
      </c>
      <c r="F17">
        <f t="shared" si="37"/>
        <v>59687222.376483738</v>
      </c>
      <c r="G17">
        <f t="shared" si="38"/>
        <v>11191354.195590701</v>
      </c>
      <c r="H17">
        <f t="shared" si="39"/>
        <v>14952659.750392884</v>
      </c>
      <c r="I17">
        <f t="shared" si="0"/>
        <v>2330.7314861333457</v>
      </c>
      <c r="J17">
        <f t="shared" si="1"/>
        <v>0</v>
      </c>
      <c r="K17">
        <f t="shared" si="2"/>
        <v>0</v>
      </c>
      <c r="L17">
        <f t="shared" si="3"/>
        <v>0</v>
      </c>
      <c r="M17">
        <f t="shared" si="4"/>
        <v>59687222.376483738</v>
      </c>
      <c r="N17">
        <f t="shared" si="5"/>
        <v>11191354.195590701</v>
      </c>
      <c r="O17">
        <f t="shared" si="6"/>
        <v>14950329.01890675</v>
      </c>
      <c r="P17">
        <f>M17*Inputs!B6/12</f>
        <v>286001.27388731792</v>
      </c>
      <c r="Q17">
        <f t="shared" si="7"/>
        <v>286001.27388731792</v>
      </c>
      <c r="R17">
        <f>N17*Inputs!B6/12</f>
        <v>53625.238853872113</v>
      </c>
      <c r="S17">
        <f t="shared" si="8"/>
        <v>53625.238853872113</v>
      </c>
      <c r="T17">
        <f t="shared" si="9"/>
        <v>26938.297940773191</v>
      </c>
      <c r="U17">
        <f t="shared" si="10"/>
        <v>0</v>
      </c>
      <c r="V17">
        <f t="shared" si="11"/>
        <v>26938.297940773191</v>
      </c>
      <c r="W17">
        <f t="shared" si="12"/>
        <v>6851514.8639420765</v>
      </c>
      <c r="X17">
        <f t="shared" si="13"/>
        <v>70878576.572074443</v>
      </c>
      <c r="Y17">
        <f t="shared" si="14"/>
        <v>5769696.7275301693</v>
      </c>
      <c r="Z17">
        <f t="shared" si="15"/>
        <v>1081818.1364119072</v>
      </c>
      <c r="AA17">
        <f t="shared" si="16"/>
        <v>5769696.7275301693</v>
      </c>
      <c r="AB17">
        <f t="shared" si="17"/>
        <v>1081818.1364119072</v>
      </c>
      <c r="AC17">
        <f t="shared" si="18"/>
        <v>0</v>
      </c>
      <c r="AD17">
        <f t="shared" si="19"/>
        <v>0</v>
      </c>
      <c r="AE17">
        <f t="shared" si="20"/>
        <v>0</v>
      </c>
      <c r="AF17">
        <f t="shared" si="21"/>
        <v>0</v>
      </c>
      <c r="AG17">
        <f t="shared" si="22"/>
        <v>0</v>
      </c>
      <c r="AH17">
        <f t="shared" si="23"/>
        <v>0</v>
      </c>
      <c r="AI17">
        <f t="shared" si="24"/>
        <v>6851514.8639420765</v>
      </c>
      <c r="AJ17">
        <f t="shared" si="25"/>
        <v>0</v>
      </c>
      <c r="AK17">
        <f t="shared" si="26"/>
        <v>0</v>
      </c>
      <c r="AL17">
        <f t="shared" si="27"/>
        <v>5769696.7275301693</v>
      </c>
      <c r="AM17">
        <f t="shared" si="28"/>
        <v>1081818.1364119072</v>
      </c>
      <c r="AN17">
        <f t="shared" si="29"/>
        <v>0</v>
      </c>
      <c r="AO17">
        <f t="shared" si="30"/>
        <v>0</v>
      </c>
      <c r="AP17">
        <f t="shared" si="31"/>
        <v>53917525.648953572</v>
      </c>
      <c r="AQ17">
        <f t="shared" si="32"/>
        <v>10109536.059178794</v>
      </c>
      <c r="AR17">
        <f t="shared" si="33"/>
        <v>14950329.01890675</v>
      </c>
      <c r="AS17">
        <f t="shared" si="34"/>
        <v>0</v>
      </c>
      <c r="AT17">
        <f t="shared" si="35"/>
        <v>0</v>
      </c>
      <c r="AU17">
        <f t="shared" si="36"/>
        <v>0</v>
      </c>
    </row>
    <row r="18" spans="1:47" x14ac:dyDescent="0.2">
      <c r="A18">
        <v>17</v>
      </c>
      <c r="B18">
        <f>PoolStates_V2!B18</f>
        <v>0</v>
      </c>
      <c r="C18">
        <f>PoolStates_V2!S18</f>
        <v>337164.70842398889</v>
      </c>
      <c r="D18">
        <f>PoolStates_V2!T18</f>
        <v>6303122.8329673512</v>
      </c>
      <c r="E18">
        <f>PoolStates_V2!Q18</f>
        <v>2196.9300785143896</v>
      </c>
      <c r="F18">
        <f t="shared" si="37"/>
        <v>53917525.648953572</v>
      </c>
      <c r="G18">
        <f t="shared" si="38"/>
        <v>10109536.059178794</v>
      </c>
      <c r="H18">
        <f t="shared" si="39"/>
        <v>14950329.01890675</v>
      </c>
      <c r="I18">
        <f t="shared" si="0"/>
        <v>2196.9300785143896</v>
      </c>
      <c r="J18">
        <f t="shared" si="1"/>
        <v>0</v>
      </c>
      <c r="K18">
        <f t="shared" si="2"/>
        <v>0</v>
      </c>
      <c r="L18">
        <f t="shared" si="3"/>
        <v>0</v>
      </c>
      <c r="M18">
        <f t="shared" si="4"/>
        <v>53917525.648953572</v>
      </c>
      <c r="N18">
        <f t="shared" si="5"/>
        <v>10109536.059178794</v>
      </c>
      <c r="O18">
        <f t="shared" si="6"/>
        <v>14948132.088828236</v>
      </c>
      <c r="P18">
        <f>M18*Inputs!B6/12</f>
        <v>258354.81040123585</v>
      </c>
      <c r="Q18">
        <f t="shared" si="7"/>
        <v>258354.81040123585</v>
      </c>
      <c r="R18">
        <f>N18*Inputs!B6/12</f>
        <v>48441.526950231724</v>
      </c>
      <c r="S18">
        <f t="shared" si="8"/>
        <v>48441.526950231724</v>
      </c>
      <c r="T18">
        <f t="shared" si="9"/>
        <v>30368.371072521317</v>
      </c>
      <c r="U18">
        <f t="shared" si="10"/>
        <v>0</v>
      </c>
      <c r="V18">
        <f t="shared" si="11"/>
        <v>30368.371072521317</v>
      </c>
      <c r="W18">
        <f t="shared" si="12"/>
        <v>6303122.8329673512</v>
      </c>
      <c r="X18">
        <f t="shared" si="13"/>
        <v>64027061.708132364</v>
      </c>
      <c r="Y18">
        <f t="shared" si="14"/>
        <v>5307892.9119725069</v>
      </c>
      <c r="Z18">
        <f t="shared" si="15"/>
        <v>995229.92099484429</v>
      </c>
      <c r="AA18">
        <f t="shared" si="16"/>
        <v>5307892.9119725069</v>
      </c>
      <c r="AB18">
        <f t="shared" si="17"/>
        <v>995229.92099484429</v>
      </c>
      <c r="AC18">
        <f t="shared" si="18"/>
        <v>0</v>
      </c>
      <c r="AD18">
        <f t="shared" si="19"/>
        <v>0</v>
      </c>
      <c r="AE18">
        <f t="shared" si="20"/>
        <v>0</v>
      </c>
      <c r="AF18">
        <f t="shared" si="21"/>
        <v>0</v>
      </c>
      <c r="AG18">
        <f t="shared" si="22"/>
        <v>0</v>
      </c>
      <c r="AH18">
        <f t="shared" si="23"/>
        <v>0</v>
      </c>
      <c r="AI18">
        <f t="shared" si="24"/>
        <v>6303122.8329673512</v>
      </c>
      <c r="AJ18">
        <f t="shared" si="25"/>
        <v>0</v>
      </c>
      <c r="AK18">
        <f t="shared" si="26"/>
        <v>0</v>
      </c>
      <c r="AL18">
        <f t="shared" si="27"/>
        <v>5307892.9119725069</v>
      </c>
      <c r="AM18">
        <f t="shared" si="28"/>
        <v>995229.92099484429</v>
      </c>
      <c r="AN18">
        <f t="shared" si="29"/>
        <v>0</v>
      </c>
      <c r="AO18">
        <f t="shared" si="30"/>
        <v>0</v>
      </c>
      <c r="AP18">
        <f t="shared" si="31"/>
        <v>48609632.736981064</v>
      </c>
      <c r="AQ18">
        <f t="shared" si="32"/>
        <v>9114306.1381839495</v>
      </c>
      <c r="AR18">
        <f t="shared" si="33"/>
        <v>14948132.088828236</v>
      </c>
      <c r="AS18">
        <f t="shared" si="34"/>
        <v>0</v>
      </c>
      <c r="AT18">
        <f t="shared" si="35"/>
        <v>0</v>
      </c>
      <c r="AU18">
        <f t="shared" si="36"/>
        <v>0</v>
      </c>
    </row>
    <row r="19" spans="1:47" x14ac:dyDescent="0.2">
      <c r="A19">
        <v>18</v>
      </c>
      <c r="B19">
        <f>PoolStates_V2!B19</f>
        <v>0</v>
      </c>
      <c r="C19">
        <f>PoolStates_V2!S19</f>
        <v>310134.22848274908</v>
      </c>
      <c r="D19">
        <f>PoolStates_V2!T19</f>
        <v>5798828.0088949185</v>
      </c>
      <c r="E19">
        <f>PoolStates_V2!Q19</f>
        <v>2067.0606982556415</v>
      </c>
      <c r="F19">
        <f t="shared" si="37"/>
        <v>48609632.736981064</v>
      </c>
      <c r="G19">
        <f t="shared" si="38"/>
        <v>9114306.1381839495</v>
      </c>
      <c r="H19">
        <f t="shared" si="39"/>
        <v>14948132.088828236</v>
      </c>
      <c r="I19">
        <f t="shared" si="0"/>
        <v>2067.0606982556415</v>
      </c>
      <c r="J19">
        <f t="shared" si="1"/>
        <v>0</v>
      </c>
      <c r="K19">
        <f t="shared" si="2"/>
        <v>0</v>
      </c>
      <c r="L19">
        <f t="shared" si="3"/>
        <v>0</v>
      </c>
      <c r="M19">
        <f t="shared" si="4"/>
        <v>48609632.736981064</v>
      </c>
      <c r="N19">
        <f t="shared" si="5"/>
        <v>9114306.1381839495</v>
      </c>
      <c r="O19">
        <f t="shared" si="6"/>
        <v>14946065.02812998</v>
      </c>
      <c r="P19">
        <f>M19*Inputs!B6/12</f>
        <v>232921.15686470096</v>
      </c>
      <c r="Q19">
        <f t="shared" si="7"/>
        <v>232921.15686470096</v>
      </c>
      <c r="R19">
        <f>N19*Inputs!B6/12</f>
        <v>43672.716912131429</v>
      </c>
      <c r="S19">
        <f t="shared" si="8"/>
        <v>43672.716912131429</v>
      </c>
      <c r="T19">
        <f t="shared" si="9"/>
        <v>33540.354705916696</v>
      </c>
      <c r="U19">
        <f t="shared" si="10"/>
        <v>0</v>
      </c>
      <c r="V19">
        <f t="shared" si="11"/>
        <v>33540.354705916696</v>
      </c>
      <c r="W19">
        <f t="shared" si="12"/>
        <v>5798828.0088949185</v>
      </c>
      <c r="X19">
        <f t="shared" si="13"/>
        <v>57723938.875165015</v>
      </c>
      <c r="Y19">
        <f t="shared" si="14"/>
        <v>4883223.586437826</v>
      </c>
      <c r="Z19">
        <f t="shared" si="15"/>
        <v>915604.42245709244</v>
      </c>
      <c r="AA19">
        <f t="shared" si="16"/>
        <v>4883223.586437826</v>
      </c>
      <c r="AB19">
        <f t="shared" si="17"/>
        <v>915604.42245709244</v>
      </c>
      <c r="AC19">
        <f t="shared" si="18"/>
        <v>0</v>
      </c>
      <c r="AD19">
        <f t="shared" si="19"/>
        <v>0</v>
      </c>
      <c r="AE19">
        <f t="shared" si="20"/>
        <v>0</v>
      </c>
      <c r="AF19">
        <f t="shared" si="21"/>
        <v>0</v>
      </c>
      <c r="AG19">
        <f t="shared" si="22"/>
        <v>0</v>
      </c>
      <c r="AH19">
        <f t="shared" si="23"/>
        <v>0</v>
      </c>
      <c r="AI19">
        <f t="shared" si="24"/>
        <v>5798828.0088949185</v>
      </c>
      <c r="AJ19">
        <f t="shared" si="25"/>
        <v>0</v>
      </c>
      <c r="AK19">
        <f t="shared" si="26"/>
        <v>0</v>
      </c>
      <c r="AL19">
        <f t="shared" si="27"/>
        <v>4883223.586437826</v>
      </c>
      <c r="AM19">
        <f t="shared" si="28"/>
        <v>915604.42245709244</v>
      </c>
      <c r="AN19">
        <f t="shared" si="29"/>
        <v>0</v>
      </c>
      <c r="AO19">
        <f t="shared" si="30"/>
        <v>0</v>
      </c>
      <c r="AP19">
        <f t="shared" si="31"/>
        <v>43726409.150543235</v>
      </c>
      <c r="AQ19">
        <f t="shared" si="32"/>
        <v>8198701.7157268571</v>
      </c>
      <c r="AR19">
        <f t="shared" si="33"/>
        <v>14946065.02812998</v>
      </c>
      <c r="AS19">
        <f t="shared" si="34"/>
        <v>0</v>
      </c>
      <c r="AT19">
        <f t="shared" si="35"/>
        <v>0</v>
      </c>
      <c r="AU19">
        <f t="shared" si="36"/>
        <v>0</v>
      </c>
    </row>
    <row r="20" spans="1:47" x14ac:dyDescent="0.2">
      <c r="A20">
        <v>19</v>
      </c>
      <c r="B20">
        <f>PoolStates_V2!B20</f>
        <v>0</v>
      </c>
      <c r="C20">
        <f>PoolStates_V2!S20</f>
        <v>285280.70667213365</v>
      </c>
      <c r="D20">
        <f>PoolStates_V2!T20</f>
        <v>5335055.1332546035</v>
      </c>
      <c r="E20">
        <f>PoolStates_V2!Q20</f>
        <v>1941.6846691556677</v>
      </c>
      <c r="F20">
        <f t="shared" si="37"/>
        <v>43726409.150543235</v>
      </c>
      <c r="G20">
        <f t="shared" si="38"/>
        <v>8198701.7157268571</v>
      </c>
      <c r="H20">
        <f t="shared" si="39"/>
        <v>14946065.02812998</v>
      </c>
      <c r="I20">
        <f t="shared" si="0"/>
        <v>1941.6846691556677</v>
      </c>
      <c r="J20">
        <f t="shared" si="1"/>
        <v>0</v>
      </c>
      <c r="K20">
        <f t="shared" si="2"/>
        <v>0</v>
      </c>
      <c r="L20">
        <f t="shared" si="3"/>
        <v>0</v>
      </c>
      <c r="M20">
        <f t="shared" si="4"/>
        <v>43726409.150543235</v>
      </c>
      <c r="N20">
        <f t="shared" si="5"/>
        <v>8198701.7157268571</v>
      </c>
      <c r="O20">
        <f t="shared" si="6"/>
        <v>14944123.343460824</v>
      </c>
      <c r="P20">
        <f>M20*Inputs!B6/12</f>
        <v>209522.37717968633</v>
      </c>
      <c r="Q20">
        <f t="shared" si="7"/>
        <v>209522.37717968633</v>
      </c>
      <c r="R20">
        <f>N20*Inputs!B6/12</f>
        <v>39285.445721191194</v>
      </c>
      <c r="S20">
        <f t="shared" si="8"/>
        <v>39285.445721191194</v>
      </c>
      <c r="T20">
        <f t="shared" si="9"/>
        <v>36472.883771256122</v>
      </c>
      <c r="U20">
        <f t="shared" si="10"/>
        <v>0</v>
      </c>
      <c r="V20">
        <f t="shared" si="11"/>
        <v>36472.883771256122</v>
      </c>
      <c r="W20">
        <f t="shared" si="12"/>
        <v>5335055.1332546035</v>
      </c>
      <c r="X20">
        <f t="shared" si="13"/>
        <v>51925110.866270095</v>
      </c>
      <c r="Y20">
        <f t="shared" si="14"/>
        <v>4492678.0069512445</v>
      </c>
      <c r="Z20">
        <f t="shared" si="15"/>
        <v>842377.12630335893</v>
      </c>
      <c r="AA20">
        <f t="shared" si="16"/>
        <v>4492678.0069512445</v>
      </c>
      <c r="AB20">
        <f t="shared" si="17"/>
        <v>842377.12630335893</v>
      </c>
      <c r="AC20">
        <f t="shared" si="18"/>
        <v>0</v>
      </c>
      <c r="AD20">
        <f t="shared" si="19"/>
        <v>0</v>
      </c>
      <c r="AE20">
        <f t="shared" si="20"/>
        <v>0</v>
      </c>
      <c r="AF20">
        <f t="shared" si="21"/>
        <v>0</v>
      </c>
      <c r="AG20">
        <f t="shared" si="22"/>
        <v>0</v>
      </c>
      <c r="AH20">
        <f t="shared" si="23"/>
        <v>0</v>
      </c>
      <c r="AI20">
        <f t="shared" si="24"/>
        <v>5335055.1332546035</v>
      </c>
      <c r="AJ20">
        <f t="shared" si="25"/>
        <v>0</v>
      </c>
      <c r="AK20">
        <f t="shared" si="26"/>
        <v>0</v>
      </c>
      <c r="AL20">
        <f t="shared" si="27"/>
        <v>4492678.0069512445</v>
      </c>
      <c r="AM20">
        <f t="shared" si="28"/>
        <v>842377.12630335893</v>
      </c>
      <c r="AN20">
        <f t="shared" si="29"/>
        <v>0</v>
      </c>
      <c r="AO20">
        <f t="shared" si="30"/>
        <v>0</v>
      </c>
      <c r="AP20">
        <f t="shared" si="31"/>
        <v>39233731.143591993</v>
      </c>
      <c r="AQ20">
        <f t="shared" si="32"/>
        <v>7356324.5894234981</v>
      </c>
      <c r="AR20">
        <f t="shared" si="33"/>
        <v>14944123.343460824</v>
      </c>
      <c r="AS20">
        <f t="shared" si="34"/>
        <v>0</v>
      </c>
      <c r="AT20">
        <f t="shared" si="35"/>
        <v>0</v>
      </c>
      <c r="AU20">
        <f t="shared" si="36"/>
        <v>0</v>
      </c>
    </row>
    <row r="21" spans="1:47" x14ac:dyDescent="0.2">
      <c r="A21">
        <v>20</v>
      </c>
      <c r="B21">
        <f>PoolStates_V2!B21</f>
        <v>0</v>
      </c>
      <c r="C21">
        <f>PoolStates_V2!S21</f>
        <v>262427.36828376079</v>
      </c>
      <c r="D21">
        <f>PoolStates_V2!T21</f>
        <v>4908522.7444582926</v>
      </c>
      <c r="E21">
        <f>PoolStates_V2!Q21</f>
        <v>1821.2041456007998</v>
      </c>
      <c r="F21">
        <f t="shared" si="37"/>
        <v>39233731.143591993</v>
      </c>
      <c r="G21">
        <f t="shared" si="38"/>
        <v>7356324.5894234981</v>
      </c>
      <c r="H21">
        <f t="shared" si="39"/>
        <v>14944123.343460824</v>
      </c>
      <c r="I21">
        <f t="shared" si="0"/>
        <v>1821.2041456007998</v>
      </c>
      <c r="J21">
        <f t="shared" si="1"/>
        <v>0</v>
      </c>
      <c r="K21">
        <f t="shared" si="2"/>
        <v>0</v>
      </c>
      <c r="L21">
        <f t="shared" si="3"/>
        <v>0</v>
      </c>
      <c r="M21">
        <f t="shared" si="4"/>
        <v>39233731.143591993</v>
      </c>
      <c r="N21">
        <f t="shared" si="5"/>
        <v>7356324.5894234981</v>
      </c>
      <c r="O21">
        <f t="shared" si="6"/>
        <v>14942302.139315223</v>
      </c>
      <c r="P21">
        <f>M21*Inputs!B6/12</f>
        <v>187994.96172971162</v>
      </c>
      <c r="Q21">
        <f t="shared" si="7"/>
        <v>187994.96172971162</v>
      </c>
      <c r="R21">
        <f>N21*Inputs!B6/12</f>
        <v>35249.055324320929</v>
      </c>
      <c r="S21">
        <f t="shared" si="8"/>
        <v>35249.055324320929</v>
      </c>
      <c r="T21">
        <f t="shared" si="9"/>
        <v>39183.351229728243</v>
      </c>
      <c r="U21">
        <f t="shared" si="10"/>
        <v>0</v>
      </c>
      <c r="V21">
        <f t="shared" si="11"/>
        <v>39183.351229728243</v>
      </c>
      <c r="W21">
        <f t="shared" si="12"/>
        <v>4908522.7444582926</v>
      </c>
      <c r="X21">
        <f t="shared" si="13"/>
        <v>46590055.733015493</v>
      </c>
      <c r="Y21">
        <f t="shared" si="14"/>
        <v>4133492.837438562</v>
      </c>
      <c r="Z21">
        <f t="shared" si="15"/>
        <v>775029.90701973066</v>
      </c>
      <c r="AA21">
        <f t="shared" si="16"/>
        <v>4133492.837438562</v>
      </c>
      <c r="AB21">
        <f t="shared" si="17"/>
        <v>775029.90701973066</v>
      </c>
      <c r="AC21">
        <f t="shared" si="18"/>
        <v>0</v>
      </c>
      <c r="AD21">
        <f t="shared" si="19"/>
        <v>0</v>
      </c>
      <c r="AE21">
        <f t="shared" si="20"/>
        <v>0</v>
      </c>
      <c r="AF21">
        <f t="shared" si="21"/>
        <v>0</v>
      </c>
      <c r="AG21">
        <f t="shared" si="22"/>
        <v>0</v>
      </c>
      <c r="AH21">
        <f t="shared" si="23"/>
        <v>0</v>
      </c>
      <c r="AI21">
        <f t="shared" si="24"/>
        <v>4908522.7444582926</v>
      </c>
      <c r="AJ21">
        <f t="shared" si="25"/>
        <v>0</v>
      </c>
      <c r="AK21">
        <f t="shared" si="26"/>
        <v>0</v>
      </c>
      <c r="AL21">
        <f t="shared" si="27"/>
        <v>4133492.837438562</v>
      </c>
      <c r="AM21">
        <f t="shared" si="28"/>
        <v>775029.90701973066</v>
      </c>
      <c r="AN21">
        <f t="shared" si="29"/>
        <v>0</v>
      </c>
      <c r="AO21">
        <f t="shared" si="30"/>
        <v>0</v>
      </c>
      <c r="AP21">
        <f t="shared" si="31"/>
        <v>35100238.306153432</v>
      </c>
      <c r="AQ21">
        <f t="shared" si="32"/>
        <v>6581294.6824037675</v>
      </c>
      <c r="AR21">
        <f t="shared" si="33"/>
        <v>14942302.139315223</v>
      </c>
      <c r="AS21">
        <f t="shared" si="34"/>
        <v>0</v>
      </c>
      <c r="AT21">
        <f t="shared" si="35"/>
        <v>0</v>
      </c>
      <c r="AU21">
        <f t="shared" si="36"/>
        <v>0</v>
      </c>
    </row>
    <row r="22" spans="1:47" x14ac:dyDescent="0.2">
      <c r="A22">
        <v>21</v>
      </c>
      <c r="B22">
        <f>PoolStates_V2!B22</f>
        <v>0</v>
      </c>
      <c r="C22">
        <f>PoolStates_V2!S22</f>
        <v>241411.98979156811</v>
      </c>
      <c r="D22">
        <f>PoolStates_V2!T22</f>
        <v>4516218.549191311</v>
      </c>
      <c r="E22">
        <f>PoolStates_V2!Q22</f>
        <v>1705.8900760714221</v>
      </c>
      <c r="F22">
        <f t="shared" si="37"/>
        <v>35100238.306153432</v>
      </c>
      <c r="G22">
        <f t="shared" si="38"/>
        <v>6581294.6824037675</v>
      </c>
      <c r="H22">
        <f t="shared" si="39"/>
        <v>14942302.139315223</v>
      </c>
      <c r="I22">
        <f t="shared" si="0"/>
        <v>1705.8900760714221</v>
      </c>
      <c r="J22">
        <f t="shared" si="1"/>
        <v>0</v>
      </c>
      <c r="K22">
        <f t="shared" si="2"/>
        <v>0</v>
      </c>
      <c r="L22">
        <f t="shared" si="3"/>
        <v>0</v>
      </c>
      <c r="M22">
        <f t="shared" si="4"/>
        <v>35100238.306153432</v>
      </c>
      <c r="N22">
        <f t="shared" si="5"/>
        <v>6581294.6824037675</v>
      </c>
      <c r="O22">
        <f t="shared" si="6"/>
        <v>14940596.249239152</v>
      </c>
      <c r="P22">
        <f>M22*Inputs!B6/12</f>
        <v>168188.64188365187</v>
      </c>
      <c r="Q22">
        <f t="shared" si="7"/>
        <v>168188.64188365187</v>
      </c>
      <c r="R22">
        <f>N22*Inputs!B6/12</f>
        <v>31535.370353184724</v>
      </c>
      <c r="S22">
        <f t="shared" si="8"/>
        <v>31535.370353184724</v>
      </c>
      <c r="T22">
        <f t="shared" si="9"/>
        <v>41687.977554731508</v>
      </c>
      <c r="U22">
        <f t="shared" si="10"/>
        <v>0</v>
      </c>
      <c r="V22">
        <f t="shared" si="11"/>
        <v>41687.977554731508</v>
      </c>
      <c r="W22">
        <f t="shared" si="12"/>
        <v>4516218.549191311</v>
      </c>
      <c r="X22">
        <f t="shared" si="13"/>
        <v>41681532.988557197</v>
      </c>
      <c r="Y22">
        <f t="shared" si="14"/>
        <v>3803131.4098453149</v>
      </c>
      <c r="Z22">
        <f t="shared" si="15"/>
        <v>713087.13934599608</v>
      </c>
      <c r="AA22">
        <f t="shared" si="16"/>
        <v>3803131.4098453149</v>
      </c>
      <c r="AB22">
        <f t="shared" si="17"/>
        <v>713087.13934599608</v>
      </c>
      <c r="AC22">
        <f t="shared" si="18"/>
        <v>0</v>
      </c>
      <c r="AD22">
        <f t="shared" si="19"/>
        <v>0</v>
      </c>
      <c r="AE22">
        <f t="shared" si="20"/>
        <v>0</v>
      </c>
      <c r="AF22">
        <f t="shared" si="21"/>
        <v>0</v>
      </c>
      <c r="AG22">
        <f t="shared" si="22"/>
        <v>0</v>
      </c>
      <c r="AH22">
        <f t="shared" si="23"/>
        <v>0</v>
      </c>
      <c r="AI22">
        <f t="shared" si="24"/>
        <v>4516218.549191311</v>
      </c>
      <c r="AJ22">
        <f t="shared" si="25"/>
        <v>0</v>
      </c>
      <c r="AK22">
        <f t="shared" si="26"/>
        <v>0</v>
      </c>
      <c r="AL22">
        <f t="shared" si="27"/>
        <v>3803131.4098453149</v>
      </c>
      <c r="AM22">
        <f t="shared" si="28"/>
        <v>713087.13934599608</v>
      </c>
      <c r="AN22">
        <f t="shared" si="29"/>
        <v>0</v>
      </c>
      <c r="AO22">
        <f t="shared" si="30"/>
        <v>0</v>
      </c>
      <c r="AP22">
        <f t="shared" si="31"/>
        <v>31297106.896308117</v>
      </c>
      <c r="AQ22">
        <f t="shared" si="32"/>
        <v>5868207.5430577714</v>
      </c>
      <c r="AR22">
        <f t="shared" si="33"/>
        <v>14940596.249239152</v>
      </c>
      <c r="AS22">
        <f t="shared" si="34"/>
        <v>0</v>
      </c>
      <c r="AT22">
        <f t="shared" si="35"/>
        <v>0</v>
      </c>
      <c r="AU22">
        <f t="shared" si="36"/>
        <v>0</v>
      </c>
    </row>
    <row r="23" spans="1:47" x14ac:dyDescent="0.2">
      <c r="A23">
        <v>22</v>
      </c>
      <c r="B23">
        <f>PoolStates_V2!B23</f>
        <v>0</v>
      </c>
      <c r="C23">
        <f>PoolStates_V2!S23</f>
        <v>222085.67602434949</v>
      </c>
      <c r="D23">
        <f>PoolStates_V2!T23</f>
        <v>4155376.906085283</v>
      </c>
      <c r="E23">
        <f>PoolStates_V2!Q23</f>
        <v>1595.9057588805838</v>
      </c>
      <c r="F23">
        <f t="shared" si="37"/>
        <v>31297106.896308117</v>
      </c>
      <c r="G23">
        <f t="shared" si="38"/>
        <v>5868207.5430577714</v>
      </c>
      <c r="H23">
        <f t="shared" si="39"/>
        <v>14940596.249239152</v>
      </c>
      <c r="I23">
        <f t="shared" si="0"/>
        <v>1595.9057588805838</v>
      </c>
      <c r="J23">
        <f t="shared" si="1"/>
        <v>0</v>
      </c>
      <c r="K23">
        <f t="shared" si="2"/>
        <v>0</v>
      </c>
      <c r="L23">
        <f t="shared" si="3"/>
        <v>0</v>
      </c>
      <c r="M23">
        <f t="shared" si="4"/>
        <v>31297106.896308117</v>
      </c>
      <c r="N23">
        <f t="shared" si="5"/>
        <v>5868207.5430577714</v>
      </c>
      <c r="O23">
        <f t="shared" si="6"/>
        <v>14939000.343480272</v>
      </c>
      <c r="P23">
        <f>M23*Inputs!B6/12</f>
        <v>149965.30387814305</v>
      </c>
      <c r="Q23">
        <f t="shared" si="7"/>
        <v>149965.30387814305</v>
      </c>
      <c r="R23">
        <f>N23*Inputs!B6/12</f>
        <v>28118.49447715182</v>
      </c>
      <c r="S23">
        <f t="shared" si="8"/>
        <v>28118.49447715182</v>
      </c>
      <c r="T23">
        <f t="shared" si="9"/>
        <v>44001.877669054622</v>
      </c>
      <c r="U23">
        <f t="shared" si="10"/>
        <v>0</v>
      </c>
      <c r="V23">
        <f t="shared" si="11"/>
        <v>44001.877669054622</v>
      </c>
      <c r="W23">
        <f t="shared" si="12"/>
        <v>4155376.906085283</v>
      </c>
      <c r="X23">
        <f t="shared" si="13"/>
        <v>37165314.439365886</v>
      </c>
      <c r="Y23">
        <f t="shared" si="14"/>
        <v>3499264.763019186</v>
      </c>
      <c r="Z23">
        <f t="shared" si="15"/>
        <v>656112.14306609705</v>
      </c>
      <c r="AA23">
        <f t="shared" si="16"/>
        <v>3499264.763019186</v>
      </c>
      <c r="AB23">
        <f t="shared" si="17"/>
        <v>656112.14306609705</v>
      </c>
      <c r="AC23">
        <f t="shared" si="18"/>
        <v>0</v>
      </c>
      <c r="AD23">
        <f t="shared" si="19"/>
        <v>0</v>
      </c>
      <c r="AE23">
        <f t="shared" si="20"/>
        <v>0</v>
      </c>
      <c r="AF23">
        <f t="shared" si="21"/>
        <v>0</v>
      </c>
      <c r="AG23">
        <f t="shared" si="22"/>
        <v>0</v>
      </c>
      <c r="AH23">
        <f t="shared" si="23"/>
        <v>0</v>
      </c>
      <c r="AI23">
        <f t="shared" si="24"/>
        <v>4155376.906085283</v>
      </c>
      <c r="AJ23">
        <f t="shared" si="25"/>
        <v>0</v>
      </c>
      <c r="AK23">
        <f t="shared" si="26"/>
        <v>0</v>
      </c>
      <c r="AL23">
        <f t="shared" si="27"/>
        <v>3499264.763019186</v>
      </c>
      <c r="AM23">
        <f t="shared" si="28"/>
        <v>656112.14306609705</v>
      </c>
      <c r="AN23">
        <f t="shared" si="29"/>
        <v>0</v>
      </c>
      <c r="AO23">
        <f t="shared" si="30"/>
        <v>0</v>
      </c>
      <c r="AP23">
        <f t="shared" si="31"/>
        <v>27797842.133288931</v>
      </c>
      <c r="AQ23">
        <f t="shared" si="32"/>
        <v>5212095.3999916743</v>
      </c>
      <c r="AR23">
        <f t="shared" si="33"/>
        <v>14939000.343480272</v>
      </c>
      <c r="AS23">
        <f t="shared" si="34"/>
        <v>0</v>
      </c>
      <c r="AT23">
        <f t="shared" si="35"/>
        <v>0</v>
      </c>
      <c r="AU23">
        <f t="shared" si="36"/>
        <v>0</v>
      </c>
    </row>
    <row r="24" spans="1:47" x14ac:dyDescent="0.2">
      <c r="A24">
        <v>23</v>
      </c>
      <c r="B24">
        <f>PoolStates_V2!B24</f>
        <v>0</v>
      </c>
      <c r="C24">
        <f>PoolStates_V2!S24</f>
        <v>204311.74288932604</v>
      </c>
      <c r="D24">
        <f>PoolStates_V2!T24</f>
        <v>3823458.2414918672</v>
      </c>
      <c r="E24">
        <f>PoolStates_V2!Q24</f>
        <v>1491.3267169276335</v>
      </c>
      <c r="F24">
        <f t="shared" si="37"/>
        <v>27797842.133288931</v>
      </c>
      <c r="G24">
        <f t="shared" si="38"/>
        <v>5212095.3999916743</v>
      </c>
      <c r="H24">
        <f t="shared" si="39"/>
        <v>14939000.343480272</v>
      </c>
      <c r="I24">
        <f t="shared" si="0"/>
        <v>1491.3267169276335</v>
      </c>
      <c r="J24">
        <f t="shared" si="1"/>
        <v>0</v>
      </c>
      <c r="K24">
        <f t="shared" si="2"/>
        <v>0</v>
      </c>
      <c r="L24">
        <f t="shared" si="3"/>
        <v>0</v>
      </c>
      <c r="M24">
        <f t="shared" si="4"/>
        <v>27797842.133288931</v>
      </c>
      <c r="N24">
        <f t="shared" si="5"/>
        <v>5212095.3999916743</v>
      </c>
      <c r="O24">
        <f t="shared" si="6"/>
        <v>14937509.016763344</v>
      </c>
      <c r="P24">
        <f>M24*Inputs!B6/12</f>
        <v>133197.99355534281</v>
      </c>
      <c r="Q24">
        <f t="shared" si="7"/>
        <v>133197.99355534281</v>
      </c>
      <c r="R24">
        <f>N24*Inputs!B6/12</f>
        <v>24974.623791626775</v>
      </c>
      <c r="S24">
        <f t="shared" si="8"/>
        <v>24974.623791626775</v>
      </c>
      <c r="T24">
        <f t="shared" si="9"/>
        <v>46139.125542356458</v>
      </c>
      <c r="U24">
        <f t="shared" si="10"/>
        <v>0</v>
      </c>
      <c r="V24">
        <f t="shared" si="11"/>
        <v>46139.125542356458</v>
      </c>
      <c r="W24">
        <f t="shared" si="12"/>
        <v>3823458.2414918672</v>
      </c>
      <c r="X24">
        <f t="shared" si="13"/>
        <v>33009937.533280604</v>
      </c>
      <c r="Y24">
        <f t="shared" si="14"/>
        <v>3219754.3086247304</v>
      </c>
      <c r="Z24">
        <f t="shared" si="15"/>
        <v>603703.93286713678</v>
      </c>
      <c r="AA24">
        <f t="shared" si="16"/>
        <v>3219754.3086247304</v>
      </c>
      <c r="AB24">
        <f t="shared" si="17"/>
        <v>603703.93286713678</v>
      </c>
      <c r="AC24">
        <f t="shared" si="18"/>
        <v>0</v>
      </c>
      <c r="AD24">
        <f t="shared" si="19"/>
        <v>0</v>
      </c>
      <c r="AE24">
        <f t="shared" si="20"/>
        <v>0</v>
      </c>
      <c r="AF24">
        <f t="shared" si="21"/>
        <v>0</v>
      </c>
      <c r="AG24">
        <f t="shared" si="22"/>
        <v>0</v>
      </c>
      <c r="AH24">
        <f t="shared" si="23"/>
        <v>0</v>
      </c>
      <c r="AI24">
        <f t="shared" si="24"/>
        <v>3823458.2414918672</v>
      </c>
      <c r="AJ24">
        <f t="shared" si="25"/>
        <v>0</v>
      </c>
      <c r="AK24">
        <f t="shared" si="26"/>
        <v>0</v>
      </c>
      <c r="AL24">
        <f t="shared" si="27"/>
        <v>3219754.3086247304</v>
      </c>
      <c r="AM24">
        <f t="shared" si="28"/>
        <v>603703.93286713678</v>
      </c>
      <c r="AN24">
        <f t="shared" si="29"/>
        <v>0</v>
      </c>
      <c r="AO24">
        <f t="shared" si="30"/>
        <v>0</v>
      </c>
      <c r="AP24">
        <f t="shared" si="31"/>
        <v>24578087.824664202</v>
      </c>
      <c r="AQ24">
        <f t="shared" si="32"/>
        <v>4608391.4671245376</v>
      </c>
      <c r="AR24">
        <f t="shared" si="33"/>
        <v>14937509.016763344</v>
      </c>
      <c r="AS24">
        <f t="shared" si="34"/>
        <v>0</v>
      </c>
      <c r="AT24">
        <f t="shared" si="35"/>
        <v>0</v>
      </c>
      <c r="AU24">
        <f t="shared" si="36"/>
        <v>0</v>
      </c>
    </row>
    <row r="25" spans="1:47" x14ac:dyDescent="0.2">
      <c r="A25">
        <v>24</v>
      </c>
      <c r="B25">
        <f>PoolStates_V2!B25</f>
        <v>0</v>
      </c>
      <c r="C25">
        <f>PoolStates_V2!S25</f>
        <v>187964.69638931626</v>
      </c>
      <c r="D25">
        <f>PoolStates_V2!T25</f>
        <v>3518130.2290900056</v>
      </c>
      <c r="E25">
        <f>PoolStates_V2!Q25</f>
        <v>1392.1574672236659</v>
      </c>
      <c r="F25">
        <f t="shared" si="37"/>
        <v>24578087.824664202</v>
      </c>
      <c r="G25">
        <f t="shared" si="38"/>
        <v>4608391.4671245376</v>
      </c>
      <c r="H25">
        <f t="shared" si="39"/>
        <v>14937509.016763344</v>
      </c>
      <c r="I25">
        <f t="shared" si="0"/>
        <v>1392.1574672236659</v>
      </c>
      <c r="J25">
        <f t="shared" si="1"/>
        <v>0</v>
      </c>
      <c r="K25">
        <f t="shared" si="2"/>
        <v>0</v>
      </c>
      <c r="L25">
        <f t="shared" si="3"/>
        <v>0</v>
      </c>
      <c r="M25">
        <f t="shared" si="4"/>
        <v>24578087.824664202</v>
      </c>
      <c r="N25">
        <f t="shared" si="5"/>
        <v>4608391.4671245376</v>
      </c>
      <c r="O25">
        <f t="shared" si="6"/>
        <v>14936116.859296121</v>
      </c>
      <c r="P25">
        <f>M25*Inputs!B6/12</f>
        <v>117770.00415984931</v>
      </c>
      <c r="Q25">
        <f t="shared" si="7"/>
        <v>117770.00415984931</v>
      </c>
      <c r="R25">
        <f>N25*Inputs!B6/12</f>
        <v>22081.875779971742</v>
      </c>
      <c r="S25">
        <f t="shared" si="8"/>
        <v>22081.875779971742</v>
      </c>
      <c r="T25">
        <f t="shared" si="9"/>
        <v>48112.816449495207</v>
      </c>
      <c r="U25">
        <f t="shared" si="10"/>
        <v>0</v>
      </c>
      <c r="V25">
        <f t="shared" si="11"/>
        <v>48112.816449495207</v>
      </c>
      <c r="W25">
        <f t="shared" si="12"/>
        <v>3518130.2290900056</v>
      </c>
      <c r="X25">
        <f t="shared" si="13"/>
        <v>29186479.291788738</v>
      </c>
      <c r="Y25">
        <f t="shared" si="14"/>
        <v>2962635.9823915837</v>
      </c>
      <c r="Z25">
        <f t="shared" si="15"/>
        <v>555494.24669842189</v>
      </c>
      <c r="AA25">
        <f t="shared" si="16"/>
        <v>2962635.9823915837</v>
      </c>
      <c r="AB25">
        <f t="shared" si="17"/>
        <v>555494.24669842189</v>
      </c>
      <c r="AC25">
        <f t="shared" si="18"/>
        <v>0</v>
      </c>
      <c r="AD25">
        <f t="shared" si="19"/>
        <v>0</v>
      </c>
      <c r="AE25">
        <f t="shared" si="20"/>
        <v>0</v>
      </c>
      <c r="AF25">
        <f t="shared" si="21"/>
        <v>0</v>
      </c>
      <c r="AG25">
        <f t="shared" si="22"/>
        <v>0</v>
      </c>
      <c r="AH25">
        <f t="shared" si="23"/>
        <v>0</v>
      </c>
      <c r="AI25">
        <f t="shared" si="24"/>
        <v>3518130.2290900056</v>
      </c>
      <c r="AJ25">
        <f t="shared" si="25"/>
        <v>0</v>
      </c>
      <c r="AK25">
        <f t="shared" si="26"/>
        <v>0</v>
      </c>
      <c r="AL25">
        <f t="shared" si="27"/>
        <v>2962635.9823915837</v>
      </c>
      <c r="AM25">
        <f t="shared" si="28"/>
        <v>555494.24669842189</v>
      </c>
      <c r="AN25">
        <f t="shared" si="29"/>
        <v>0</v>
      </c>
      <c r="AO25">
        <f t="shared" si="30"/>
        <v>0</v>
      </c>
      <c r="AP25">
        <f t="shared" si="31"/>
        <v>21615451.842272617</v>
      </c>
      <c r="AQ25">
        <f t="shared" si="32"/>
        <v>4052897.2204261157</v>
      </c>
      <c r="AR25">
        <f t="shared" si="33"/>
        <v>14936116.859296121</v>
      </c>
      <c r="AS25">
        <f t="shared" si="34"/>
        <v>0</v>
      </c>
      <c r="AT25">
        <f t="shared" si="35"/>
        <v>0</v>
      </c>
      <c r="AU25">
        <f t="shared" si="36"/>
        <v>0</v>
      </c>
    </row>
    <row r="26" spans="1:47" x14ac:dyDescent="0.2">
      <c r="A26">
        <v>25</v>
      </c>
      <c r="B26">
        <f>PoolStates_V2!B26</f>
        <v>0</v>
      </c>
      <c r="C26">
        <f>PoolStates_V2!S26</f>
        <v>172929.29940942614</v>
      </c>
      <c r="D26">
        <f>PoolStates_V2!T26</f>
        <v>3237250.5782927712</v>
      </c>
      <c r="E26">
        <f>PoolStates_V2!Q26</f>
        <v>1298.3456553927185</v>
      </c>
      <c r="F26">
        <f t="shared" si="37"/>
        <v>21615451.842272617</v>
      </c>
      <c r="G26">
        <f t="shared" si="38"/>
        <v>4052897.2204261157</v>
      </c>
      <c r="H26">
        <f t="shared" si="39"/>
        <v>14936116.859296121</v>
      </c>
      <c r="I26">
        <f t="shared" si="0"/>
        <v>1298.3456553927185</v>
      </c>
      <c r="J26">
        <f t="shared" si="1"/>
        <v>0</v>
      </c>
      <c r="K26">
        <f t="shared" si="2"/>
        <v>0</v>
      </c>
      <c r="L26">
        <f t="shared" si="3"/>
        <v>0</v>
      </c>
      <c r="M26">
        <f t="shared" si="4"/>
        <v>21615451.842272617</v>
      </c>
      <c r="N26">
        <f t="shared" si="5"/>
        <v>4052897.2204261157</v>
      </c>
      <c r="O26">
        <f t="shared" si="6"/>
        <v>14934818.513640728</v>
      </c>
      <c r="P26">
        <f>M26*Inputs!B6/12</f>
        <v>103574.04007755629</v>
      </c>
      <c r="Q26">
        <f t="shared" si="7"/>
        <v>103574.04007755629</v>
      </c>
      <c r="R26">
        <f>N26*Inputs!B6/12</f>
        <v>19420.132514541805</v>
      </c>
      <c r="S26">
        <f t="shared" si="8"/>
        <v>19420.132514541805</v>
      </c>
      <c r="T26">
        <f t="shared" si="9"/>
        <v>49935.12681732804</v>
      </c>
      <c r="U26">
        <f t="shared" si="10"/>
        <v>0</v>
      </c>
      <c r="V26">
        <f t="shared" si="11"/>
        <v>49935.12681732804</v>
      </c>
      <c r="W26">
        <f t="shared" si="12"/>
        <v>3237250.5782927712</v>
      </c>
      <c r="X26">
        <f t="shared" si="13"/>
        <v>25668349.062698733</v>
      </c>
      <c r="Y26">
        <f t="shared" si="14"/>
        <v>2726105.7501412807</v>
      </c>
      <c r="Z26">
        <f t="shared" si="15"/>
        <v>511144.82815149054</v>
      </c>
      <c r="AA26">
        <f t="shared" si="16"/>
        <v>2726105.7501412807</v>
      </c>
      <c r="AB26">
        <f t="shared" si="17"/>
        <v>511144.82815149054</v>
      </c>
      <c r="AC26">
        <f t="shared" si="18"/>
        <v>0</v>
      </c>
      <c r="AD26">
        <f t="shared" si="19"/>
        <v>0</v>
      </c>
      <c r="AE26">
        <f t="shared" si="20"/>
        <v>0</v>
      </c>
      <c r="AF26">
        <f t="shared" si="21"/>
        <v>0</v>
      </c>
      <c r="AG26">
        <f t="shared" si="22"/>
        <v>0</v>
      </c>
      <c r="AH26">
        <f t="shared" si="23"/>
        <v>0</v>
      </c>
      <c r="AI26">
        <f t="shared" si="24"/>
        <v>3237250.5782927712</v>
      </c>
      <c r="AJ26">
        <f t="shared" si="25"/>
        <v>0</v>
      </c>
      <c r="AK26">
        <f t="shared" si="26"/>
        <v>0</v>
      </c>
      <c r="AL26">
        <f t="shared" si="27"/>
        <v>2726105.7501412807</v>
      </c>
      <c r="AM26">
        <f t="shared" si="28"/>
        <v>511144.82815149054</v>
      </c>
      <c r="AN26">
        <f t="shared" si="29"/>
        <v>0</v>
      </c>
      <c r="AO26">
        <f t="shared" si="30"/>
        <v>0</v>
      </c>
      <c r="AP26">
        <f t="shared" si="31"/>
        <v>18889346.092131335</v>
      </c>
      <c r="AQ26">
        <f t="shared" si="32"/>
        <v>3541752.3922746251</v>
      </c>
      <c r="AR26">
        <f t="shared" si="33"/>
        <v>14934818.513640728</v>
      </c>
      <c r="AS26">
        <f t="shared" si="34"/>
        <v>0</v>
      </c>
      <c r="AT26">
        <f t="shared" si="35"/>
        <v>0</v>
      </c>
      <c r="AU26">
        <f t="shared" si="36"/>
        <v>0</v>
      </c>
    </row>
    <row r="27" spans="1:47" x14ac:dyDescent="0.2">
      <c r="A27">
        <v>26</v>
      </c>
      <c r="B27">
        <f>PoolStates_V2!B27</f>
        <v>0</v>
      </c>
      <c r="C27">
        <f>PoolStates_V2!S27</f>
        <v>159099.71848115852</v>
      </c>
      <c r="D27">
        <f>PoolStates_V2!T27</f>
        <v>2978851.2896292945</v>
      </c>
      <c r="E27">
        <f>PoolStates_V2!Q27</f>
        <v>1209.7939470155441</v>
      </c>
      <c r="F27">
        <f t="shared" si="37"/>
        <v>18889346.092131335</v>
      </c>
      <c r="G27">
        <f t="shared" si="38"/>
        <v>3541752.3922746251</v>
      </c>
      <c r="H27">
        <f t="shared" si="39"/>
        <v>14934818.513640728</v>
      </c>
      <c r="I27">
        <f t="shared" si="0"/>
        <v>1209.7939470155441</v>
      </c>
      <c r="J27">
        <f t="shared" si="1"/>
        <v>0</v>
      </c>
      <c r="K27">
        <f t="shared" si="2"/>
        <v>0</v>
      </c>
      <c r="L27">
        <f t="shared" si="3"/>
        <v>0</v>
      </c>
      <c r="M27">
        <f t="shared" si="4"/>
        <v>18889346.092131335</v>
      </c>
      <c r="N27">
        <f t="shared" si="5"/>
        <v>3541752.3922746251</v>
      </c>
      <c r="O27">
        <f t="shared" si="6"/>
        <v>14933608.719693713</v>
      </c>
      <c r="P27">
        <f>M27*Inputs!B6/12</f>
        <v>90511.450024795995</v>
      </c>
      <c r="Q27">
        <f t="shared" si="7"/>
        <v>90511.450024795995</v>
      </c>
      <c r="R27">
        <f>N27*Inputs!B6/12</f>
        <v>16970.896879649245</v>
      </c>
      <c r="S27">
        <f t="shared" si="8"/>
        <v>16970.896879649245</v>
      </c>
      <c r="T27">
        <f t="shared" si="9"/>
        <v>51617.371576713282</v>
      </c>
      <c r="U27">
        <f t="shared" si="10"/>
        <v>0</v>
      </c>
      <c r="V27">
        <f t="shared" si="11"/>
        <v>51617.371576713282</v>
      </c>
      <c r="W27">
        <f t="shared" si="12"/>
        <v>2978851.2896292945</v>
      </c>
      <c r="X27">
        <f t="shared" si="13"/>
        <v>22431098.484405961</v>
      </c>
      <c r="Y27">
        <f t="shared" si="14"/>
        <v>2508506.3491615108</v>
      </c>
      <c r="Z27">
        <f t="shared" si="15"/>
        <v>470344.94046778372</v>
      </c>
      <c r="AA27">
        <f t="shared" si="16"/>
        <v>2508506.3491615108</v>
      </c>
      <c r="AB27">
        <f t="shared" si="17"/>
        <v>470344.94046778372</v>
      </c>
      <c r="AC27">
        <f t="shared" si="18"/>
        <v>0</v>
      </c>
      <c r="AD27">
        <f t="shared" si="19"/>
        <v>0</v>
      </c>
      <c r="AE27">
        <f t="shared" si="20"/>
        <v>0</v>
      </c>
      <c r="AF27">
        <f t="shared" si="21"/>
        <v>0</v>
      </c>
      <c r="AG27">
        <f t="shared" si="22"/>
        <v>0</v>
      </c>
      <c r="AH27">
        <f t="shared" si="23"/>
        <v>0</v>
      </c>
      <c r="AI27">
        <f t="shared" si="24"/>
        <v>2978851.2896292945</v>
      </c>
      <c r="AJ27">
        <f t="shared" si="25"/>
        <v>0</v>
      </c>
      <c r="AK27">
        <f t="shared" si="26"/>
        <v>0</v>
      </c>
      <c r="AL27">
        <f t="shared" si="27"/>
        <v>2508506.3491615108</v>
      </c>
      <c r="AM27">
        <f t="shared" si="28"/>
        <v>470344.94046778372</v>
      </c>
      <c r="AN27">
        <f t="shared" si="29"/>
        <v>0</v>
      </c>
      <c r="AO27">
        <f t="shared" si="30"/>
        <v>0</v>
      </c>
      <c r="AP27">
        <f t="shared" si="31"/>
        <v>16380839.742969824</v>
      </c>
      <c r="AQ27">
        <f t="shared" si="32"/>
        <v>3071407.4518068414</v>
      </c>
      <c r="AR27">
        <f t="shared" si="33"/>
        <v>14933608.719693713</v>
      </c>
      <c r="AS27">
        <f t="shared" si="34"/>
        <v>0</v>
      </c>
      <c r="AT27">
        <f t="shared" si="35"/>
        <v>0</v>
      </c>
      <c r="AU27">
        <f t="shared" si="36"/>
        <v>0</v>
      </c>
    </row>
    <row r="28" spans="1:47" x14ac:dyDescent="0.2">
      <c r="A28">
        <v>27</v>
      </c>
      <c r="B28">
        <f>PoolStates_V2!B28</f>
        <v>0</v>
      </c>
      <c r="C28">
        <f>PoolStates_V2!S28</f>
        <v>146378.74342776166</v>
      </c>
      <c r="D28">
        <f>PoolStates_V2!T28</f>
        <v>2741124.2478420516</v>
      </c>
      <c r="E28">
        <f>PoolStates_V2!Q28</f>
        <v>1126.3700066230299</v>
      </c>
      <c r="F28">
        <f t="shared" si="37"/>
        <v>16380839.742969824</v>
      </c>
      <c r="G28">
        <f t="shared" si="38"/>
        <v>3071407.4518068414</v>
      </c>
      <c r="H28">
        <f t="shared" si="39"/>
        <v>14933608.719693713</v>
      </c>
      <c r="I28">
        <f t="shared" si="0"/>
        <v>1126.3700066230299</v>
      </c>
      <c r="J28">
        <f t="shared" si="1"/>
        <v>0</v>
      </c>
      <c r="K28">
        <f t="shared" si="2"/>
        <v>0</v>
      </c>
      <c r="L28">
        <f t="shared" si="3"/>
        <v>0</v>
      </c>
      <c r="M28">
        <f t="shared" si="4"/>
        <v>16380839.742969824</v>
      </c>
      <c r="N28">
        <f t="shared" si="5"/>
        <v>3071407.4518068414</v>
      </c>
      <c r="O28">
        <f t="shared" si="6"/>
        <v>14932482.34968709</v>
      </c>
      <c r="P28">
        <f>M28*Inputs!B6/12</f>
        <v>78491.523768397077</v>
      </c>
      <c r="Q28">
        <f t="shared" si="7"/>
        <v>78491.523768397077</v>
      </c>
      <c r="R28">
        <f>N28*Inputs!B6/12</f>
        <v>14717.160706574448</v>
      </c>
      <c r="S28">
        <f t="shared" si="8"/>
        <v>14717.160706574448</v>
      </c>
      <c r="T28">
        <f t="shared" si="9"/>
        <v>53170.058952790132</v>
      </c>
      <c r="U28">
        <f t="shared" si="10"/>
        <v>0</v>
      </c>
      <c r="V28">
        <f t="shared" si="11"/>
        <v>53170.058952790132</v>
      </c>
      <c r="W28">
        <f t="shared" si="12"/>
        <v>2741124.2478420516</v>
      </c>
      <c r="X28">
        <f t="shared" si="13"/>
        <v>19452247.194776665</v>
      </c>
      <c r="Y28">
        <f t="shared" si="14"/>
        <v>2308315.1560775172</v>
      </c>
      <c r="Z28">
        <f t="shared" si="15"/>
        <v>432809.09176453436</v>
      </c>
      <c r="AA28">
        <f t="shared" si="16"/>
        <v>2308315.1560775172</v>
      </c>
      <c r="AB28">
        <f t="shared" si="17"/>
        <v>432809.09176453436</v>
      </c>
      <c r="AC28">
        <f t="shared" si="18"/>
        <v>0</v>
      </c>
      <c r="AD28">
        <f t="shared" si="19"/>
        <v>0</v>
      </c>
      <c r="AE28">
        <f t="shared" si="20"/>
        <v>0</v>
      </c>
      <c r="AF28">
        <f t="shared" si="21"/>
        <v>0</v>
      </c>
      <c r="AG28">
        <f t="shared" si="22"/>
        <v>0</v>
      </c>
      <c r="AH28">
        <f t="shared" si="23"/>
        <v>0</v>
      </c>
      <c r="AI28">
        <f t="shared" si="24"/>
        <v>2741124.2478420516</v>
      </c>
      <c r="AJ28">
        <f t="shared" si="25"/>
        <v>0</v>
      </c>
      <c r="AK28">
        <f t="shared" si="26"/>
        <v>0</v>
      </c>
      <c r="AL28">
        <f t="shared" si="27"/>
        <v>2308315.1560775172</v>
      </c>
      <c r="AM28">
        <f t="shared" si="28"/>
        <v>432809.09176453436</v>
      </c>
      <c r="AN28">
        <f t="shared" si="29"/>
        <v>0</v>
      </c>
      <c r="AO28">
        <f t="shared" si="30"/>
        <v>0</v>
      </c>
      <c r="AP28">
        <f t="shared" si="31"/>
        <v>14072524.586892307</v>
      </c>
      <c r="AQ28">
        <f t="shared" si="32"/>
        <v>2638598.3600423071</v>
      </c>
      <c r="AR28">
        <f t="shared" si="33"/>
        <v>14932482.34968709</v>
      </c>
      <c r="AS28">
        <f t="shared" si="34"/>
        <v>0</v>
      </c>
      <c r="AT28">
        <f t="shared" si="35"/>
        <v>0</v>
      </c>
      <c r="AU28">
        <f t="shared" si="36"/>
        <v>0</v>
      </c>
    </row>
    <row r="29" spans="1:47" x14ac:dyDescent="0.2">
      <c r="A29">
        <v>28</v>
      </c>
      <c r="B29">
        <f>PoolStates_V2!B29</f>
        <v>0</v>
      </c>
      <c r="C29">
        <f>PoolStates_V2!S29</f>
        <v>134677.0734403113</v>
      </c>
      <c r="D29">
        <f>PoolStates_V2!T29</f>
        <v>2522408.0351059502</v>
      </c>
      <c r="E29">
        <f>PoolStates_V2!Q29</f>
        <v>1047.914845795807</v>
      </c>
      <c r="F29">
        <f t="shared" si="37"/>
        <v>14072524.586892307</v>
      </c>
      <c r="G29">
        <f t="shared" si="38"/>
        <v>2638598.3600423071</v>
      </c>
      <c r="H29">
        <f t="shared" si="39"/>
        <v>14932482.34968709</v>
      </c>
      <c r="I29">
        <f t="shared" si="0"/>
        <v>1047.914845795807</v>
      </c>
      <c r="J29">
        <f t="shared" si="1"/>
        <v>0</v>
      </c>
      <c r="K29">
        <f t="shared" si="2"/>
        <v>0</v>
      </c>
      <c r="L29">
        <f t="shared" si="3"/>
        <v>0</v>
      </c>
      <c r="M29">
        <f t="shared" si="4"/>
        <v>14072524.586892307</v>
      </c>
      <c r="N29">
        <f t="shared" si="5"/>
        <v>2638598.3600423071</v>
      </c>
      <c r="O29">
        <f t="shared" si="6"/>
        <v>14931434.434841294</v>
      </c>
      <c r="P29">
        <f>M29*Inputs!B6/12</f>
        <v>67430.846978858972</v>
      </c>
      <c r="Q29">
        <f t="shared" si="7"/>
        <v>67430.846978858972</v>
      </c>
      <c r="R29">
        <f>N29*Inputs!B6/12</f>
        <v>12643.283808536056</v>
      </c>
      <c r="S29">
        <f t="shared" si="8"/>
        <v>12643.283808536056</v>
      </c>
      <c r="T29">
        <f t="shared" si="9"/>
        <v>54602.942652916274</v>
      </c>
      <c r="U29">
        <f t="shared" si="10"/>
        <v>0</v>
      </c>
      <c r="V29">
        <f t="shared" si="11"/>
        <v>54602.942652916274</v>
      </c>
      <c r="W29">
        <f t="shared" si="12"/>
        <v>2522408.0351059502</v>
      </c>
      <c r="X29">
        <f t="shared" si="13"/>
        <v>16711122.946934614</v>
      </c>
      <c r="Y29">
        <f t="shared" si="14"/>
        <v>2124133.0821944843</v>
      </c>
      <c r="Z29">
        <f t="shared" si="15"/>
        <v>398274.95291146589</v>
      </c>
      <c r="AA29">
        <f t="shared" si="16"/>
        <v>2124133.0821944843</v>
      </c>
      <c r="AB29">
        <f t="shared" si="17"/>
        <v>398274.95291146589</v>
      </c>
      <c r="AC29">
        <f t="shared" si="18"/>
        <v>0</v>
      </c>
      <c r="AD29">
        <f t="shared" si="19"/>
        <v>0</v>
      </c>
      <c r="AE29">
        <f t="shared" si="20"/>
        <v>0</v>
      </c>
      <c r="AF29">
        <f t="shared" si="21"/>
        <v>0</v>
      </c>
      <c r="AG29">
        <f t="shared" si="22"/>
        <v>0</v>
      </c>
      <c r="AH29">
        <f t="shared" si="23"/>
        <v>0</v>
      </c>
      <c r="AI29">
        <f t="shared" si="24"/>
        <v>2522408.0351059502</v>
      </c>
      <c r="AJ29">
        <f t="shared" si="25"/>
        <v>0</v>
      </c>
      <c r="AK29">
        <f t="shared" si="26"/>
        <v>0</v>
      </c>
      <c r="AL29">
        <f t="shared" si="27"/>
        <v>2124133.0821944843</v>
      </c>
      <c r="AM29">
        <f t="shared" si="28"/>
        <v>398274.95291146589</v>
      </c>
      <c r="AN29">
        <f t="shared" si="29"/>
        <v>0</v>
      </c>
      <c r="AO29">
        <f t="shared" si="30"/>
        <v>0</v>
      </c>
      <c r="AP29">
        <f t="shared" si="31"/>
        <v>11948391.504697822</v>
      </c>
      <c r="AQ29">
        <f t="shared" si="32"/>
        <v>2240323.4071308412</v>
      </c>
      <c r="AR29">
        <f t="shared" si="33"/>
        <v>14931434.434841294</v>
      </c>
      <c r="AS29">
        <f t="shared" si="34"/>
        <v>0</v>
      </c>
      <c r="AT29">
        <f t="shared" si="35"/>
        <v>0</v>
      </c>
      <c r="AU29">
        <f t="shared" si="36"/>
        <v>0</v>
      </c>
    </row>
    <row r="30" spans="1:47" x14ac:dyDescent="0.2">
      <c r="A30">
        <v>29</v>
      </c>
      <c r="B30">
        <f>PoolStates_V2!B30</f>
        <v>0</v>
      </c>
      <c r="C30">
        <f>PoolStates_V2!S30</f>
        <v>123912.6637254637</v>
      </c>
      <c r="D30">
        <f>PoolStates_V2!T30</f>
        <v>2321175.8574705315</v>
      </c>
      <c r="E30">
        <f>PoolStates_V2!Q30</f>
        <v>974.24978093507661</v>
      </c>
      <c r="F30">
        <f t="shared" si="37"/>
        <v>11948391.504697822</v>
      </c>
      <c r="G30">
        <f t="shared" si="38"/>
        <v>2240323.4071308412</v>
      </c>
      <c r="H30">
        <f t="shared" si="39"/>
        <v>14931434.434841294</v>
      </c>
      <c r="I30">
        <f t="shared" si="0"/>
        <v>974.24978093507661</v>
      </c>
      <c r="J30">
        <f t="shared" si="1"/>
        <v>0</v>
      </c>
      <c r="K30">
        <f t="shared" si="2"/>
        <v>0</v>
      </c>
      <c r="L30">
        <f t="shared" si="3"/>
        <v>0</v>
      </c>
      <c r="M30">
        <f t="shared" si="4"/>
        <v>11948391.504697822</v>
      </c>
      <c r="N30">
        <f t="shared" si="5"/>
        <v>2240323.4071308412</v>
      </c>
      <c r="O30">
        <f t="shared" si="6"/>
        <v>14930460.18506036</v>
      </c>
      <c r="P30">
        <f>M30*Inputs!B6/12</f>
        <v>57252.709293343731</v>
      </c>
      <c r="Q30">
        <f t="shared" si="7"/>
        <v>57252.709293343731</v>
      </c>
      <c r="R30">
        <f>N30*Inputs!B6/12</f>
        <v>10734.882992501947</v>
      </c>
      <c r="S30">
        <f t="shared" si="8"/>
        <v>10734.882992501947</v>
      </c>
      <c r="T30">
        <f t="shared" si="9"/>
        <v>55925.071439618019</v>
      </c>
      <c r="U30">
        <f t="shared" si="10"/>
        <v>0</v>
      </c>
      <c r="V30">
        <f t="shared" si="11"/>
        <v>55925.071439618019</v>
      </c>
      <c r="W30">
        <f t="shared" si="12"/>
        <v>2321175.8574705315</v>
      </c>
      <c r="X30">
        <f t="shared" si="13"/>
        <v>14188714.911828663</v>
      </c>
      <c r="Y30">
        <f t="shared" si="14"/>
        <v>1954674.406290974</v>
      </c>
      <c r="Z30">
        <f t="shared" si="15"/>
        <v>366501.45117955748</v>
      </c>
      <c r="AA30">
        <f t="shared" si="16"/>
        <v>1954674.406290974</v>
      </c>
      <c r="AB30">
        <f t="shared" si="17"/>
        <v>366501.45117955748</v>
      </c>
      <c r="AC30">
        <f t="shared" si="18"/>
        <v>0</v>
      </c>
      <c r="AD30">
        <f t="shared" si="19"/>
        <v>0</v>
      </c>
      <c r="AE30">
        <f t="shared" si="20"/>
        <v>0</v>
      </c>
      <c r="AF30">
        <f t="shared" si="21"/>
        <v>0</v>
      </c>
      <c r="AG30">
        <f t="shared" si="22"/>
        <v>0</v>
      </c>
      <c r="AH30">
        <f t="shared" si="23"/>
        <v>0</v>
      </c>
      <c r="AI30">
        <f t="shared" si="24"/>
        <v>2321175.8574705315</v>
      </c>
      <c r="AJ30">
        <f t="shared" si="25"/>
        <v>0</v>
      </c>
      <c r="AK30">
        <f t="shared" si="26"/>
        <v>0</v>
      </c>
      <c r="AL30">
        <f t="shared" si="27"/>
        <v>1954674.406290974</v>
      </c>
      <c r="AM30">
        <f t="shared" si="28"/>
        <v>366501.45117955748</v>
      </c>
      <c r="AN30">
        <f t="shared" si="29"/>
        <v>0</v>
      </c>
      <c r="AO30">
        <f t="shared" si="30"/>
        <v>0</v>
      </c>
      <c r="AP30">
        <f t="shared" si="31"/>
        <v>9993717.0984068476</v>
      </c>
      <c r="AQ30">
        <f t="shared" si="32"/>
        <v>1873821.9559512837</v>
      </c>
      <c r="AR30">
        <f t="shared" si="33"/>
        <v>14930460.18506036</v>
      </c>
      <c r="AS30">
        <f t="shared" si="34"/>
        <v>0</v>
      </c>
      <c r="AT30">
        <f t="shared" si="35"/>
        <v>0</v>
      </c>
      <c r="AU30">
        <f t="shared" si="36"/>
        <v>0</v>
      </c>
    </row>
    <row r="31" spans="1:47" x14ac:dyDescent="0.2">
      <c r="A31">
        <v>30</v>
      </c>
      <c r="B31">
        <f>PoolStates_V2!B31</f>
        <v>0</v>
      </c>
      <c r="C31">
        <f>PoolStates_V2!S31</f>
        <v>114010.12740392644</v>
      </c>
      <c r="D31">
        <f>PoolStates_V2!T31</f>
        <v>2136024.4873659047</v>
      </c>
      <c r="E31">
        <f>PoolStates_V2!Q31</f>
        <v>905.18220683544678</v>
      </c>
      <c r="F31">
        <f t="shared" si="37"/>
        <v>9993717.0984068476</v>
      </c>
      <c r="G31">
        <f t="shared" si="38"/>
        <v>1873821.9559512837</v>
      </c>
      <c r="H31">
        <f t="shared" si="39"/>
        <v>14930460.18506036</v>
      </c>
      <c r="I31">
        <f t="shared" si="0"/>
        <v>905.18220683544678</v>
      </c>
      <c r="J31">
        <f t="shared" si="1"/>
        <v>0</v>
      </c>
      <c r="K31">
        <f t="shared" si="2"/>
        <v>0</v>
      </c>
      <c r="L31">
        <f t="shared" si="3"/>
        <v>0</v>
      </c>
      <c r="M31">
        <f t="shared" si="4"/>
        <v>9993717.0984068476</v>
      </c>
      <c r="N31">
        <f t="shared" si="5"/>
        <v>1873821.9559512837</v>
      </c>
      <c r="O31">
        <f t="shared" si="6"/>
        <v>14929555.002853524</v>
      </c>
      <c r="P31">
        <f>M31*Inputs!B6/12</f>
        <v>47886.561096532816</v>
      </c>
      <c r="Q31">
        <f t="shared" si="7"/>
        <v>47886.561096532816</v>
      </c>
      <c r="R31">
        <f>N31*Inputs!B6/12</f>
        <v>8978.7302055999007</v>
      </c>
      <c r="S31">
        <f t="shared" si="8"/>
        <v>8978.7302055999007</v>
      </c>
      <c r="T31">
        <f t="shared" si="9"/>
        <v>57144.836101793728</v>
      </c>
      <c r="U31">
        <f t="shared" si="10"/>
        <v>0</v>
      </c>
      <c r="V31">
        <f t="shared" si="11"/>
        <v>57144.836101793728</v>
      </c>
      <c r="W31">
        <f t="shared" si="12"/>
        <v>2136024.4873659047</v>
      </c>
      <c r="X31">
        <f t="shared" si="13"/>
        <v>11867539.054358132</v>
      </c>
      <c r="Y31">
        <f t="shared" si="14"/>
        <v>1798757.4630449724</v>
      </c>
      <c r="Z31">
        <f t="shared" si="15"/>
        <v>337267.02432093234</v>
      </c>
      <c r="AA31">
        <f t="shared" si="16"/>
        <v>1798757.4630449724</v>
      </c>
      <c r="AB31">
        <f t="shared" si="17"/>
        <v>337267.02432093234</v>
      </c>
      <c r="AC31">
        <f t="shared" si="18"/>
        <v>0</v>
      </c>
      <c r="AD31">
        <f t="shared" si="19"/>
        <v>0</v>
      </c>
      <c r="AE31">
        <f t="shared" si="20"/>
        <v>0</v>
      </c>
      <c r="AF31">
        <f t="shared" si="21"/>
        <v>0</v>
      </c>
      <c r="AG31">
        <f t="shared" si="22"/>
        <v>0</v>
      </c>
      <c r="AH31">
        <f t="shared" si="23"/>
        <v>0</v>
      </c>
      <c r="AI31">
        <f t="shared" si="24"/>
        <v>2136024.4873659047</v>
      </c>
      <c r="AJ31">
        <f t="shared" si="25"/>
        <v>0</v>
      </c>
      <c r="AK31">
        <f t="shared" si="26"/>
        <v>0</v>
      </c>
      <c r="AL31">
        <f t="shared" si="27"/>
        <v>1798757.4630449724</v>
      </c>
      <c r="AM31">
        <f t="shared" si="28"/>
        <v>337267.02432093234</v>
      </c>
      <c r="AN31">
        <f t="shared" si="29"/>
        <v>0</v>
      </c>
      <c r="AO31">
        <f t="shared" si="30"/>
        <v>0</v>
      </c>
      <c r="AP31">
        <f t="shared" si="31"/>
        <v>8194959.6353618754</v>
      </c>
      <c r="AQ31">
        <f t="shared" si="32"/>
        <v>1536554.9316303513</v>
      </c>
      <c r="AR31">
        <f t="shared" si="33"/>
        <v>14929555.002853524</v>
      </c>
      <c r="AS31">
        <f t="shared" si="34"/>
        <v>0</v>
      </c>
      <c r="AT31">
        <f t="shared" si="35"/>
        <v>0</v>
      </c>
      <c r="AU31">
        <f t="shared" si="36"/>
        <v>0</v>
      </c>
    </row>
    <row r="32" spans="1:47" x14ac:dyDescent="0.2">
      <c r="A32">
        <v>31</v>
      </c>
      <c r="B32">
        <f>PoolStates_V2!B32</f>
        <v>0</v>
      </c>
      <c r="C32">
        <f>PoolStates_V2!S32</f>
        <v>104900.18782658114</v>
      </c>
      <c r="D32">
        <f>PoolStates_V2!T32</f>
        <v>1965664.133851347</v>
      </c>
      <c r="E32">
        <f>PoolStates_V2!Q32</f>
        <v>840.51036290016384</v>
      </c>
      <c r="F32">
        <f t="shared" si="37"/>
        <v>8194959.6353618754</v>
      </c>
      <c r="G32">
        <f t="shared" si="38"/>
        <v>1536554.9316303513</v>
      </c>
      <c r="H32">
        <f t="shared" si="39"/>
        <v>14929555.002853524</v>
      </c>
      <c r="I32">
        <f t="shared" si="0"/>
        <v>840.51036290016384</v>
      </c>
      <c r="J32">
        <f t="shared" si="1"/>
        <v>0</v>
      </c>
      <c r="K32">
        <f t="shared" si="2"/>
        <v>0</v>
      </c>
      <c r="L32">
        <f t="shared" si="3"/>
        <v>0</v>
      </c>
      <c r="M32">
        <f t="shared" si="4"/>
        <v>8194959.6353618754</v>
      </c>
      <c r="N32">
        <f t="shared" si="5"/>
        <v>1536554.9316303513</v>
      </c>
      <c r="O32">
        <f t="shared" si="6"/>
        <v>14928714.492490623</v>
      </c>
      <c r="P32">
        <f>M32*Inputs!B6/12</f>
        <v>39267.514919442321</v>
      </c>
      <c r="Q32">
        <f t="shared" si="7"/>
        <v>39267.514919442321</v>
      </c>
      <c r="R32">
        <f>N32*Inputs!B6/12</f>
        <v>7362.6590473954338</v>
      </c>
      <c r="S32">
        <f t="shared" si="8"/>
        <v>7362.6590473954338</v>
      </c>
      <c r="T32">
        <f t="shared" si="9"/>
        <v>58270.013859743391</v>
      </c>
      <c r="U32">
        <f t="shared" si="10"/>
        <v>0</v>
      </c>
      <c r="V32">
        <f t="shared" si="11"/>
        <v>58270.013859743391</v>
      </c>
      <c r="W32">
        <f t="shared" si="12"/>
        <v>1965664.133851347</v>
      </c>
      <c r="X32">
        <f t="shared" si="13"/>
        <v>9731514.566992227</v>
      </c>
      <c r="Y32">
        <f t="shared" si="14"/>
        <v>1655296.1127169237</v>
      </c>
      <c r="Z32">
        <f t="shared" si="15"/>
        <v>310368.02113442332</v>
      </c>
      <c r="AA32">
        <f t="shared" si="16"/>
        <v>1655296.1127169237</v>
      </c>
      <c r="AB32">
        <f t="shared" si="17"/>
        <v>310368.02113442332</v>
      </c>
      <c r="AC32">
        <f t="shared" si="18"/>
        <v>0</v>
      </c>
      <c r="AD32">
        <f t="shared" si="19"/>
        <v>0</v>
      </c>
      <c r="AE32">
        <f t="shared" si="20"/>
        <v>0</v>
      </c>
      <c r="AF32">
        <f t="shared" si="21"/>
        <v>0</v>
      </c>
      <c r="AG32">
        <f t="shared" si="22"/>
        <v>0</v>
      </c>
      <c r="AH32">
        <f t="shared" si="23"/>
        <v>0</v>
      </c>
      <c r="AI32">
        <f t="shared" si="24"/>
        <v>1965664.133851347</v>
      </c>
      <c r="AJ32">
        <f t="shared" si="25"/>
        <v>0</v>
      </c>
      <c r="AK32">
        <f t="shared" si="26"/>
        <v>0</v>
      </c>
      <c r="AL32">
        <f t="shared" si="27"/>
        <v>1655296.1127169237</v>
      </c>
      <c r="AM32">
        <f t="shared" si="28"/>
        <v>310368.02113442332</v>
      </c>
      <c r="AN32">
        <f t="shared" si="29"/>
        <v>0</v>
      </c>
      <c r="AO32">
        <f t="shared" si="30"/>
        <v>0</v>
      </c>
      <c r="AP32">
        <f t="shared" si="31"/>
        <v>6539663.5226449519</v>
      </c>
      <c r="AQ32">
        <f t="shared" si="32"/>
        <v>1226186.910495928</v>
      </c>
      <c r="AR32">
        <f t="shared" si="33"/>
        <v>14928714.492490623</v>
      </c>
      <c r="AS32">
        <f t="shared" si="34"/>
        <v>0</v>
      </c>
      <c r="AT32">
        <f t="shared" si="35"/>
        <v>0</v>
      </c>
      <c r="AU32">
        <f t="shared" si="36"/>
        <v>0</v>
      </c>
    </row>
    <row r="33" spans="1:47" x14ac:dyDescent="0.2">
      <c r="A33">
        <v>32</v>
      </c>
      <c r="B33">
        <f>PoolStates_V2!B33</f>
        <v>0</v>
      </c>
      <c r="C33">
        <f>PoolStates_V2!S33</f>
        <v>96519.176916816796</v>
      </c>
      <c r="D33">
        <f>PoolStates_V2!T33</f>
        <v>1808909.1602932357</v>
      </c>
      <c r="E33">
        <f>PoolStates_V2!Q33</f>
        <v>780.0272437721294</v>
      </c>
      <c r="F33">
        <f t="shared" si="37"/>
        <v>6539663.5226449519</v>
      </c>
      <c r="G33">
        <f t="shared" si="38"/>
        <v>1226186.910495928</v>
      </c>
      <c r="H33">
        <f t="shared" si="39"/>
        <v>14928714.492490623</v>
      </c>
      <c r="I33">
        <f t="shared" si="0"/>
        <v>780.0272437721294</v>
      </c>
      <c r="J33">
        <f t="shared" si="1"/>
        <v>0</v>
      </c>
      <c r="K33">
        <f t="shared" si="2"/>
        <v>0</v>
      </c>
      <c r="L33">
        <f t="shared" si="3"/>
        <v>0</v>
      </c>
      <c r="M33">
        <f t="shared" si="4"/>
        <v>6539663.5226449519</v>
      </c>
      <c r="N33">
        <f t="shared" si="5"/>
        <v>1226186.910495928</v>
      </c>
      <c r="O33">
        <f t="shared" si="6"/>
        <v>14927934.465246851</v>
      </c>
      <c r="P33">
        <f>M33*Inputs!B6/12</f>
        <v>31335.887712673732</v>
      </c>
      <c r="Q33">
        <f t="shared" si="7"/>
        <v>31335.887712673732</v>
      </c>
      <c r="R33">
        <f>N33*Inputs!B6/12</f>
        <v>5875.4789461263217</v>
      </c>
      <c r="S33">
        <f t="shared" si="8"/>
        <v>5875.4789461263217</v>
      </c>
      <c r="T33">
        <f t="shared" si="9"/>
        <v>59307.81025801674</v>
      </c>
      <c r="U33">
        <f t="shared" si="10"/>
        <v>0</v>
      </c>
      <c r="V33">
        <f t="shared" si="11"/>
        <v>59307.81025801674</v>
      </c>
      <c r="W33">
        <f t="shared" si="12"/>
        <v>1808909.1602932357</v>
      </c>
      <c r="X33">
        <f t="shared" si="13"/>
        <v>7765850.4331408795</v>
      </c>
      <c r="Y33">
        <f t="shared" si="14"/>
        <v>1523291.9244574618</v>
      </c>
      <c r="Z33">
        <f t="shared" si="15"/>
        <v>285617.23583577387</v>
      </c>
      <c r="AA33">
        <f t="shared" si="16"/>
        <v>1523291.9244574618</v>
      </c>
      <c r="AB33">
        <f t="shared" si="17"/>
        <v>285617.23583577387</v>
      </c>
      <c r="AC33">
        <f t="shared" si="18"/>
        <v>0</v>
      </c>
      <c r="AD33">
        <f t="shared" si="19"/>
        <v>0</v>
      </c>
      <c r="AE33">
        <f t="shared" si="20"/>
        <v>0</v>
      </c>
      <c r="AF33">
        <f t="shared" si="21"/>
        <v>0</v>
      </c>
      <c r="AG33">
        <f t="shared" si="22"/>
        <v>0</v>
      </c>
      <c r="AH33">
        <f t="shared" si="23"/>
        <v>0</v>
      </c>
      <c r="AI33">
        <f t="shared" si="24"/>
        <v>1808909.1602932357</v>
      </c>
      <c r="AJ33">
        <f t="shared" si="25"/>
        <v>0</v>
      </c>
      <c r="AK33">
        <f t="shared" si="26"/>
        <v>0</v>
      </c>
      <c r="AL33">
        <f t="shared" si="27"/>
        <v>1523291.9244574618</v>
      </c>
      <c r="AM33">
        <f t="shared" si="28"/>
        <v>285617.23583577387</v>
      </c>
      <c r="AN33">
        <f t="shared" si="29"/>
        <v>0</v>
      </c>
      <c r="AO33">
        <f t="shared" si="30"/>
        <v>0</v>
      </c>
      <c r="AP33">
        <f t="shared" si="31"/>
        <v>5016371.5981874904</v>
      </c>
      <c r="AQ33">
        <f t="shared" si="32"/>
        <v>940569.67466015415</v>
      </c>
      <c r="AR33">
        <f t="shared" si="33"/>
        <v>14927934.465246851</v>
      </c>
      <c r="AS33">
        <f t="shared" si="34"/>
        <v>0</v>
      </c>
      <c r="AT33">
        <f t="shared" si="35"/>
        <v>0</v>
      </c>
      <c r="AU33">
        <f t="shared" si="36"/>
        <v>0</v>
      </c>
    </row>
    <row r="34" spans="1:47" x14ac:dyDescent="0.2">
      <c r="A34">
        <v>33</v>
      </c>
      <c r="B34">
        <f>PoolStates_V2!B34</f>
        <v>0</v>
      </c>
      <c r="C34">
        <f>PoolStates_V2!S34</f>
        <v>88808.575547121785</v>
      </c>
      <c r="D34">
        <f>PoolStates_V2!T34</f>
        <v>1664669.5764094449</v>
      </c>
      <c r="E34">
        <f>PoolStates_V2!Q34</f>
        <v>723.52378462525871</v>
      </c>
      <c r="F34">
        <f t="shared" si="37"/>
        <v>5016371.5981874904</v>
      </c>
      <c r="G34">
        <f t="shared" si="38"/>
        <v>940569.67466015415</v>
      </c>
      <c r="H34">
        <f t="shared" si="39"/>
        <v>14927934.465246851</v>
      </c>
      <c r="I34">
        <f t="shared" si="0"/>
        <v>723.52378462525871</v>
      </c>
      <c r="J34">
        <f t="shared" si="1"/>
        <v>0</v>
      </c>
      <c r="K34">
        <f t="shared" si="2"/>
        <v>0</v>
      </c>
      <c r="L34">
        <f t="shared" si="3"/>
        <v>0</v>
      </c>
      <c r="M34">
        <f t="shared" si="4"/>
        <v>5016371.5981874904</v>
      </c>
      <c r="N34">
        <f t="shared" si="5"/>
        <v>940569.67466015415</v>
      </c>
      <c r="O34">
        <f t="shared" si="6"/>
        <v>14927210.941462226</v>
      </c>
      <c r="P34">
        <f>M34*Inputs!B6/12</f>
        <v>24036.780574648394</v>
      </c>
      <c r="Q34">
        <f t="shared" si="7"/>
        <v>24036.780574648394</v>
      </c>
      <c r="R34">
        <f>N34*Inputs!B6/12</f>
        <v>4506.896357746572</v>
      </c>
      <c r="S34">
        <f t="shared" si="8"/>
        <v>4506.896357746572</v>
      </c>
      <c r="T34">
        <f t="shared" si="9"/>
        <v>60264.898614726822</v>
      </c>
      <c r="U34">
        <f t="shared" si="10"/>
        <v>0</v>
      </c>
      <c r="V34">
        <f t="shared" si="11"/>
        <v>60264.898614726822</v>
      </c>
      <c r="W34">
        <f t="shared" si="12"/>
        <v>1664669.5764094449</v>
      </c>
      <c r="X34">
        <f t="shared" si="13"/>
        <v>5956941.272847645</v>
      </c>
      <c r="Y34">
        <f t="shared" si="14"/>
        <v>1401827.0117132168</v>
      </c>
      <c r="Z34">
        <f t="shared" si="15"/>
        <v>262842.56469622813</v>
      </c>
      <c r="AA34">
        <f t="shared" si="16"/>
        <v>1401827.0117132168</v>
      </c>
      <c r="AB34">
        <f t="shared" si="17"/>
        <v>262842.56469622813</v>
      </c>
      <c r="AC34">
        <f t="shared" si="18"/>
        <v>0</v>
      </c>
      <c r="AD34">
        <f t="shared" si="19"/>
        <v>0</v>
      </c>
      <c r="AE34">
        <f t="shared" si="20"/>
        <v>0</v>
      </c>
      <c r="AF34">
        <f t="shared" si="21"/>
        <v>0</v>
      </c>
      <c r="AG34">
        <f t="shared" si="22"/>
        <v>0</v>
      </c>
      <c r="AH34">
        <f t="shared" si="23"/>
        <v>0</v>
      </c>
      <c r="AI34">
        <f t="shared" si="24"/>
        <v>1664669.5764094449</v>
      </c>
      <c r="AJ34">
        <f t="shared" si="25"/>
        <v>0</v>
      </c>
      <c r="AK34">
        <f t="shared" si="26"/>
        <v>0</v>
      </c>
      <c r="AL34">
        <f t="shared" si="27"/>
        <v>1401827.0117132168</v>
      </c>
      <c r="AM34">
        <f t="shared" si="28"/>
        <v>262842.56469622813</v>
      </c>
      <c r="AN34">
        <f t="shared" si="29"/>
        <v>0</v>
      </c>
      <c r="AO34">
        <f t="shared" si="30"/>
        <v>0</v>
      </c>
      <c r="AP34">
        <f t="shared" si="31"/>
        <v>3614544.5864742734</v>
      </c>
      <c r="AQ34">
        <f t="shared" si="32"/>
        <v>677727.10996392602</v>
      </c>
      <c r="AR34">
        <f t="shared" si="33"/>
        <v>14927210.941462226</v>
      </c>
      <c r="AS34">
        <f t="shared" si="34"/>
        <v>0</v>
      </c>
      <c r="AT34">
        <f t="shared" si="35"/>
        <v>0</v>
      </c>
      <c r="AU34">
        <f t="shared" si="36"/>
        <v>0</v>
      </c>
    </row>
    <row r="35" spans="1:47" x14ac:dyDescent="0.2">
      <c r="A35">
        <v>34</v>
      </c>
      <c r="B35">
        <f>PoolStates_V2!B35</f>
        <v>0</v>
      </c>
      <c r="C35">
        <f>PoolStates_V2!S35</f>
        <v>81714.59231935053</v>
      </c>
      <c r="D35">
        <f>PoolStates_V2!T35</f>
        <v>1531943.2381819407</v>
      </c>
      <c r="E35">
        <f>PoolStates_V2!Q35</f>
        <v>670.79143283428482</v>
      </c>
      <c r="F35">
        <f t="shared" si="37"/>
        <v>3614544.5864742734</v>
      </c>
      <c r="G35">
        <f t="shared" si="38"/>
        <v>677727.10996392602</v>
      </c>
      <c r="H35">
        <f t="shared" si="39"/>
        <v>14927210.941462226</v>
      </c>
      <c r="I35">
        <f t="shared" si="0"/>
        <v>670.79143283428482</v>
      </c>
      <c r="J35">
        <f t="shared" si="1"/>
        <v>0</v>
      </c>
      <c r="K35">
        <f t="shared" si="2"/>
        <v>0</v>
      </c>
      <c r="L35">
        <f t="shared" si="3"/>
        <v>0</v>
      </c>
      <c r="M35">
        <f t="shared" si="4"/>
        <v>3614544.5864742734</v>
      </c>
      <c r="N35">
        <f t="shared" si="5"/>
        <v>677727.10996392602</v>
      </c>
      <c r="O35">
        <f t="shared" si="6"/>
        <v>14926540.150029391</v>
      </c>
      <c r="P35">
        <f>M35*Inputs!B6/12</f>
        <v>17319.692810189226</v>
      </c>
      <c r="Q35">
        <f t="shared" si="7"/>
        <v>17319.692810189226</v>
      </c>
      <c r="R35">
        <f>N35*Inputs!B6/12</f>
        <v>3247.442401910479</v>
      </c>
      <c r="S35">
        <f t="shared" si="8"/>
        <v>3247.442401910479</v>
      </c>
      <c r="T35">
        <f t="shared" si="9"/>
        <v>61147.457107250826</v>
      </c>
      <c r="U35">
        <f t="shared" si="10"/>
        <v>0</v>
      </c>
      <c r="V35">
        <f t="shared" si="11"/>
        <v>61147.457107250826</v>
      </c>
      <c r="W35">
        <f t="shared" si="12"/>
        <v>1531943.2381819407</v>
      </c>
      <c r="X35">
        <f t="shared" si="13"/>
        <v>4292271.6964381989</v>
      </c>
      <c r="Y35">
        <f t="shared" si="14"/>
        <v>1290057.4637321609</v>
      </c>
      <c r="Z35">
        <f t="shared" si="15"/>
        <v>241885.77444977988</v>
      </c>
      <c r="AA35">
        <f t="shared" si="16"/>
        <v>1290057.4637321609</v>
      </c>
      <c r="AB35">
        <f t="shared" si="17"/>
        <v>241885.77444977988</v>
      </c>
      <c r="AC35">
        <f t="shared" si="18"/>
        <v>0</v>
      </c>
      <c r="AD35">
        <f t="shared" si="19"/>
        <v>0</v>
      </c>
      <c r="AE35">
        <f t="shared" si="20"/>
        <v>0</v>
      </c>
      <c r="AF35">
        <f t="shared" si="21"/>
        <v>0</v>
      </c>
      <c r="AG35">
        <f t="shared" si="22"/>
        <v>0</v>
      </c>
      <c r="AH35">
        <f t="shared" si="23"/>
        <v>0</v>
      </c>
      <c r="AI35">
        <f t="shared" si="24"/>
        <v>1531943.2381819407</v>
      </c>
      <c r="AJ35">
        <f t="shared" si="25"/>
        <v>0</v>
      </c>
      <c r="AK35">
        <f t="shared" si="26"/>
        <v>0</v>
      </c>
      <c r="AL35">
        <f t="shared" si="27"/>
        <v>1290057.4637321609</v>
      </c>
      <c r="AM35">
        <f t="shared" si="28"/>
        <v>241885.77444977988</v>
      </c>
      <c r="AN35">
        <f t="shared" si="29"/>
        <v>0</v>
      </c>
      <c r="AO35">
        <f t="shared" si="30"/>
        <v>0</v>
      </c>
      <c r="AP35">
        <f t="shared" si="31"/>
        <v>2324487.1227421127</v>
      </c>
      <c r="AQ35">
        <f t="shared" si="32"/>
        <v>435841.33551414614</v>
      </c>
      <c r="AR35">
        <f t="shared" si="33"/>
        <v>14926540.150029391</v>
      </c>
      <c r="AS35">
        <f t="shared" si="34"/>
        <v>0</v>
      </c>
      <c r="AT35">
        <f t="shared" si="35"/>
        <v>0</v>
      </c>
      <c r="AU35">
        <f t="shared" si="36"/>
        <v>0</v>
      </c>
    </row>
    <row r="36" spans="1:47" x14ac:dyDescent="0.2">
      <c r="A36">
        <v>35</v>
      </c>
      <c r="B36">
        <f>PoolStates_V2!B36</f>
        <v>0</v>
      </c>
      <c r="C36">
        <f>PoolStates_V2!S36</f>
        <v>75187.77744504335</v>
      </c>
      <c r="D36">
        <f>PoolStates_V2!T36</f>
        <v>1409808.6950843825</v>
      </c>
      <c r="E36">
        <f>PoolStates_V2!Q36</f>
        <v>621.62420178256002</v>
      </c>
      <c r="F36">
        <f t="shared" si="37"/>
        <v>2324487.1227421127</v>
      </c>
      <c r="G36">
        <f t="shared" si="38"/>
        <v>435841.33551414614</v>
      </c>
      <c r="H36">
        <f t="shared" si="39"/>
        <v>14926540.150029391</v>
      </c>
      <c r="I36">
        <f t="shared" si="0"/>
        <v>621.62420178256002</v>
      </c>
      <c r="J36">
        <f t="shared" si="1"/>
        <v>0</v>
      </c>
      <c r="K36">
        <f t="shared" si="2"/>
        <v>0</v>
      </c>
      <c r="L36">
        <f t="shared" si="3"/>
        <v>0</v>
      </c>
      <c r="M36">
        <f t="shared" si="4"/>
        <v>2324487.1227421127</v>
      </c>
      <c r="N36">
        <f t="shared" si="5"/>
        <v>435841.33551414614</v>
      </c>
      <c r="O36">
        <f t="shared" si="6"/>
        <v>14925918.525827609</v>
      </c>
      <c r="P36">
        <f>M36*Inputs!B6/12</f>
        <v>11138.167463139291</v>
      </c>
      <c r="Q36">
        <f t="shared" si="7"/>
        <v>11138.167463139291</v>
      </c>
      <c r="R36">
        <f>N36*Inputs!B6/12</f>
        <v>2088.4063993386171</v>
      </c>
      <c r="S36">
        <f t="shared" si="8"/>
        <v>2088.4063993386171</v>
      </c>
      <c r="T36">
        <f t="shared" si="9"/>
        <v>61961.203582565446</v>
      </c>
      <c r="U36">
        <f t="shared" si="10"/>
        <v>0</v>
      </c>
      <c r="V36">
        <f t="shared" si="11"/>
        <v>61961.203582565446</v>
      </c>
      <c r="W36">
        <f t="shared" si="12"/>
        <v>1409808.6950843825</v>
      </c>
      <c r="X36">
        <f t="shared" si="13"/>
        <v>2760328.4582562586</v>
      </c>
      <c r="Y36">
        <f t="shared" si="14"/>
        <v>1187207.3221763223</v>
      </c>
      <c r="Z36">
        <f t="shared" si="15"/>
        <v>222601.37290806021</v>
      </c>
      <c r="AA36">
        <f t="shared" si="16"/>
        <v>1187207.3221763223</v>
      </c>
      <c r="AB36">
        <f t="shared" si="17"/>
        <v>222601.37290806021</v>
      </c>
      <c r="AC36">
        <f t="shared" si="18"/>
        <v>0</v>
      </c>
      <c r="AD36">
        <f t="shared" si="19"/>
        <v>0</v>
      </c>
      <c r="AE36">
        <f t="shared" si="20"/>
        <v>0</v>
      </c>
      <c r="AF36">
        <f t="shared" si="21"/>
        <v>0</v>
      </c>
      <c r="AG36">
        <f t="shared" si="22"/>
        <v>0</v>
      </c>
      <c r="AH36">
        <f t="shared" si="23"/>
        <v>0</v>
      </c>
      <c r="AI36">
        <f t="shared" si="24"/>
        <v>1409808.6950843825</v>
      </c>
      <c r="AJ36">
        <f t="shared" si="25"/>
        <v>0</v>
      </c>
      <c r="AK36">
        <f t="shared" si="26"/>
        <v>0</v>
      </c>
      <c r="AL36">
        <f t="shared" si="27"/>
        <v>1187207.3221763223</v>
      </c>
      <c r="AM36">
        <f t="shared" si="28"/>
        <v>222601.37290806021</v>
      </c>
      <c r="AN36">
        <f t="shared" si="29"/>
        <v>0</v>
      </c>
      <c r="AO36">
        <f t="shared" si="30"/>
        <v>0</v>
      </c>
      <c r="AP36">
        <f t="shared" si="31"/>
        <v>1137279.8005657904</v>
      </c>
      <c r="AQ36">
        <f t="shared" si="32"/>
        <v>213239.96260608593</v>
      </c>
      <c r="AR36">
        <f t="shared" si="33"/>
        <v>14925918.525827609</v>
      </c>
      <c r="AS36">
        <f t="shared" si="34"/>
        <v>0</v>
      </c>
      <c r="AT36">
        <f t="shared" si="35"/>
        <v>0</v>
      </c>
      <c r="AU36">
        <f t="shared" si="36"/>
        <v>0</v>
      </c>
    </row>
    <row r="37" spans="1:47" x14ac:dyDescent="0.2">
      <c r="A37">
        <v>36</v>
      </c>
      <c r="B37">
        <f>PoolStates_V2!B37</f>
        <v>0</v>
      </c>
      <c r="C37">
        <f>PoolStates_V2!S37</f>
        <v>69182.668718153756</v>
      </c>
      <c r="D37">
        <f>PoolStates_V2!T37</f>
        <v>1297418.6294579501</v>
      </c>
      <c r="E37">
        <f>PoolStates_V2!Q37</f>
        <v>575.8202888155771</v>
      </c>
      <c r="F37">
        <f t="shared" si="37"/>
        <v>1137279.8005657904</v>
      </c>
      <c r="G37">
        <f t="shared" si="38"/>
        <v>213239.96260608593</v>
      </c>
      <c r="H37">
        <f t="shared" si="39"/>
        <v>14925918.525827609</v>
      </c>
      <c r="I37">
        <f t="shared" si="0"/>
        <v>575.8202888155771</v>
      </c>
      <c r="J37">
        <f t="shared" si="1"/>
        <v>0</v>
      </c>
      <c r="K37">
        <f t="shared" si="2"/>
        <v>0</v>
      </c>
      <c r="L37">
        <f t="shared" si="3"/>
        <v>0</v>
      </c>
      <c r="M37">
        <f t="shared" si="4"/>
        <v>1137279.8005657904</v>
      </c>
      <c r="N37">
        <f t="shared" si="5"/>
        <v>213239.96260608593</v>
      </c>
      <c r="O37">
        <f t="shared" si="6"/>
        <v>14925342.705538793</v>
      </c>
      <c r="P37">
        <f>M37*Inputs!B6/12</f>
        <v>5449.4657110444123</v>
      </c>
      <c r="Q37">
        <f t="shared" si="7"/>
        <v>5449.4657110444123</v>
      </c>
      <c r="R37">
        <f>N37*Inputs!B6/12</f>
        <v>1021.7748208208285</v>
      </c>
      <c r="S37">
        <f t="shared" si="8"/>
        <v>1021.7748208208285</v>
      </c>
      <c r="T37">
        <f t="shared" si="9"/>
        <v>62711.428186288518</v>
      </c>
      <c r="U37">
        <f t="shared" si="10"/>
        <v>0</v>
      </c>
      <c r="V37">
        <f t="shared" si="11"/>
        <v>62711.428186288518</v>
      </c>
      <c r="W37">
        <f t="shared" si="12"/>
        <v>1297418.6294579501</v>
      </c>
      <c r="X37">
        <f t="shared" si="13"/>
        <v>1350519.7631718763</v>
      </c>
      <c r="Y37">
        <f t="shared" si="14"/>
        <v>1092563.0563856419</v>
      </c>
      <c r="Z37">
        <f t="shared" si="15"/>
        <v>204855.57307230821</v>
      </c>
      <c r="AA37">
        <f t="shared" si="16"/>
        <v>1092563.0563856419</v>
      </c>
      <c r="AB37">
        <f t="shared" si="17"/>
        <v>204855.57307230821</v>
      </c>
      <c r="AC37">
        <f t="shared" si="18"/>
        <v>0</v>
      </c>
      <c r="AD37">
        <f t="shared" si="19"/>
        <v>0</v>
      </c>
      <c r="AE37">
        <f t="shared" si="20"/>
        <v>0</v>
      </c>
      <c r="AF37">
        <f t="shared" si="21"/>
        <v>0</v>
      </c>
      <c r="AG37">
        <f t="shared" si="22"/>
        <v>0</v>
      </c>
      <c r="AH37">
        <f t="shared" si="23"/>
        <v>0</v>
      </c>
      <c r="AI37">
        <f t="shared" si="24"/>
        <v>1137279.8005657904</v>
      </c>
      <c r="AJ37">
        <f t="shared" si="25"/>
        <v>160138.82889215974</v>
      </c>
      <c r="AK37">
        <f t="shared" si="26"/>
        <v>0</v>
      </c>
      <c r="AL37">
        <f t="shared" si="27"/>
        <v>1092563.0563856419</v>
      </c>
      <c r="AM37">
        <f t="shared" si="28"/>
        <v>204855.57307230821</v>
      </c>
      <c r="AN37">
        <f t="shared" si="29"/>
        <v>0</v>
      </c>
      <c r="AO37">
        <f t="shared" si="30"/>
        <v>0</v>
      </c>
      <c r="AP37">
        <f t="shared" si="31"/>
        <v>44716.744180148467</v>
      </c>
      <c r="AQ37">
        <f t="shared" si="32"/>
        <v>8384.3895337777212</v>
      </c>
      <c r="AR37">
        <f t="shared" si="33"/>
        <v>14925342.705538793</v>
      </c>
      <c r="AS37">
        <f t="shared" si="34"/>
        <v>0</v>
      </c>
      <c r="AT37">
        <f t="shared" si="35"/>
        <v>0</v>
      </c>
      <c r="AU37">
        <f t="shared" si="36"/>
        <v>0</v>
      </c>
    </row>
    <row r="38" spans="1:47" x14ac:dyDescent="0.2">
      <c r="A38">
        <v>37</v>
      </c>
      <c r="B38">
        <f>PoolStates_V2!B38</f>
        <v>0</v>
      </c>
      <c r="C38">
        <f>PoolStates_V2!S38</f>
        <v>63657.46684060448</v>
      </c>
      <c r="D38">
        <f>PoolStates_V2!T38</f>
        <v>1193993.8377514612</v>
      </c>
      <c r="E38">
        <f>PoolStates_V2!Q38</f>
        <v>533.18332749772219</v>
      </c>
      <c r="F38">
        <f t="shared" si="37"/>
        <v>44716.744180148467</v>
      </c>
      <c r="G38">
        <f t="shared" si="38"/>
        <v>8384.3895337777212</v>
      </c>
      <c r="H38">
        <f t="shared" si="39"/>
        <v>14925342.705538793</v>
      </c>
      <c r="I38">
        <f t="shared" si="0"/>
        <v>533.18332749772219</v>
      </c>
      <c r="J38">
        <f t="shared" si="1"/>
        <v>0</v>
      </c>
      <c r="K38">
        <f t="shared" si="2"/>
        <v>0</v>
      </c>
      <c r="L38">
        <f t="shared" si="3"/>
        <v>0</v>
      </c>
      <c r="M38">
        <f t="shared" si="4"/>
        <v>44716.744180148467</v>
      </c>
      <c r="N38">
        <f t="shared" si="5"/>
        <v>8384.3895337777212</v>
      </c>
      <c r="O38">
        <f t="shared" si="6"/>
        <v>14924809.522211295</v>
      </c>
      <c r="P38">
        <f>M38*Inputs!B6/12</f>
        <v>214.26773252987809</v>
      </c>
      <c r="Q38">
        <f t="shared" si="7"/>
        <v>214.26773252987809</v>
      </c>
      <c r="R38">
        <f>N38*Inputs!B6/12</f>
        <v>40.175199849351579</v>
      </c>
      <c r="S38">
        <f t="shared" si="8"/>
        <v>40.175199849351579</v>
      </c>
      <c r="T38">
        <f t="shared" si="9"/>
        <v>63403.023908225252</v>
      </c>
      <c r="U38">
        <f t="shared" si="10"/>
        <v>0</v>
      </c>
      <c r="V38">
        <f t="shared" si="11"/>
        <v>63403.023908225252</v>
      </c>
      <c r="W38">
        <f t="shared" si="12"/>
        <v>1193993.8377514612</v>
      </c>
      <c r="X38">
        <f t="shared" si="13"/>
        <v>53101.133713926189</v>
      </c>
      <c r="Y38">
        <f t="shared" si="14"/>
        <v>1005468.4949486011</v>
      </c>
      <c r="Z38">
        <f t="shared" si="15"/>
        <v>188525.34280286008</v>
      </c>
      <c r="AA38">
        <f t="shared" si="16"/>
        <v>44716.744180148467</v>
      </c>
      <c r="AB38">
        <f t="shared" si="17"/>
        <v>8384.3895337777212</v>
      </c>
      <c r="AC38">
        <f t="shared" si="18"/>
        <v>1140892.704037535</v>
      </c>
      <c r="AD38">
        <f t="shared" si="19"/>
        <v>0</v>
      </c>
      <c r="AE38">
        <f t="shared" si="20"/>
        <v>1140892.704037535</v>
      </c>
      <c r="AF38">
        <f t="shared" si="21"/>
        <v>0</v>
      </c>
      <c r="AG38">
        <f t="shared" si="22"/>
        <v>1140892.704037535</v>
      </c>
      <c r="AH38">
        <f t="shared" si="23"/>
        <v>1140892.704037535</v>
      </c>
      <c r="AI38">
        <f t="shared" si="24"/>
        <v>44716.744180148467</v>
      </c>
      <c r="AJ38">
        <f t="shared" si="25"/>
        <v>8384.3895337777212</v>
      </c>
      <c r="AK38">
        <f t="shared" si="26"/>
        <v>1140892.704037535</v>
      </c>
      <c r="AL38">
        <f t="shared" si="27"/>
        <v>44716.744180148467</v>
      </c>
      <c r="AM38">
        <f t="shared" si="28"/>
        <v>8384.3895337777212</v>
      </c>
      <c r="AN38">
        <f t="shared" si="29"/>
        <v>1140892.704037535</v>
      </c>
      <c r="AO38">
        <f t="shared" si="30"/>
        <v>0</v>
      </c>
      <c r="AP38">
        <f t="shared" si="31"/>
        <v>0</v>
      </c>
      <c r="AQ38">
        <f t="shared" si="32"/>
        <v>0</v>
      </c>
      <c r="AR38">
        <f t="shared" si="33"/>
        <v>13783916.818173759</v>
      </c>
      <c r="AS38">
        <f t="shared" si="34"/>
        <v>0</v>
      </c>
      <c r="AT38">
        <f t="shared" si="35"/>
        <v>0</v>
      </c>
      <c r="AU38">
        <f t="shared" si="36"/>
        <v>0</v>
      </c>
    </row>
    <row r="39" spans="1:47" x14ac:dyDescent="0.2">
      <c r="A39">
        <v>38</v>
      </c>
      <c r="B39">
        <f>PoolStates_V2!B39</f>
        <v>0</v>
      </c>
      <c r="C39">
        <f>PoolStates_V2!S39</f>
        <v>58573.737604032307</v>
      </c>
      <c r="D39">
        <f>PoolStates_V2!T39</f>
        <v>1098817.7077707464</v>
      </c>
      <c r="E39">
        <f>PoolStates_V2!Q39</f>
        <v>493.52333412075046</v>
      </c>
      <c r="F39">
        <f t="shared" si="37"/>
        <v>0</v>
      </c>
      <c r="G39">
        <f t="shared" si="38"/>
        <v>0</v>
      </c>
      <c r="H39">
        <f t="shared" si="39"/>
        <v>13783916.818173759</v>
      </c>
      <c r="I39">
        <f t="shared" si="0"/>
        <v>493.52333412075046</v>
      </c>
      <c r="J39">
        <f t="shared" si="1"/>
        <v>0</v>
      </c>
      <c r="K39">
        <f t="shared" si="2"/>
        <v>0</v>
      </c>
      <c r="L39">
        <f t="shared" si="3"/>
        <v>0</v>
      </c>
      <c r="M39">
        <f t="shared" si="4"/>
        <v>0</v>
      </c>
      <c r="N39">
        <f t="shared" si="5"/>
        <v>0</v>
      </c>
      <c r="O39">
        <f t="shared" si="6"/>
        <v>13783423.294839637</v>
      </c>
      <c r="P39">
        <f>M39*Inputs!B6/12</f>
        <v>0</v>
      </c>
      <c r="Q39">
        <f t="shared" si="7"/>
        <v>0</v>
      </c>
      <c r="R39">
        <f>N39*Inputs!B6/12</f>
        <v>0</v>
      </c>
      <c r="S39">
        <f t="shared" si="8"/>
        <v>0</v>
      </c>
      <c r="T39">
        <f t="shared" si="9"/>
        <v>58573.737604032307</v>
      </c>
      <c r="U39">
        <f t="shared" si="10"/>
        <v>0</v>
      </c>
      <c r="V39">
        <f t="shared" si="11"/>
        <v>58573.737604032307</v>
      </c>
      <c r="W39">
        <f t="shared" si="12"/>
        <v>1098817.7077707464</v>
      </c>
      <c r="X39">
        <f t="shared" si="13"/>
        <v>0</v>
      </c>
      <c r="Y39">
        <f t="shared" si="14"/>
        <v>0</v>
      </c>
      <c r="Z39">
        <f t="shared" si="15"/>
        <v>0</v>
      </c>
      <c r="AA39">
        <f t="shared" si="16"/>
        <v>0</v>
      </c>
      <c r="AB39">
        <f t="shared" si="17"/>
        <v>0</v>
      </c>
      <c r="AC39">
        <f t="shared" si="18"/>
        <v>1098817.7077707464</v>
      </c>
      <c r="AD39">
        <f t="shared" si="19"/>
        <v>0</v>
      </c>
      <c r="AE39">
        <f t="shared" si="20"/>
        <v>1098817.7077707464</v>
      </c>
      <c r="AF39">
        <f t="shared" si="21"/>
        <v>0</v>
      </c>
      <c r="AG39">
        <f t="shared" si="22"/>
        <v>1098817.7077707464</v>
      </c>
      <c r="AH39">
        <f t="shared" si="23"/>
        <v>1098817.7077707464</v>
      </c>
      <c r="AI39">
        <f t="shared" si="24"/>
        <v>0</v>
      </c>
      <c r="AJ39">
        <f t="shared" si="25"/>
        <v>0</v>
      </c>
      <c r="AK39">
        <f t="shared" si="26"/>
        <v>1098817.7077707464</v>
      </c>
      <c r="AL39">
        <f t="shared" si="27"/>
        <v>0</v>
      </c>
      <c r="AM39">
        <f t="shared" si="28"/>
        <v>0</v>
      </c>
      <c r="AN39">
        <f t="shared" si="29"/>
        <v>1098817.7077707464</v>
      </c>
      <c r="AO39">
        <f t="shared" si="30"/>
        <v>0</v>
      </c>
      <c r="AP39">
        <f t="shared" si="31"/>
        <v>0</v>
      </c>
      <c r="AQ39">
        <f t="shared" si="32"/>
        <v>0</v>
      </c>
      <c r="AR39">
        <f t="shared" si="33"/>
        <v>12684605.587068891</v>
      </c>
      <c r="AS39">
        <f t="shared" si="34"/>
        <v>0</v>
      </c>
      <c r="AT39">
        <f t="shared" si="35"/>
        <v>0</v>
      </c>
      <c r="AU39">
        <f t="shared" si="36"/>
        <v>0</v>
      </c>
    </row>
    <row r="40" spans="1:47" x14ac:dyDescent="0.2">
      <c r="A40">
        <v>39</v>
      </c>
      <c r="B40">
        <f>PoolStates_V2!B40</f>
        <v>0</v>
      </c>
      <c r="C40">
        <f>PoolStates_V2!S40</f>
        <v>53896.13865137926</v>
      </c>
      <c r="D40">
        <f>PoolStates_V2!T40</f>
        <v>1011231.150101807</v>
      </c>
      <c r="E40">
        <f>PoolStates_V2!Q40</f>
        <v>456.65739962102447</v>
      </c>
      <c r="F40">
        <f t="shared" si="37"/>
        <v>0</v>
      </c>
      <c r="G40">
        <f t="shared" si="38"/>
        <v>0</v>
      </c>
      <c r="H40">
        <f t="shared" si="39"/>
        <v>12684605.587068891</v>
      </c>
      <c r="I40">
        <f t="shared" si="0"/>
        <v>456.65739962102447</v>
      </c>
      <c r="J40">
        <f t="shared" si="1"/>
        <v>0</v>
      </c>
      <c r="K40">
        <f t="shared" si="2"/>
        <v>0</v>
      </c>
      <c r="L40">
        <f t="shared" si="3"/>
        <v>0</v>
      </c>
      <c r="M40">
        <f t="shared" si="4"/>
        <v>0</v>
      </c>
      <c r="N40">
        <f t="shared" si="5"/>
        <v>0</v>
      </c>
      <c r="O40">
        <f t="shared" si="6"/>
        <v>12684148.92966927</v>
      </c>
      <c r="P40">
        <f>M40*Inputs!B6/12</f>
        <v>0</v>
      </c>
      <c r="Q40">
        <f t="shared" si="7"/>
        <v>0</v>
      </c>
      <c r="R40">
        <f>N40*Inputs!B6/12</f>
        <v>0</v>
      </c>
      <c r="S40">
        <f t="shared" si="8"/>
        <v>0</v>
      </c>
      <c r="T40">
        <f t="shared" si="9"/>
        <v>53896.13865137926</v>
      </c>
      <c r="U40">
        <f t="shared" si="10"/>
        <v>0</v>
      </c>
      <c r="V40">
        <f t="shared" si="11"/>
        <v>53896.13865137926</v>
      </c>
      <c r="W40">
        <f t="shared" si="12"/>
        <v>1011231.150101807</v>
      </c>
      <c r="X40">
        <f t="shared" si="13"/>
        <v>0</v>
      </c>
      <c r="Y40">
        <f t="shared" si="14"/>
        <v>0</v>
      </c>
      <c r="Z40">
        <f t="shared" si="15"/>
        <v>0</v>
      </c>
      <c r="AA40">
        <f t="shared" si="16"/>
        <v>0</v>
      </c>
      <c r="AB40">
        <f t="shared" si="17"/>
        <v>0</v>
      </c>
      <c r="AC40">
        <f t="shared" si="18"/>
        <v>1011231.150101807</v>
      </c>
      <c r="AD40">
        <f t="shared" si="19"/>
        <v>0</v>
      </c>
      <c r="AE40">
        <f t="shared" si="20"/>
        <v>1011231.150101807</v>
      </c>
      <c r="AF40">
        <f t="shared" si="21"/>
        <v>0</v>
      </c>
      <c r="AG40">
        <f t="shared" si="22"/>
        <v>1011231.150101807</v>
      </c>
      <c r="AH40">
        <f t="shared" si="23"/>
        <v>1011231.150101807</v>
      </c>
      <c r="AI40">
        <f t="shared" si="24"/>
        <v>0</v>
      </c>
      <c r="AJ40">
        <f t="shared" si="25"/>
        <v>0</v>
      </c>
      <c r="AK40">
        <f t="shared" si="26"/>
        <v>1011231.150101807</v>
      </c>
      <c r="AL40">
        <f t="shared" si="27"/>
        <v>0</v>
      </c>
      <c r="AM40">
        <f t="shared" si="28"/>
        <v>0</v>
      </c>
      <c r="AN40">
        <f t="shared" si="29"/>
        <v>1011231.150101807</v>
      </c>
      <c r="AO40">
        <f t="shared" si="30"/>
        <v>0</v>
      </c>
      <c r="AP40">
        <f t="shared" si="31"/>
        <v>0</v>
      </c>
      <c r="AQ40">
        <f t="shared" si="32"/>
        <v>0</v>
      </c>
      <c r="AR40">
        <f t="shared" si="33"/>
        <v>11672917.779567463</v>
      </c>
      <c r="AS40">
        <f t="shared" si="34"/>
        <v>0</v>
      </c>
      <c r="AT40">
        <f t="shared" si="35"/>
        <v>0</v>
      </c>
      <c r="AU40">
        <f t="shared" si="36"/>
        <v>0</v>
      </c>
    </row>
    <row r="41" spans="1:47" x14ac:dyDescent="0.2">
      <c r="A41">
        <v>40</v>
      </c>
      <c r="B41">
        <f>PoolStates_V2!B41</f>
        <v>0</v>
      </c>
      <c r="C41">
        <f>PoolStates_V2!S41</f>
        <v>49592.16874188192</v>
      </c>
      <c r="D41">
        <f>PoolStates_V2!T41</f>
        <v>930627.94552249601</v>
      </c>
      <c r="E41">
        <f>PoolStates_V2!Q41</f>
        <v>422.41017049594296</v>
      </c>
      <c r="F41">
        <f t="shared" si="37"/>
        <v>0</v>
      </c>
      <c r="G41">
        <f t="shared" si="38"/>
        <v>0</v>
      </c>
      <c r="H41">
        <f t="shared" si="39"/>
        <v>11672917.779567463</v>
      </c>
      <c r="I41">
        <f t="shared" si="0"/>
        <v>422.41017049594296</v>
      </c>
      <c r="J41">
        <f t="shared" si="1"/>
        <v>0</v>
      </c>
      <c r="K41">
        <f t="shared" si="2"/>
        <v>0</v>
      </c>
      <c r="L41">
        <f t="shared" si="3"/>
        <v>0</v>
      </c>
      <c r="M41">
        <f t="shared" si="4"/>
        <v>0</v>
      </c>
      <c r="N41">
        <f t="shared" si="5"/>
        <v>0</v>
      </c>
      <c r="O41">
        <f t="shared" si="6"/>
        <v>11672495.369396968</v>
      </c>
      <c r="P41">
        <f>M41*Inputs!B6/12</f>
        <v>0</v>
      </c>
      <c r="Q41">
        <f t="shared" si="7"/>
        <v>0</v>
      </c>
      <c r="R41">
        <f>N41*Inputs!B6/12</f>
        <v>0</v>
      </c>
      <c r="S41">
        <f t="shared" si="8"/>
        <v>0</v>
      </c>
      <c r="T41">
        <f t="shared" si="9"/>
        <v>49592.16874188192</v>
      </c>
      <c r="U41">
        <f t="shared" si="10"/>
        <v>0</v>
      </c>
      <c r="V41">
        <f t="shared" si="11"/>
        <v>49592.16874188192</v>
      </c>
      <c r="W41">
        <f t="shared" si="12"/>
        <v>930627.94552249601</v>
      </c>
      <c r="X41">
        <f t="shared" si="13"/>
        <v>0</v>
      </c>
      <c r="Y41">
        <f t="shared" si="14"/>
        <v>0</v>
      </c>
      <c r="Z41">
        <f t="shared" si="15"/>
        <v>0</v>
      </c>
      <c r="AA41">
        <f t="shared" si="16"/>
        <v>0</v>
      </c>
      <c r="AB41">
        <f t="shared" si="17"/>
        <v>0</v>
      </c>
      <c r="AC41">
        <f t="shared" si="18"/>
        <v>930627.94552249601</v>
      </c>
      <c r="AD41">
        <f t="shared" si="19"/>
        <v>0</v>
      </c>
      <c r="AE41">
        <f t="shared" si="20"/>
        <v>930627.94552249601</v>
      </c>
      <c r="AF41">
        <f t="shared" si="21"/>
        <v>0</v>
      </c>
      <c r="AG41">
        <f t="shared" si="22"/>
        <v>930627.94552249601</v>
      </c>
      <c r="AH41">
        <f t="shared" si="23"/>
        <v>930627.94552249601</v>
      </c>
      <c r="AI41">
        <f t="shared" si="24"/>
        <v>0</v>
      </c>
      <c r="AJ41">
        <f t="shared" si="25"/>
        <v>0</v>
      </c>
      <c r="AK41">
        <f t="shared" si="26"/>
        <v>930627.94552249601</v>
      </c>
      <c r="AL41">
        <f t="shared" si="27"/>
        <v>0</v>
      </c>
      <c r="AM41">
        <f t="shared" si="28"/>
        <v>0</v>
      </c>
      <c r="AN41">
        <f t="shared" si="29"/>
        <v>930627.94552249601</v>
      </c>
      <c r="AO41">
        <f t="shared" si="30"/>
        <v>0</v>
      </c>
      <c r="AP41">
        <f t="shared" si="31"/>
        <v>0</v>
      </c>
      <c r="AQ41">
        <f t="shared" si="32"/>
        <v>0</v>
      </c>
      <c r="AR41">
        <f t="shared" si="33"/>
        <v>10741867.423874471</v>
      </c>
      <c r="AS41">
        <f t="shared" si="34"/>
        <v>0</v>
      </c>
      <c r="AT41">
        <f t="shared" si="35"/>
        <v>0</v>
      </c>
      <c r="AU41">
        <f t="shared" si="36"/>
        <v>0</v>
      </c>
    </row>
    <row r="42" spans="1:47" x14ac:dyDescent="0.2">
      <c r="A42">
        <v>41</v>
      </c>
      <c r="B42">
        <f>PoolStates_V2!B42</f>
        <v>0</v>
      </c>
      <c r="C42">
        <f>PoolStates_V2!S42</f>
        <v>45631.937624499107</v>
      </c>
      <c r="D42">
        <f>PoolStates_V2!T42</f>
        <v>856450.47353429475</v>
      </c>
      <c r="E42">
        <f>PoolStates_V2!Q42</f>
        <v>390.61415580170285</v>
      </c>
      <c r="F42">
        <f t="shared" si="37"/>
        <v>0</v>
      </c>
      <c r="G42">
        <f t="shared" si="38"/>
        <v>0</v>
      </c>
      <c r="H42">
        <f t="shared" si="39"/>
        <v>10741867.423874471</v>
      </c>
      <c r="I42">
        <f t="shared" si="0"/>
        <v>390.61415580170285</v>
      </c>
      <c r="J42">
        <f t="shared" si="1"/>
        <v>0</v>
      </c>
      <c r="K42">
        <f t="shared" si="2"/>
        <v>0</v>
      </c>
      <c r="L42">
        <f t="shared" si="3"/>
        <v>0</v>
      </c>
      <c r="M42">
        <f t="shared" si="4"/>
        <v>0</v>
      </c>
      <c r="N42">
        <f t="shared" si="5"/>
        <v>0</v>
      </c>
      <c r="O42">
        <f t="shared" si="6"/>
        <v>10741476.80971867</v>
      </c>
      <c r="P42">
        <f>M42*Inputs!B6/12</f>
        <v>0</v>
      </c>
      <c r="Q42">
        <f t="shared" si="7"/>
        <v>0</v>
      </c>
      <c r="R42">
        <f>N42*Inputs!B6/12</f>
        <v>0</v>
      </c>
      <c r="S42">
        <f t="shared" si="8"/>
        <v>0</v>
      </c>
      <c r="T42">
        <f t="shared" si="9"/>
        <v>45631.937624499107</v>
      </c>
      <c r="U42">
        <f t="shared" si="10"/>
        <v>0</v>
      </c>
      <c r="V42">
        <f t="shared" si="11"/>
        <v>45631.937624499107</v>
      </c>
      <c r="W42">
        <f t="shared" si="12"/>
        <v>856450.47353429475</v>
      </c>
      <c r="X42">
        <f t="shared" si="13"/>
        <v>0</v>
      </c>
      <c r="Y42">
        <f t="shared" si="14"/>
        <v>0</v>
      </c>
      <c r="Z42">
        <f t="shared" si="15"/>
        <v>0</v>
      </c>
      <c r="AA42">
        <f t="shared" si="16"/>
        <v>0</v>
      </c>
      <c r="AB42">
        <f t="shared" si="17"/>
        <v>0</v>
      </c>
      <c r="AC42">
        <f t="shared" si="18"/>
        <v>856450.47353429475</v>
      </c>
      <c r="AD42">
        <f t="shared" si="19"/>
        <v>0</v>
      </c>
      <c r="AE42">
        <f t="shared" si="20"/>
        <v>856450.47353429475</v>
      </c>
      <c r="AF42">
        <f t="shared" si="21"/>
        <v>0</v>
      </c>
      <c r="AG42">
        <f t="shared" si="22"/>
        <v>856450.47353429475</v>
      </c>
      <c r="AH42">
        <f t="shared" si="23"/>
        <v>856450.47353429475</v>
      </c>
      <c r="AI42">
        <f t="shared" si="24"/>
        <v>0</v>
      </c>
      <c r="AJ42">
        <f t="shared" si="25"/>
        <v>0</v>
      </c>
      <c r="AK42">
        <f t="shared" si="26"/>
        <v>856450.47353429475</v>
      </c>
      <c r="AL42">
        <f t="shared" si="27"/>
        <v>0</v>
      </c>
      <c r="AM42">
        <f t="shared" si="28"/>
        <v>0</v>
      </c>
      <c r="AN42">
        <f t="shared" si="29"/>
        <v>856450.47353429475</v>
      </c>
      <c r="AO42">
        <f t="shared" si="30"/>
        <v>0</v>
      </c>
      <c r="AP42">
        <f t="shared" si="31"/>
        <v>0</v>
      </c>
      <c r="AQ42">
        <f t="shared" si="32"/>
        <v>0</v>
      </c>
      <c r="AR42">
        <f t="shared" si="33"/>
        <v>9885026.336184375</v>
      </c>
      <c r="AS42">
        <f t="shared" si="34"/>
        <v>0</v>
      </c>
      <c r="AT42">
        <f t="shared" si="35"/>
        <v>0</v>
      </c>
      <c r="AU42">
        <f t="shared" si="36"/>
        <v>0</v>
      </c>
    </row>
    <row r="43" spans="1:47" x14ac:dyDescent="0.2">
      <c r="A43">
        <v>42</v>
      </c>
      <c r="B43">
        <f>PoolStates_V2!B43</f>
        <v>0</v>
      </c>
      <c r="C43">
        <f>PoolStates_V2!S43</f>
        <v>41987.954789697229</v>
      </c>
      <c r="D43">
        <f>PoolStates_V2!T43</f>
        <v>788185.79016129754</v>
      </c>
      <c r="E43">
        <f>PoolStates_V2!Q43</f>
        <v>361.10989172061784</v>
      </c>
      <c r="F43">
        <f t="shared" si="37"/>
        <v>0</v>
      </c>
      <c r="G43">
        <f t="shared" si="38"/>
        <v>0</v>
      </c>
      <c r="H43">
        <f t="shared" si="39"/>
        <v>9885026.336184375</v>
      </c>
      <c r="I43">
        <f t="shared" si="0"/>
        <v>361.10989172061784</v>
      </c>
      <c r="J43">
        <f t="shared" si="1"/>
        <v>0</v>
      </c>
      <c r="K43">
        <f t="shared" si="2"/>
        <v>0</v>
      </c>
      <c r="L43">
        <f t="shared" si="3"/>
        <v>0</v>
      </c>
      <c r="M43">
        <f t="shared" si="4"/>
        <v>0</v>
      </c>
      <c r="N43">
        <f t="shared" si="5"/>
        <v>0</v>
      </c>
      <c r="O43">
        <f t="shared" si="6"/>
        <v>9884665.2262926549</v>
      </c>
      <c r="P43">
        <f>M43*Inputs!B6/12</f>
        <v>0</v>
      </c>
      <c r="Q43">
        <f t="shared" si="7"/>
        <v>0</v>
      </c>
      <c r="R43">
        <f>N43*Inputs!B6/12</f>
        <v>0</v>
      </c>
      <c r="S43">
        <f t="shared" si="8"/>
        <v>0</v>
      </c>
      <c r="T43">
        <f t="shared" si="9"/>
        <v>41987.954789697229</v>
      </c>
      <c r="U43">
        <f t="shared" si="10"/>
        <v>0</v>
      </c>
      <c r="V43">
        <f t="shared" si="11"/>
        <v>41987.954789697229</v>
      </c>
      <c r="W43">
        <f t="shared" si="12"/>
        <v>788185.79016129754</v>
      </c>
      <c r="X43">
        <f t="shared" si="13"/>
        <v>0</v>
      </c>
      <c r="Y43">
        <f t="shared" si="14"/>
        <v>0</v>
      </c>
      <c r="Z43">
        <f t="shared" si="15"/>
        <v>0</v>
      </c>
      <c r="AA43">
        <f t="shared" si="16"/>
        <v>0</v>
      </c>
      <c r="AB43">
        <f t="shared" si="17"/>
        <v>0</v>
      </c>
      <c r="AC43">
        <f t="shared" si="18"/>
        <v>788185.79016129754</v>
      </c>
      <c r="AD43">
        <f t="shared" si="19"/>
        <v>0</v>
      </c>
      <c r="AE43">
        <f t="shared" si="20"/>
        <v>788185.79016129754</v>
      </c>
      <c r="AF43">
        <f t="shared" si="21"/>
        <v>0</v>
      </c>
      <c r="AG43">
        <f t="shared" si="22"/>
        <v>788185.79016129754</v>
      </c>
      <c r="AH43">
        <f t="shared" si="23"/>
        <v>788185.79016129754</v>
      </c>
      <c r="AI43">
        <f t="shared" si="24"/>
        <v>0</v>
      </c>
      <c r="AJ43">
        <f t="shared" si="25"/>
        <v>0</v>
      </c>
      <c r="AK43">
        <f t="shared" si="26"/>
        <v>788185.79016129754</v>
      </c>
      <c r="AL43">
        <f t="shared" si="27"/>
        <v>0</v>
      </c>
      <c r="AM43">
        <f t="shared" si="28"/>
        <v>0</v>
      </c>
      <c r="AN43">
        <f t="shared" si="29"/>
        <v>788185.79016129754</v>
      </c>
      <c r="AO43">
        <f t="shared" si="30"/>
        <v>0</v>
      </c>
      <c r="AP43">
        <f t="shared" si="31"/>
        <v>0</v>
      </c>
      <c r="AQ43">
        <f t="shared" si="32"/>
        <v>0</v>
      </c>
      <c r="AR43">
        <f t="shared" si="33"/>
        <v>9096479.4361313581</v>
      </c>
      <c r="AS43">
        <f t="shared" si="34"/>
        <v>0</v>
      </c>
      <c r="AT43">
        <f t="shared" si="35"/>
        <v>0</v>
      </c>
      <c r="AU43">
        <f t="shared" si="36"/>
        <v>0</v>
      </c>
    </row>
    <row r="44" spans="1:47" x14ac:dyDescent="0.2">
      <c r="A44">
        <v>43</v>
      </c>
      <c r="B44">
        <f>PoolStates_V2!B44</f>
        <v>0</v>
      </c>
      <c r="C44">
        <f>PoolStates_V2!S44</f>
        <v>38634.935519388811</v>
      </c>
      <c r="D44">
        <f>PoolStates_V2!T44</f>
        <v>725362.02590682486</v>
      </c>
      <c r="E44">
        <f>PoolStates_V2!Q44</f>
        <v>333.74599038205366</v>
      </c>
      <c r="F44">
        <f t="shared" si="37"/>
        <v>0</v>
      </c>
      <c r="G44">
        <f t="shared" si="38"/>
        <v>0</v>
      </c>
      <c r="H44">
        <f t="shared" si="39"/>
        <v>9096479.4361313581</v>
      </c>
      <c r="I44">
        <f t="shared" si="0"/>
        <v>333.74599038205366</v>
      </c>
      <c r="J44">
        <f t="shared" si="1"/>
        <v>0</v>
      </c>
      <c r="K44">
        <f t="shared" si="2"/>
        <v>0</v>
      </c>
      <c r="L44">
        <f t="shared" si="3"/>
        <v>0</v>
      </c>
      <c r="M44">
        <f t="shared" si="4"/>
        <v>0</v>
      </c>
      <c r="N44">
        <f t="shared" si="5"/>
        <v>0</v>
      </c>
      <c r="O44">
        <f t="shared" si="6"/>
        <v>9096145.6901409756</v>
      </c>
      <c r="P44">
        <f>M44*Inputs!B6/12</f>
        <v>0</v>
      </c>
      <c r="Q44">
        <f t="shared" si="7"/>
        <v>0</v>
      </c>
      <c r="R44">
        <f>N44*Inputs!B6/12</f>
        <v>0</v>
      </c>
      <c r="S44">
        <f t="shared" si="8"/>
        <v>0</v>
      </c>
      <c r="T44">
        <f t="shared" si="9"/>
        <v>38634.935519388811</v>
      </c>
      <c r="U44">
        <f t="shared" si="10"/>
        <v>0</v>
      </c>
      <c r="V44">
        <f t="shared" si="11"/>
        <v>38634.935519388811</v>
      </c>
      <c r="W44">
        <f t="shared" si="12"/>
        <v>725362.02590682486</v>
      </c>
      <c r="X44">
        <f t="shared" si="13"/>
        <v>0</v>
      </c>
      <c r="Y44">
        <f t="shared" si="14"/>
        <v>0</v>
      </c>
      <c r="Z44">
        <f t="shared" si="15"/>
        <v>0</v>
      </c>
      <c r="AA44">
        <f t="shared" si="16"/>
        <v>0</v>
      </c>
      <c r="AB44">
        <f t="shared" si="17"/>
        <v>0</v>
      </c>
      <c r="AC44">
        <f t="shared" si="18"/>
        <v>725362.02590682486</v>
      </c>
      <c r="AD44">
        <f t="shared" si="19"/>
        <v>0</v>
      </c>
      <c r="AE44">
        <f t="shared" si="20"/>
        <v>725362.02590682486</v>
      </c>
      <c r="AF44">
        <f t="shared" si="21"/>
        <v>0</v>
      </c>
      <c r="AG44">
        <f t="shared" si="22"/>
        <v>725362.02590682486</v>
      </c>
      <c r="AH44">
        <f t="shared" si="23"/>
        <v>725362.02590682486</v>
      </c>
      <c r="AI44">
        <f t="shared" si="24"/>
        <v>0</v>
      </c>
      <c r="AJ44">
        <f t="shared" si="25"/>
        <v>0</v>
      </c>
      <c r="AK44">
        <f t="shared" si="26"/>
        <v>725362.02590682486</v>
      </c>
      <c r="AL44">
        <f t="shared" si="27"/>
        <v>0</v>
      </c>
      <c r="AM44">
        <f t="shared" si="28"/>
        <v>0</v>
      </c>
      <c r="AN44">
        <f t="shared" si="29"/>
        <v>725362.02590682486</v>
      </c>
      <c r="AO44">
        <f t="shared" si="30"/>
        <v>0</v>
      </c>
      <c r="AP44">
        <f t="shared" si="31"/>
        <v>0</v>
      </c>
      <c r="AQ44">
        <f t="shared" si="32"/>
        <v>0</v>
      </c>
      <c r="AR44">
        <f t="shared" si="33"/>
        <v>8370783.6642341511</v>
      </c>
      <c r="AS44">
        <f t="shared" si="34"/>
        <v>0</v>
      </c>
      <c r="AT44">
        <f t="shared" si="35"/>
        <v>0</v>
      </c>
      <c r="AU44">
        <f t="shared" si="36"/>
        <v>0</v>
      </c>
    </row>
    <row r="45" spans="1:47" x14ac:dyDescent="0.2">
      <c r="A45">
        <v>44</v>
      </c>
      <c r="B45">
        <f>PoolStates_V2!B45</f>
        <v>0</v>
      </c>
      <c r="C45">
        <f>PoolStates_V2!S45</f>
        <v>35549.622791137219</v>
      </c>
      <c r="D45">
        <f>PoolStates_V2!T45</f>
        <v>667545.07725496928</v>
      </c>
      <c r="E45">
        <f>PoolStates_V2!Q45</f>
        <v>308.37909549878157</v>
      </c>
      <c r="F45">
        <f t="shared" si="37"/>
        <v>0</v>
      </c>
      <c r="G45">
        <f t="shared" si="38"/>
        <v>0</v>
      </c>
      <c r="H45">
        <f t="shared" si="39"/>
        <v>8370783.6642341511</v>
      </c>
      <c r="I45">
        <f t="shared" si="0"/>
        <v>308.37909549878157</v>
      </c>
      <c r="J45">
        <f t="shared" si="1"/>
        <v>0</v>
      </c>
      <c r="K45">
        <f t="shared" si="2"/>
        <v>0</v>
      </c>
      <c r="L45">
        <f t="shared" si="3"/>
        <v>0</v>
      </c>
      <c r="M45">
        <f t="shared" si="4"/>
        <v>0</v>
      </c>
      <c r="N45">
        <f t="shared" si="5"/>
        <v>0</v>
      </c>
      <c r="O45">
        <f t="shared" si="6"/>
        <v>8370475.2851386527</v>
      </c>
      <c r="P45">
        <f>M45*Inputs!B6/12</f>
        <v>0</v>
      </c>
      <c r="Q45">
        <f t="shared" si="7"/>
        <v>0</v>
      </c>
      <c r="R45">
        <f>N45*Inputs!B6/12</f>
        <v>0</v>
      </c>
      <c r="S45">
        <f t="shared" si="8"/>
        <v>0</v>
      </c>
      <c r="T45">
        <f t="shared" si="9"/>
        <v>35549.622791137219</v>
      </c>
      <c r="U45">
        <f t="shared" si="10"/>
        <v>0</v>
      </c>
      <c r="V45">
        <f t="shared" si="11"/>
        <v>35549.622791137219</v>
      </c>
      <c r="W45">
        <f t="shared" si="12"/>
        <v>667545.07725496928</v>
      </c>
      <c r="X45">
        <f t="shared" si="13"/>
        <v>0</v>
      </c>
      <c r="Y45">
        <f t="shared" si="14"/>
        <v>0</v>
      </c>
      <c r="Z45">
        <f t="shared" si="15"/>
        <v>0</v>
      </c>
      <c r="AA45">
        <f t="shared" si="16"/>
        <v>0</v>
      </c>
      <c r="AB45">
        <f t="shared" si="17"/>
        <v>0</v>
      </c>
      <c r="AC45">
        <f t="shared" si="18"/>
        <v>667545.07725496928</v>
      </c>
      <c r="AD45">
        <f t="shared" si="19"/>
        <v>0</v>
      </c>
      <c r="AE45">
        <f t="shared" si="20"/>
        <v>667545.07725496928</v>
      </c>
      <c r="AF45">
        <f t="shared" si="21"/>
        <v>0</v>
      </c>
      <c r="AG45">
        <f t="shared" si="22"/>
        <v>667545.07725496928</v>
      </c>
      <c r="AH45">
        <f t="shared" si="23"/>
        <v>667545.07725496928</v>
      </c>
      <c r="AI45">
        <f t="shared" si="24"/>
        <v>0</v>
      </c>
      <c r="AJ45">
        <f t="shared" si="25"/>
        <v>0</v>
      </c>
      <c r="AK45">
        <f t="shared" si="26"/>
        <v>667545.07725496928</v>
      </c>
      <c r="AL45">
        <f t="shared" si="27"/>
        <v>0</v>
      </c>
      <c r="AM45">
        <f t="shared" si="28"/>
        <v>0</v>
      </c>
      <c r="AN45">
        <f t="shared" si="29"/>
        <v>667545.07725496928</v>
      </c>
      <c r="AO45">
        <f t="shared" si="30"/>
        <v>0</v>
      </c>
      <c r="AP45">
        <f t="shared" si="31"/>
        <v>0</v>
      </c>
      <c r="AQ45">
        <f t="shared" si="32"/>
        <v>0</v>
      </c>
      <c r="AR45">
        <f t="shared" si="33"/>
        <v>7702930.207883683</v>
      </c>
      <c r="AS45">
        <f t="shared" si="34"/>
        <v>0</v>
      </c>
      <c r="AT45">
        <f t="shared" si="35"/>
        <v>0</v>
      </c>
      <c r="AU45">
        <f t="shared" si="36"/>
        <v>0</v>
      </c>
    </row>
    <row r="46" spans="1:47" x14ac:dyDescent="0.2">
      <c r="A46">
        <v>45</v>
      </c>
      <c r="B46">
        <f>PoolStates_V2!B46</f>
        <v>0</v>
      </c>
      <c r="C46">
        <f>PoolStates_V2!S46</f>
        <v>32710.623716793973</v>
      </c>
      <c r="D46">
        <f>PoolStates_V2!T46</f>
        <v>614335.56737829954</v>
      </c>
      <c r="E46">
        <f>PoolStates_V2!Q46</f>
        <v>284.87376384683807</v>
      </c>
      <c r="F46">
        <f t="shared" si="37"/>
        <v>0</v>
      </c>
      <c r="G46">
        <f t="shared" si="38"/>
        <v>0</v>
      </c>
      <c r="H46">
        <f t="shared" si="39"/>
        <v>7702930.207883683</v>
      </c>
      <c r="I46">
        <f t="shared" si="0"/>
        <v>284.87376384683807</v>
      </c>
      <c r="J46">
        <f t="shared" si="1"/>
        <v>0</v>
      </c>
      <c r="K46">
        <f t="shared" si="2"/>
        <v>0</v>
      </c>
      <c r="L46">
        <f t="shared" si="3"/>
        <v>0</v>
      </c>
      <c r="M46">
        <f t="shared" si="4"/>
        <v>0</v>
      </c>
      <c r="N46">
        <f t="shared" si="5"/>
        <v>0</v>
      </c>
      <c r="O46">
        <f t="shared" si="6"/>
        <v>7702645.3341198359</v>
      </c>
      <c r="P46">
        <f>M46*Inputs!B6/12</f>
        <v>0</v>
      </c>
      <c r="Q46">
        <f t="shared" si="7"/>
        <v>0</v>
      </c>
      <c r="R46">
        <f>N46*Inputs!B6/12</f>
        <v>0</v>
      </c>
      <c r="S46">
        <f t="shared" si="8"/>
        <v>0</v>
      </c>
      <c r="T46">
        <f t="shared" si="9"/>
        <v>32710.623716793973</v>
      </c>
      <c r="U46">
        <f t="shared" si="10"/>
        <v>0</v>
      </c>
      <c r="V46">
        <f t="shared" si="11"/>
        <v>32710.623716793973</v>
      </c>
      <c r="W46">
        <f t="shared" si="12"/>
        <v>614335.56737829954</v>
      </c>
      <c r="X46">
        <f t="shared" si="13"/>
        <v>0</v>
      </c>
      <c r="Y46">
        <f t="shared" si="14"/>
        <v>0</v>
      </c>
      <c r="Z46">
        <f t="shared" si="15"/>
        <v>0</v>
      </c>
      <c r="AA46">
        <f t="shared" si="16"/>
        <v>0</v>
      </c>
      <c r="AB46">
        <f t="shared" si="17"/>
        <v>0</v>
      </c>
      <c r="AC46">
        <f t="shared" si="18"/>
        <v>614335.56737829954</v>
      </c>
      <c r="AD46">
        <f t="shared" si="19"/>
        <v>0</v>
      </c>
      <c r="AE46">
        <f t="shared" si="20"/>
        <v>614335.56737829954</v>
      </c>
      <c r="AF46">
        <f t="shared" si="21"/>
        <v>0</v>
      </c>
      <c r="AG46">
        <f t="shared" si="22"/>
        <v>614335.56737829954</v>
      </c>
      <c r="AH46">
        <f t="shared" si="23"/>
        <v>614335.56737829954</v>
      </c>
      <c r="AI46">
        <f t="shared" si="24"/>
        <v>0</v>
      </c>
      <c r="AJ46">
        <f t="shared" si="25"/>
        <v>0</v>
      </c>
      <c r="AK46">
        <f t="shared" si="26"/>
        <v>614335.56737829954</v>
      </c>
      <c r="AL46">
        <f t="shared" si="27"/>
        <v>0</v>
      </c>
      <c r="AM46">
        <f t="shared" si="28"/>
        <v>0</v>
      </c>
      <c r="AN46">
        <f t="shared" si="29"/>
        <v>614335.56737829954</v>
      </c>
      <c r="AO46">
        <f t="shared" si="30"/>
        <v>0</v>
      </c>
      <c r="AP46">
        <f t="shared" si="31"/>
        <v>0</v>
      </c>
      <c r="AQ46">
        <f t="shared" si="32"/>
        <v>0</v>
      </c>
      <c r="AR46">
        <f t="shared" si="33"/>
        <v>7088309.7667415366</v>
      </c>
      <c r="AS46">
        <f t="shared" si="34"/>
        <v>0</v>
      </c>
      <c r="AT46">
        <f t="shared" si="35"/>
        <v>0</v>
      </c>
      <c r="AU46">
        <f t="shared" si="36"/>
        <v>0</v>
      </c>
    </row>
    <row r="47" spans="1:47" x14ac:dyDescent="0.2">
      <c r="A47">
        <v>46</v>
      </c>
      <c r="B47">
        <f>PoolStates_V2!B47</f>
        <v>0</v>
      </c>
      <c r="C47">
        <f>PoolStates_V2!S47</f>
        <v>30098.259308688659</v>
      </c>
      <c r="D47">
        <f>PoolStates_V2!T47</f>
        <v>565366.05378480733</v>
      </c>
      <c r="E47">
        <f>PoolStates_V2!Q47</f>
        <v>263.10228859098197</v>
      </c>
      <c r="F47">
        <f t="shared" si="37"/>
        <v>0</v>
      </c>
      <c r="G47">
        <f t="shared" si="38"/>
        <v>0</v>
      </c>
      <c r="H47">
        <f t="shared" si="39"/>
        <v>7088309.7667415366</v>
      </c>
      <c r="I47">
        <f t="shared" si="0"/>
        <v>263.10228859098197</v>
      </c>
      <c r="J47">
        <f t="shared" si="1"/>
        <v>0</v>
      </c>
      <c r="K47">
        <f t="shared" si="2"/>
        <v>0</v>
      </c>
      <c r="L47">
        <f t="shared" si="3"/>
        <v>0</v>
      </c>
      <c r="M47">
        <f t="shared" si="4"/>
        <v>0</v>
      </c>
      <c r="N47">
        <f t="shared" si="5"/>
        <v>0</v>
      </c>
      <c r="O47">
        <f t="shared" si="6"/>
        <v>7088046.6644529458</v>
      </c>
      <c r="P47">
        <f>M47*Inputs!B6/12</f>
        <v>0</v>
      </c>
      <c r="Q47">
        <f t="shared" si="7"/>
        <v>0</v>
      </c>
      <c r="R47">
        <f>N47*Inputs!B6/12</f>
        <v>0</v>
      </c>
      <c r="S47">
        <f t="shared" si="8"/>
        <v>0</v>
      </c>
      <c r="T47">
        <f t="shared" si="9"/>
        <v>30098.259308688659</v>
      </c>
      <c r="U47">
        <f t="shared" si="10"/>
        <v>0</v>
      </c>
      <c r="V47">
        <f t="shared" si="11"/>
        <v>30098.259308688659</v>
      </c>
      <c r="W47">
        <f t="shared" si="12"/>
        <v>565366.05378480733</v>
      </c>
      <c r="X47">
        <f t="shared" si="13"/>
        <v>0</v>
      </c>
      <c r="Y47">
        <f t="shared" si="14"/>
        <v>0</v>
      </c>
      <c r="Z47">
        <f t="shared" si="15"/>
        <v>0</v>
      </c>
      <c r="AA47">
        <f t="shared" si="16"/>
        <v>0</v>
      </c>
      <c r="AB47">
        <f t="shared" si="17"/>
        <v>0</v>
      </c>
      <c r="AC47">
        <f t="shared" si="18"/>
        <v>565366.05378480733</v>
      </c>
      <c r="AD47">
        <f t="shared" si="19"/>
        <v>0</v>
      </c>
      <c r="AE47">
        <f t="shared" si="20"/>
        <v>565366.05378480733</v>
      </c>
      <c r="AF47">
        <f t="shared" si="21"/>
        <v>0</v>
      </c>
      <c r="AG47">
        <f t="shared" si="22"/>
        <v>565366.05378480733</v>
      </c>
      <c r="AH47">
        <f t="shared" si="23"/>
        <v>565366.05378480733</v>
      </c>
      <c r="AI47">
        <f t="shared" si="24"/>
        <v>0</v>
      </c>
      <c r="AJ47">
        <f t="shared" si="25"/>
        <v>0</v>
      </c>
      <c r="AK47">
        <f t="shared" si="26"/>
        <v>565366.05378480733</v>
      </c>
      <c r="AL47">
        <f t="shared" si="27"/>
        <v>0</v>
      </c>
      <c r="AM47">
        <f t="shared" si="28"/>
        <v>0</v>
      </c>
      <c r="AN47">
        <f t="shared" si="29"/>
        <v>565366.05378480733</v>
      </c>
      <c r="AO47">
        <f t="shared" si="30"/>
        <v>0</v>
      </c>
      <c r="AP47">
        <f t="shared" si="31"/>
        <v>0</v>
      </c>
      <c r="AQ47">
        <f t="shared" si="32"/>
        <v>0</v>
      </c>
      <c r="AR47">
        <f t="shared" si="33"/>
        <v>6522680.6106681386</v>
      </c>
      <c r="AS47">
        <f t="shared" si="34"/>
        <v>0</v>
      </c>
      <c r="AT47">
        <f t="shared" si="35"/>
        <v>0</v>
      </c>
      <c r="AU47">
        <f t="shared" si="36"/>
        <v>0</v>
      </c>
    </row>
    <row r="48" spans="1:47" x14ac:dyDescent="0.2">
      <c r="A48">
        <v>47</v>
      </c>
      <c r="B48">
        <f>PoolStates_V2!B48</f>
        <v>0</v>
      </c>
      <c r="C48">
        <f>PoolStates_V2!S48</f>
        <v>27694.426469391961</v>
      </c>
      <c r="D48">
        <f>PoolStates_V2!T48</f>
        <v>520298.46252590755</v>
      </c>
      <c r="E48">
        <f>PoolStates_V2!Q48</f>
        <v>242.94447786962991</v>
      </c>
      <c r="F48">
        <f t="shared" si="37"/>
        <v>0</v>
      </c>
      <c r="G48">
        <f t="shared" si="38"/>
        <v>0</v>
      </c>
      <c r="H48">
        <f t="shared" si="39"/>
        <v>6522680.6106681386</v>
      </c>
      <c r="I48">
        <f t="shared" si="0"/>
        <v>242.94447786962991</v>
      </c>
      <c r="J48">
        <f t="shared" si="1"/>
        <v>0</v>
      </c>
      <c r="K48">
        <f t="shared" si="2"/>
        <v>0</v>
      </c>
      <c r="L48">
        <f t="shared" si="3"/>
        <v>0</v>
      </c>
      <c r="M48">
        <f t="shared" si="4"/>
        <v>0</v>
      </c>
      <c r="N48">
        <f t="shared" si="5"/>
        <v>0</v>
      </c>
      <c r="O48">
        <f t="shared" si="6"/>
        <v>6522437.6661902694</v>
      </c>
      <c r="P48">
        <f>M48*Inputs!B6/12</f>
        <v>0</v>
      </c>
      <c r="Q48">
        <f t="shared" si="7"/>
        <v>0</v>
      </c>
      <c r="R48">
        <f>N48*Inputs!B6/12</f>
        <v>0</v>
      </c>
      <c r="S48">
        <f t="shared" si="8"/>
        <v>0</v>
      </c>
      <c r="T48">
        <f t="shared" si="9"/>
        <v>27694.426469391961</v>
      </c>
      <c r="U48">
        <f t="shared" si="10"/>
        <v>0</v>
      </c>
      <c r="V48">
        <f t="shared" si="11"/>
        <v>27694.426469391961</v>
      </c>
      <c r="W48">
        <f t="shared" si="12"/>
        <v>520298.46252590755</v>
      </c>
      <c r="X48">
        <f t="shared" si="13"/>
        <v>0</v>
      </c>
      <c r="Y48">
        <f t="shared" si="14"/>
        <v>0</v>
      </c>
      <c r="Z48">
        <f t="shared" si="15"/>
        <v>0</v>
      </c>
      <c r="AA48">
        <f t="shared" si="16"/>
        <v>0</v>
      </c>
      <c r="AB48">
        <f t="shared" si="17"/>
        <v>0</v>
      </c>
      <c r="AC48">
        <f t="shared" si="18"/>
        <v>520298.46252590755</v>
      </c>
      <c r="AD48">
        <f t="shared" si="19"/>
        <v>0</v>
      </c>
      <c r="AE48">
        <f t="shared" si="20"/>
        <v>520298.46252590755</v>
      </c>
      <c r="AF48">
        <f t="shared" si="21"/>
        <v>0</v>
      </c>
      <c r="AG48">
        <f t="shared" si="22"/>
        <v>520298.46252590755</v>
      </c>
      <c r="AH48">
        <f t="shared" si="23"/>
        <v>520298.46252590755</v>
      </c>
      <c r="AI48">
        <f t="shared" si="24"/>
        <v>0</v>
      </c>
      <c r="AJ48">
        <f t="shared" si="25"/>
        <v>0</v>
      </c>
      <c r="AK48">
        <f t="shared" si="26"/>
        <v>520298.46252590755</v>
      </c>
      <c r="AL48">
        <f t="shared" si="27"/>
        <v>0</v>
      </c>
      <c r="AM48">
        <f t="shared" si="28"/>
        <v>0</v>
      </c>
      <c r="AN48">
        <f t="shared" si="29"/>
        <v>520298.46252590755</v>
      </c>
      <c r="AO48">
        <f t="shared" si="30"/>
        <v>0</v>
      </c>
      <c r="AP48">
        <f t="shared" si="31"/>
        <v>0</v>
      </c>
      <c r="AQ48">
        <f t="shared" si="32"/>
        <v>0</v>
      </c>
      <c r="AR48">
        <f t="shared" si="33"/>
        <v>6002139.2036643615</v>
      </c>
      <c r="AS48">
        <f t="shared" si="34"/>
        <v>0</v>
      </c>
      <c r="AT48">
        <f t="shared" si="35"/>
        <v>0</v>
      </c>
      <c r="AU48">
        <f t="shared" si="36"/>
        <v>0</v>
      </c>
    </row>
    <row r="49" spans="1:47" x14ac:dyDescent="0.2">
      <c r="A49">
        <v>48</v>
      </c>
      <c r="B49">
        <f>PoolStates_V2!B49</f>
        <v>0</v>
      </c>
      <c r="C49">
        <f>PoolStates_V2!S49</f>
        <v>25482.471194860231</v>
      </c>
      <c r="D49">
        <f>PoolStates_V2!T49</f>
        <v>478821.73030989489</v>
      </c>
      <c r="E49">
        <f>PoolStates_V2!Q49</f>
        <v>224.2873998421889</v>
      </c>
      <c r="F49">
        <f t="shared" si="37"/>
        <v>0</v>
      </c>
      <c r="G49">
        <f t="shared" si="38"/>
        <v>0</v>
      </c>
      <c r="H49">
        <f t="shared" si="39"/>
        <v>6002139.2036643615</v>
      </c>
      <c r="I49">
        <f t="shared" si="0"/>
        <v>224.2873998421889</v>
      </c>
      <c r="J49">
        <f t="shared" si="1"/>
        <v>0</v>
      </c>
      <c r="K49">
        <f t="shared" si="2"/>
        <v>0</v>
      </c>
      <c r="L49">
        <f t="shared" si="3"/>
        <v>0</v>
      </c>
      <c r="M49">
        <f t="shared" si="4"/>
        <v>0</v>
      </c>
      <c r="N49">
        <f t="shared" si="5"/>
        <v>0</v>
      </c>
      <c r="O49">
        <f t="shared" si="6"/>
        <v>6001914.9162645191</v>
      </c>
      <c r="P49">
        <f>M49*Inputs!B6/12</f>
        <v>0</v>
      </c>
      <c r="Q49">
        <f t="shared" si="7"/>
        <v>0</v>
      </c>
      <c r="R49">
        <f>N49*Inputs!B6/12</f>
        <v>0</v>
      </c>
      <c r="S49">
        <f t="shared" si="8"/>
        <v>0</v>
      </c>
      <c r="T49">
        <f t="shared" si="9"/>
        <v>25482.471194860231</v>
      </c>
      <c r="U49">
        <f t="shared" si="10"/>
        <v>0</v>
      </c>
      <c r="V49">
        <f t="shared" si="11"/>
        <v>25482.471194860231</v>
      </c>
      <c r="W49">
        <f t="shared" si="12"/>
        <v>478821.73030989489</v>
      </c>
      <c r="X49">
        <f t="shared" si="13"/>
        <v>0</v>
      </c>
      <c r="Y49">
        <f t="shared" si="14"/>
        <v>0</v>
      </c>
      <c r="Z49">
        <f t="shared" si="15"/>
        <v>0</v>
      </c>
      <c r="AA49">
        <f t="shared" si="16"/>
        <v>0</v>
      </c>
      <c r="AB49">
        <f t="shared" si="17"/>
        <v>0</v>
      </c>
      <c r="AC49">
        <f t="shared" si="18"/>
        <v>478821.73030989489</v>
      </c>
      <c r="AD49">
        <f t="shared" si="19"/>
        <v>0</v>
      </c>
      <c r="AE49">
        <f t="shared" si="20"/>
        <v>478821.73030989489</v>
      </c>
      <c r="AF49">
        <f t="shared" si="21"/>
        <v>0</v>
      </c>
      <c r="AG49">
        <f t="shared" si="22"/>
        <v>478821.73030989489</v>
      </c>
      <c r="AH49">
        <f t="shared" si="23"/>
        <v>478821.73030989489</v>
      </c>
      <c r="AI49">
        <f t="shared" si="24"/>
        <v>0</v>
      </c>
      <c r="AJ49">
        <f t="shared" si="25"/>
        <v>0</v>
      </c>
      <c r="AK49">
        <f t="shared" si="26"/>
        <v>478821.73030989489</v>
      </c>
      <c r="AL49">
        <f t="shared" si="27"/>
        <v>0</v>
      </c>
      <c r="AM49">
        <f t="shared" si="28"/>
        <v>0</v>
      </c>
      <c r="AN49">
        <f t="shared" si="29"/>
        <v>478821.73030989489</v>
      </c>
      <c r="AO49">
        <f t="shared" si="30"/>
        <v>0</v>
      </c>
      <c r="AP49">
        <f t="shared" si="31"/>
        <v>0</v>
      </c>
      <c r="AQ49">
        <f t="shared" si="32"/>
        <v>0</v>
      </c>
      <c r="AR49">
        <f t="shared" si="33"/>
        <v>5523093.1859546239</v>
      </c>
      <c r="AS49">
        <f t="shared" si="34"/>
        <v>0</v>
      </c>
      <c r="AT49">
        <f t="shared" si="35"/>
        <v>0</v>
      </c>
      <c r="AU49">
        <f t="shared" si="36"/>
        <v>0</v>
      </c>
    </row>
    <row r="50" spans="1:47" x14ac:dyDescent="0.2">
      <c r="A50">
        <v>49</v>
      </c>
      <c r="B50">
        <f>PoolStates_V2!B50</f>
        <v>0</v>
      </c>
      <c r="C50">
        <f>PoolStates_V2!S50</f>
        <v>23447.072066295608</v>
      </c>
      <c r="D50">
        <f>PoolStates_V2!T50</f>
        <v>440649.63743706653</v>
      </c>
      <c r="E50">
        <f>PoolStates_V2!Q50</f>
        <v>207.02510351565758</v>
      </c>
      <c r="F50">
        <f t="shared" si="37"/>
        <v>0</v>
      </c>
      <c r="G50">
        <f t="shared" si="38"/>
        <v>0</v>
      </c>
      <c r="H50">
        <f t="shared" si="39"/>
        <v>5523093.1859546239</v>
      </c>
      <c r="I50">
        <f t="shared" si="0"/>
        <v>207.02510351565758</v>
      </c>
      <c r="J50">
        <f t="shared" si="1"/>
        <v>0</v>
      </c>
      <c r="K50">
        <f t="shared" si="2"/>
        <v>0</v>
      </c>
      <c r="L50">
        <f t="shared" si="3"/>
        <v>0</v>
      </c>
      <c r="M50">
        <f t="shared" si="4"/>
        <v>0</v>
      </c>
      <c r="N50">
        <f t="shared" si="5"/>
        <v>0</v>
      </c>
      <c r="O50">
        <f t="shared" si="6"/>
        <v>5522886.1608511079</v>
      </c>
      <c r="P50">
        <f>M50*Inputs!B6/12</f>
        <v>0</v>
      </c>
      <c r="Q50">
        <f t="shared" si="7"/>
        <v>0</v>
      </c>
      <c r="R50">
        <f>N50*Inputs!B6/12</f>
        <v>0</v>
      </c>
      <c r="S50">
        <f t="shared" si="8"/>
        <v>0</v>
      </c>
      <c r="T50">
        <f t="shared" si="9"/>
        <v>23447.072066295608</v>
      </c>
      <c r="U50">
        <f t="shared" si="10"/>
        <v>0</v>
      </c>
      <c r="V50">
        <f t="shared" si="11"/>
        <v>23447.072066295608</v>
      </c>
      <c r="W50">
        <f t="shared" si="12"/>
        <v>440649.63743706653</v>
      </c>
      <c r="X50">
        <f t="shared" si="13"/>
        <v>0</v>
      </c>
      <c r="Y50">
        <f t="shared" si="14"/>
        <v>0</v>
      </c>
      <c r="Z50">
        <f t="shared" si="15"/>
        <v>0</v>
      </c>
      <c r="AA50">
        <f t="shared" si="16"/>
        <v>0</v>
      </c>
      <c r="AB50">
        <f t="shared" si="17"/>
        <v>0</v>
      </c>
      <c r="AC50">
        <f t="shared" si="18"/>
        <v>440649.63743706653</v>
      </c>
      <c r="AD50">
        <f t="shared" si="19"/>
        <v>0</v>
      </c>
      <c r="AE50">
        <f t="shared" si="20"/>
        <v>440649.63743706653</v>
      </c>
      <c r="AF50">
        <f t="shared" si="21"/>
        <v>0</v>
      </c>
      <c r="AG50">
        <f t="shared" si="22"/>
        <v>440649.63743706653</v>
      </c>
      <c r="AH50">
        <f t="shared" si="23"/>
        <v>440649.63743706653</v>
      </c>
      <c r="AI50">
        <f t="shared" si="24"/>
        <v>0</v>
      </c>
      <c r="AJ50">
        <f t="shared" si="25"/>
        <v>0</v>
      </c>
      <c r="AK50">
        <f t="shared" si="26"/>
        <v>440649.63743706653</v>
      </c>
      <c r="AL50">
        <f t="shared" si="27"/>
        <v>0</v>
      </c>
      <c r="AM50">
        <f t="shared" si="28"/>
        <v>0</v>
      </c>
      <c r="AN50">
        <f t="shared" si="29"/>
        <v>440649.63743706653</v>
      </c>
      <c r="AO50">
        <f t="shared" si="30"/>
        <v>0</v>
      </c>
      <c r="AP50">
        <f t="shared" si="31"/>
        <v>0</v>
      </c>
      <c r="AQ50">
        <f t="shared" si="32"/>
        <v>0</v>
      </c>
      <c r="AR50">
        <f t="shared" si="33"/>
        <v>5082236.5234140418</v>
      </c>
      <c r="AS50">
        <f t="shared" si="34"/>
        <v>0</v>
      </c>
      <c r="AT50">
        <f t="shared" si="35"/>
        <v>0</v>
      </c>
      <c r="AU50">
        <f t="shared" si="36"/>
        <v>0</v>
      </c>
    </row>
    <row r="51" spans="1:47" x14ac:dyDescent="0.2">
      <c r="A51">
        <v>50</v>
      </c>
      <c r="B51">
        <f>PoolStates_V2!B51</f>
        <v>0</v>
      </c>
      <c r="C51">
        <f>PoolStates_V2!S51</f>
        <v>21574.133184080703</v>
      </c>
      <c r="D51">
        <f>PoolStates_V2!T51</f>
        <v>405518.81590755668</v>
      </c>
      <c r="E51">
        <f>PoolStates_V2!Q51</f>
        <v>191.05832306094243</v>
      </c>
      <c r="F51">
        <f t="shared" si="37"/>
        <v>0</v>
      </c>
      <c r="G51">
        <f t="shared" si="38"/>
        <v>0</v>
      </c>
      <c r="H51">
        <f t="shared" si="39"/>
        <v>5082236.5234140418</v>
      </c>
      <c r="I51">
        <f t="shared" si="0"/>
        <v>191.05832306094243</v>
      </c>
      <c r="J51">
        <f t="shared" si="1"/>
        <v>0</v>
      </c>
      <c r="K51">
        <f t="shared" si="2"/>
        <v>0</v>
      </c>
      <c r="L51">
        <f t="shared" si="3"/>
        <v>0</v>
      </c>
      <c r="M51">
        <f t="shared" si="4"/>
        <v>0</v>
      </c>
      <c r="N51">
        <f t="shared" si="5"/>
        <v>0</v>
      </c>
      <c r="O51">
        <f t="shared" si="6"/>
        <v>5082045.4650909808</v>
      </c>
      <c r="P51">
        <f>M51*Inputs!B6/12</f>
        <v>0</v>
      </c>
      <c r="Q51">
        <f t="shared" si="7"/>
        <v>0</v>
      </c>
      <c r="R51">
        <f>N51*Inputs!B6/12</f>
        <v>0</v>
      </c>
      <c r="S51">
        <f t="shared" si="8"/>
        <v>0</v>
      </c>
      <c r="T51">
        <f t="shared" si="9"/>
        <v>21574.133184080703</v>
      </c>
      <c r="U51">
        <f t="shared" si="10"/>
        <v>0</v>
      </c>
      <c r="V51">
        <f t="shared" si="11"/>
        <v>21574.133184080703</v>
      </c>
      <c r="W51">
        <f t="shared" si="12"/>
        <v>405518.81590755668</v>
      </c>
      <c r="X51">
        <f t="shared" si="13"/>
        <v>0</v>
      </c>
      <c r="Y51">
        <f t="shared" si="14"/>
        <v>0</v>
      </c>
      <c r="Z51">
        <f t="shared" si="15"/>
        <v>0</v>
      </c>
      <c r="AA51">
        <f t="shared" si="16"/>
        <v>0</v>
      </c>
      <c r="AB51">
        <f t="shared" si="17"/>
        <v>0</v>
      </c>
      <c r="AC51">
        <f t="shared" si="18"/>
        <v>405518.81590755668</v>
      </c>
      <c r="AD51">
        <f t="shared" si="19"/>
        <v>0</v>
      </c>
      <c r="AE51">
        <f t="shared" si="20"/>
        <v>405518.81590755668</v>
      </c>
      <c r="AF51">
        <f t="shared" si="21"/>
        <v>0</v>
      </c>
      <c r="AG51">
        <f t="shared" si="22"/>
        <v>405518.81590755668</v>
      </c>
      <c r="AH51">
        <f t="shared" si="23"/>
        <v>405518.81590755668</v>
      </c>
      <c r="AI51">
        <f t="shared" si="24"/>
        <v>0</v>
      </c>
      <c r="AJ51">
        <f t="shared" si="25"/>
        <v>0</v>
      </c>
      <c r="AK51">
        <f t="shared" si="26"/>
        <v>405518.81590755668</v>
      </c>
      <c r="AL51">
        <f t="shared" si="27"/>
        <v>0</v>
      </c>
      <c r="AM51">
        <f t="shared" si="28"/>
        <v>0</v>
      </c>
      <c r="AN51">
        <f t="shared" si="29"/>
        <v>405518.81590755668</v>
      </c>
      <c r="AO51">
        <f t="shared" si="30"/>
        <v>0</v>
      </c>
      <c r="AP51">
        <f t="shared" si="31"/>
        <v>0</v>
      </c>
      <c r="AQ51">
        <f t="shared" si="32"/>
        <v>0</v>
      </c>
      <c r="AR51">
        <f t="shared" si="33"/>
        <v>4676526.6491834242</v>
      </c>
      <c r="AS51">
        <f t="shared" si="34"/>
        <v>0</v>
      </c>
      <c r="AT51">
        <f t="shared" si="35"/>
        <v>0</v>
      </c>
      <c r="AU51">
        <f t="shared" si="36"/>
        <v>0</v>
      </c>
    </row>
    <row r="52" spans="1:47" x14ac:dyDescent="0.2">
      <c r="A52">
        <v>51</v>
      </c>
      <c r="B52">
        <f>PoolStates_V2!B52</f>
        <v>0</v>
      </c>
      <c r="C52">
        <f>PoolStates_V2!S52</f>
        <v>19850.685768362589</v>
      </c>
      <c r="D52">
        <f>PoolStates_V2!T52</f>
        <v>373186.91836331313</v>
      </c>
      <c r="E52">
        <f>PoolStates_V2!Q52</f>
        <v>176.2941719634116</v>
      </c>
      <c r="F52">
        <f t="shared" si="37"/>
        <v>0</v>
      </c>
      <c r="G52">
        <f t="shared" si="38"/>
        <v>0</v>
      </c>
      <c r="H52">
        <f t="shared" si="39"/>
        <v>4676526.6491834242</v>
      </c>
      <c r="I52">
        <f t="shared" si="0"/>
        <v>176.2941719634116</v>
      </c>
      <c r="J52">
        <f t="shared" si="1"/>
        <v>0</v>
      </c>
      <c r="K52">
        <f t="shared" si="2"/>
        <v>0</v>
      </c>
      <c r="L52">
        <f t="shared" si="3"/>
        <v>0</v>
      </c>
      <c r="M52">
        <f t="shared" si="4"/>
        <v>0</v>
      </c>
      <c r="N52">
        <f t="shared" si="5"/>
        <v>0</v>
      </c>
      <c r="O52">
        <f t="shared" si="6"/>
        <v>4676350.3550114604</v>
      </c>
      <c r="P52">
        <f>M52*Inputs!B6/12</f>
        <v>0</v>
      </c>
      <c r="Q52">
        <f t="shared" si="7"/>
        <v>0</v>
      </c>
      <c r="R52">
        <f>N52*Inputs!B6/12</f>
        <v>0</v>
      </c>
      <c r="S52">
        <f t="shared" si="8"/>
        <v>0</v>
      </c>
      <c r="T52">
        <f t="shared" si="9"/>
        <v>19850.685768362589</v>
      </c>
      <c r="U52">
        <f t="shared" si="10"/>
        <v>0</v>
      </c>
      <c r="V52">
        <f t="shared" si="11"/>
        <v>19850.685768362589</v>
      </c>
      <c r="W52">
        <f t="shared" si="12"/>
        <v>373186.91836331313</v>
      </c>
      <c r="X52">
        <f t="shared" si="13"/>
        <v>0</v>
      </c>
      <c r="Y52">
        <f t="shared" si="14"/>
        <v>0</v>
      </c>
      <c r="Z52">
        <f t="shared" si="15"/>
        <v>0</v>
      </c>
      <c r="AA52">
        <f t="shared" si="16"/>
        <v>0</v>
      </c>
      <c r="AB52">
        <f t="shared" si="17"/>
        <v>0</v>
      </c>
      <c r="AC52">
        <f t="shared" si="18"/>
        <v>373186.91836331313</v>
      </c>
      <c r="AD52">
        <f t="shared" si="19"/>
        <v>0</v>
      </c>
      <c r="AE52">
        <f t="shared" si="20"/>
        <v>373186.91836331313</v>
      </c>
      <c r="AF52">
        <f t="shared" si="21"/>
        <v>0</v>
      </c>
      <c r="AG52">
        <f t="shared" si="22"/>
        <v>373186.91836331313</v>
      </c>
      <c r="AH52">
        <f t="shared" si="23"/>
        <v>373186.91836331313</v>
      </c>
      <c r="AI52">
        <f t="shared" si="24"/>
        <v>0</v>
      </c>
      <c r="AJ52">
        <f t="shared" si="25"/>
        <v>0</v>
      </c>
      <c r="AK52">
        <f t="shared" si="26"/>
        <v>373186.91836331313</v>
      </c>
      <c r="AL52">
        <f t="shared" si="27"/>
        <v>0</v>
      </c>
      <c r="AM52">
        <f t="shared" si="28"/>
        <v>0</v>
      </c>
      <c r="AN52">
        <f t="shared" si="29"/>
        <v>373186.91836331313</v>
      </c>
      <c r="AO52">
        <f t="shared" si="30"/>
        <v>0</v>
      </c>
      <c r="AP52">
        <f t="shared" si="31"/>
        <v>0</v>
      </c>
      <c r="AQ52">
        <f t="shared" si="32"/>
        <v>0</v>
      </c>
      <c r="AR52">
        <f t="shared" si="33"/>
        <v>4303163.4366481472</v>
      </c>
      <c r="AS52">
        <f t="shared" si="34"/>
        <v>0</v>
      </c>
      <c r="AT52">
        <f t="shared" si="35"/>
        <v>0</v>
      </c>
      <c r="AU52">
        <f t="shared" si="36"/>
        <v>0</v>
      </c>
    </row>
    <row r="53" spans="1:47" x14ac:dyDescent="0.2">
      <c r="A53">
        <v>52</v>
      </c>
      <c r="B53">
        <f>PoolStates_V2!B53</f>
        <v>0</v>
      </c>
      <c r="C53">
        <f>PoolStates_V2!S53</f>
        <v>18264.797715888726</v>
      </c>
      <c r="D53">
        <f>PoolStates_V2!T53</f>
        <v>343430.93472284178</v>
      </c>
      <c r="E53">
        <f>PoolStates_V2!Q53</f>
        <v>162.64583219295201</v>
      </c>
      <c r="F53">
        <f t="shared" si="37"/>
        <v>0</v>
      </c>
      <c r="G53">
        <f t="shared" si="38"/>
        <v>0</v>
      </c>
      <c r="H53">
        <f t="shared" si="39"/>
        <v>4303163.4366481472</v>
      </c>
      <c r="I53">
        <f t="shared" si="0"/>
        <v>162.64583219295201</v>
      </c>
      <c r="J53">
        <f t="shared" si="1"/>
        <v>0</v>
      </c>
      <c r="K53">
        <f t="shared" si="2"/>
        <v>0</v>
      </c>
      <c r="L53">
        <f t="shared" si="3"/>
        <v>0</v>
      </c>
      <c r="M53">
        <f t="shared" si="4"/>
        <v>0</v>
      </c>
      <c r="N53">
        <f t="shared" si="5"/>
        <v>0</v>
      </c>
      <c r="O53">
        <f t="shared" si="6"/>
        <v>4303000.7908159541</v>
      </c>
      <c r="P53">
        <f>M53*Inputs!B6/12</f>
        <v>0</v>
      </c>
      <c r="Q53">
        <f t="shared" si="7"/>
        <v>0</v>
      </c>
      <c r="R53">
        <f>N53*Inputs!B6/12</f>
        <v>0</v>
      </c>
      <c r="S53">
        <f t="shared" si="8"/>
        <v>0</v>
      </c>
      <c r="T53">
        <f t="shared" si="9"/>
        <v>18264.797715888726</v>
      </c>
      <c r="U53">
        <f t="shared" si="10"/>
        <v>0</v>
      </c>
      <c r="V53">
        <f t="shared" si="11"/>
        <v>18264.797715888726</v>
      </c>
      <c r="W53">
        <f t="shared" si="12"/>
        <v>343430.93472284178</v>
      </c>
      <c r="X53">
        <f t="shared" si="13"/>
        <v>0</v>
      </c>
      <c r="Y53">
        <f t="shared" si="14"/>
        <v>0</v>
      </c>
      <c r="Z53">
        <f t="shared" si="15"/>
        <v>0</v>
      </c>
      <c r="AA53">
        <f t="shared" si="16"/>
        <v>0</v>
      </c>
      <c r="AB53">
        <f t="shared" si="17"/>
        <v>0</v>
      </c>
      <c r="AC53">
        <f t="shared" si="18"/>
        <v>343430.93472284178</v>
      </c>
      <c r="AD53">
        <f t="shared" si="19"/>
        <v>0</v>
      </c>
      <c r="AE53">
        <f t="shared" si="20"/>
        <v>343430.93472284178</v>
      </c>
      <c r="AF53">
        <f t="shared" si="21"/>
        <v>0</v>
      </c>
      <c r="AG53">
        <f t="shared" si="22"/>
        <v>343430.93472284178</v>
      </c>
      <c r="AH53">
        <f t="shared" si="23"/>
        <v>343430.93472284178</v>
      </c>
      <c r="AI53">
        <f t="shared" si="24"/>
        <v>0</v>
      </c>
      <c r="AJ53">
        <f t="shared" si="25"/>
        <v>0</v>
      </c>
      <c r="AK53">
        <f t="shared" si="26"/>
        <v>343430.93472284178</v>
      </c>
      <c r="AL53">
        <f t="shared" si="27"/>
        <v>0</v>
      </c>
      <c r="AM53">
        <f t="shared" si="28"/>
        <v>0</v>
      </c>
      <c r="AN53">
        <f t="shared" si="29"/>
        <v>343430.93472284178</v>
      </c>
      <c r="AO53">
        <f t="shared" si="30"/>
        <v>0</v>
      </c>
      <c r="AP53">
        <f t="shared" si="31"/>
        <v>0</v>
      </c>
      <c r="AQ53">
        <f t="shared" si="32"/>
        <v>0</v>
      </c>
      <c r="AR53">
        <f t="shared" si="33"/>
        <v>3959569.8560931124</v>
      </c>
      <c r="AS53">
        <f t="shared" si="34"/>
        <v>0</v>
      </c>
      <c r="AT53">
        <f t="shared" si="35"/>
        <v>0</v>
      </c>
      <c r="AU53">
        <f t="shared" si="36"/>
        <v>0</v>
      </c>
    </row>
    <row r="54" spans="1:47" x14ac:dyDescent="0.2">
      <c r="A54">
        <v>53</v>
      </c>
      <c r="B54">
        <f>PoolStates_V2!B54</f>
        <v>0</v>
      </c>
      <c r="C54">
        <f>PoolStates_V2!S54</f>
        <v>16805.490462099486</v>
      </c>
      <c r="D54">
        <f>PoolStates_V2!T54</f>
        <v>316045.64446156775</v>
      </c>
      <c r="E54">
        <f>PoolStates_V2!Q54</f>
        <v>150.0322425970011</v>
      </c>
      <c r="F54">
        <f t="shared" si="37"/>
        <v>0</v>
      </c>
      <c r="G54">
        <f t="shared" si="38"/>
        <v>0</v>
      </c>
      <c r="H54">
        <f t="shared" si="39"/>
        <v>3959569.8560931124</v>
      </c>
      <c r="I54">
        <f t="shared" si="0"/>
        <v>150.0322425970011</v>
      </c>
      <c r="J54">
        <f t="shared" si="1"/>
        <v>0</v>
      </c>
      <c r="K54">
        <f t="shared" si="2"/>
        <v>0</v>
      </c>
      <c r="L54">
        <f t="shared" si="3"/>
        <v>0</v>
      </c>
      <c r="M54">
        <f t="shared" si="4"/>
        <v>0</v>
      </c>
      <c r="N54">
        <f t="shared" si="5"/>
        <v>0</v>
      </c>
      <c r="O54">
        <f t="shared" si="6"/>
        <v>3959419.8238505153</v>
      </c>
      <c r="P54">
        <f>M54*Inputs!B6/12</f>
        <v>0</v>
      </c>
      <c r="Q54">
        <f t="shared" si="7"/>
        <v>0</v>
      </c>
      <c r="R54">
        <f>N54*Inputs!B6/12</f>
        <v>0</v>
      </c>
      <c r="S54">
        <f t="shared" si="8"/>
        <v>0</v>
      </c>
      <c r="T54">
        <f t="shared" si="9"/>
        <v>16805.490462099486</v>
      </c>
      <c r="U54">
        <f t="shared" si="10"/>
        <v>0</v>
      </c>
      <c r="V54">
        <f t="shared" si="11"/>
        <v>16805.490462099486</v>
      </c>
      <c r="W54">
        <f t="shared" si="12"/>
        <v>316045.64446156775</v>
      </c>
      <c r="X54">
        <f t="shared" si="13"/>
        <v>0</v>
      </c>
      <c r="Y54">
        <f t="shared" si="14"/>
        <v>0</v>
      </c>
      <c r="Z54">
        <f t="shared" si="15"/>
        <v>0</v>
      </c>
      <c r="AA54">
        <f t="shared" si="16"/>
        <v>0</v>
      </c>
      <c r="AB54">
        <f t="shared" si="17"/>
        <v>0</v>
      </c>
      <c r="AC54">
        <f t="shared" si="18"/>
        <v>316045.64446156775</v>
      </c>
      <c r="AD54">
        <f t="shared" si="19"/>
        <v>0</v>
      </c>
      <c r="AE54">
        <f t="shared" si="20"/>
        <v>316045.64446156775</v>
      </c>
      <c r="AF54">
        <f t="shared" si="21"/>
        <v>0</v>
      </c>
      <c r="AG54">
        <f t="shared" si="22"/>
        <v>316045.64446156775</v>
      </c>
      <c r="AH54">
        <f t="shared" si="23"/>
        <v>316045.64446156775</v>
      </c>
      <c r="AI54">
        <f t="shared" si="24"/>
        <v>0</v>
      </c>
      <c r="AJ54">
        <f t="shared" si="25"/>
        <v>0</v>
      </c>
      <c r="AK54">
        <f t="shared" si="26"/>
        <v>316045.64446156775</v>
      </c>
      <c r="AL54">
        <f t="shared" si="27"/>
        <v>0</v>
      </c>
      <c r="AM54">
        <f t="shared" si="28"/>
        <v>0</v>
      </c>
      <c r="AN54">
        <f t="shared" si="29"/>
        <v>316045.64446156775</v>
      </c>
      <c r="AO54">
        <f t="shared" si="30"/>
        <v>0</v>
      </c>
      <c r="AP54">
        <f t="shared" si="31"/>
        <v>0</v>
      </c>
      <c r="AQ54">
        <f t="shared" si="32"/>
        <v>0</v>
      </c>
      <c r="AR54">
        <f t="shared" si="33"/>
        <v>3643374.1793889478</v>
      </c>
      <c r="AS54">
        <f t="shared" si="34"/>
        <v>0</v>
      </c>
      <c r="AT54">
        <f t="shared" si="35"/>
        <v>0</v>
      </c>
      <c r="AU54">
        <f t="shared" si="36"/>
        <v>0</v>
      </c>
    </row>
    <row r="55" spans="1:47" x14ac:dyDescent="0.2">
      <c r="A55">
        <v>54</v>
      </c>
      <c r="B55">
        <f>PoolStates_V2!B55</f>
        <v>0</v>
      </c>
      <c r="C55">
        <f>PoolStates_V2!S55</f>
        <v>15462.662551766525</v>
      </c>
      <c r="D55">
        <f>PoolStates_V2!T55</f>
        <v>290842.19349114317</v>
      </c>
      <c r="E55">
        <f>PoolStates_V2!Q55</f>
        <v>138.37778989045941</v>
      </c>
      <c r="F55">
        <f t="shared" si="37"/>
        <v>0</v>
      </c>
      <c r="G55">
        <f t="shared" si="38"/>
        <v>0</v>
      </c>
      <c r="H55">
        <f t="shared" si="39"/>
        <v>3643374.1793889478</v>
      </c>
      <c r="I55">
        <f t="shared" si="0"/>
        <v>138.37778989045941</v>
      </c>
      <c r="J55">
        <f t="shared" si="1"/>
        <v>0</v>
      </c>
      <c r="K55">
        <f t="shared" si="2"/>
        <v>0</v>
      </c>
      <c r="L55">
        <f t="shared" si="3"/>
        <v>0</v>
      </c>
      <c r="M55">
        <f t="shared" si="4"/>
        <v>0</v>
      </c>
      <c r="N55">
        <f t="shared" si="5"/>
        <v>0</v>
      </c>
      <c r="O55">
        <f t="shared" si="6"/>
        <v>3643235.8015990574</v>
      </c>
      <c r="P55">
        <f>M55*Inputs!B6/12</f>
        <v>0</v>
      </c>
      <c r="Q55">
        <f t="shared" si="7"/>
        <v>0</v>
      </c>
      <c r="R55">
        <f>N55*Inputs!B6/12</f>
        <v>0</v>
      </c>
      <c r="S55">
        <f t="shared" si="8"/>
        <v>0</v>
      </c>
      <c r="T55">
        <f t="shared" si="9"/>
        <v>15462.662551766525</v>
      </c>
      <c r="U55">
        <f t="shared" si="10"/>
        <v>0</v>
      </c>
      <c r="V55">
        <f t="shared" si="11"/>
        <v>15462.662551766525</v>
      </c>
      <c r="W55">
        <f t="shared" si="12"/>
        <v>290842.19349114317</v>
      </c>
      <c r="X55">
        <f t="shared" si="13"/>
        <v>0</v>
      </c>
      <c r="Y55">
        <f t="shared" si="14"/>
        <v>0</v>
      </c>
      <c r="Z55">
        <f t="shared" si="15"/>
        <v>0</v>
      </c>
      <c r="AA55">
        <f t="shared" si="16"/>
        <v>0</v>
      </c>
      <c r="AB55">
        <f t="shared" si="17"/>
        <v>0</v>
      </c>
      <c r="AC55">
        <f t="shared" si="18"/>
        <v>290842.19349114317</v>
      </c>
      <c r="AD55">
        <f t="shared" si="19"/>
        <v>0</v>
      </c>
      <c r="AE55">
        <f t="shared" si="20"/>
        <v>290842.19349114317</v>
      </c>
      <c r="AF55">
        <f t="shared" si="21"/>
        <v>0</v>
      </c>
      <c r="AG55">
        <f t="shared" si="22"/>
        <v>290842.19349114317</v>
      </c>
      <c r="AH55">
        <f t="shared" si="23"/>
        <v>290842.19349114317</v>
      </c>
      <c r="AI55">
        <f t="shared" si="24"/>
        <v>0</v>
      </c>
      <c r="AJ55">
        <f t="shared" si="25"/>
        <v>0</v>
      </c>
      <c r="AK55">
        <f t="shared" si="26"/>
        <v>290842.19349114317</v>
      </c>
      <c r="AL55">
        <f t="shared" si="27"/>
        <v>0</v>
      </c>
      <c r="AM55">
        <f t="shared" si="28"/>
        <v>0</v>
      </c>
      <c r="AN55">
        <f t="shared" si="29"/>
        <v>290842.19349114317</v>
      </c>
      <c r="AO55">
        <f t="shared" si="30"/>
        <v>0</v>
      </c>
      <c r="AP55">
        <f t="shared" si="31"/>
        <v>0</v>
      </c>
      <c r="AQ55">
        <f t="shared" si="32"/>
        <v>0</v>
      </c>
      <c r="AR55">
        <f t="shared" si="33"/>
        <v>3352393.6081079142</v>
      </c>
      <c r="AS55">
        <f t="shared" si="34"/>
        <v>0</v>
      </c>
      <c r="AT55">
        <f t="shared" si="35"/>
        <v>0</v>
      </c>
      <c r="AU55">
        <f t="shared" si="36"/>
        <v>0</v>
      </c>
    </row>
    <row r="56" spans="1:47" x14ac:dyDescent="0.2">
      <c r="A56">
        <v>55</v>
      </c>
      <c r="B56">
        <f>PoolStates_V2!B56</f>
        <v>0</v>
      </c>
      <c r="C56">
        <f>PoolStates_V2!S56</f>
        <v>14227.0193710931</v>
      </c>
      <c r="D56">
        <f>PoolStates_V2!T56</f>
        <v>267646.78550613066</v>
      </c>
      <c r="E56">
        <f>PoolStates_V2!Q56</f>
        <v>127.61200491729041</v>
      </c>
      <c r="F56">
        <f t="shared" si="37"/>
        <v>0</v>
      </c>
      <c r="G56">
        <f t="shared" si="38"/>
        <v>0</v>
      </c>
      <c r="H56">
        <f t="shared" si="39"/>
        <v>3352393.6081079142</v>
      </c>
      <c r="I56">
        <f t="shared" si="0"/>
        <v>127.61200491729041</v>
      </c>
      <c r="J56">
        <f t="shared" si="1"/>
        <v>0</v>
      </c>
      <c r="K56">
        <f t="shared" si="2"/>
        <v>0</v>
      </c>
      <c r="L56">
        <f t="shared" si="3"/>
        <v>0</v>
      </c>
      <c r="M56">
        <f t="shared" si="4"/>
        <v>0</v>
      </c>
      <c r="N56">
        <f t="shared" si="5"/>
        <v>0</v>
      </c>
      <c r="O56">
        <f t="shared" si="6"/>
        <v>3352265.9961029971</v>
      </c>
      <c r="P56">
        <f>M56*Inputs!B6/12</f>
        <v>0</v>
      </c>
      <c r="Q56">
        <f t="shared" si="7"/>
        <v>0</v>
      </c>
      <c r="R56">
        <f>N56*Inputs!B6/12</f>
        <v>0</v>
      </c>
      <c r="S56">
        <f t="shared" si="8"/>
        <v>0</v>
      </c>
      <c r="T56">
        <f t="shared" si="9"/>
        <v>14227.0193710931</v>
      </c>
      <c r="U56">
        <f t="shared" si="10"/>
        <v>0</v>
      </c>
      <c r="V56">
        <f t="shared" si="11"/>
        <v>14227.0193710931</v>
      </c>
      <c r="W56">
        <f t="shared" si="12"/>
        <v>267646.78550613066</v>
      </c>
      <c r="X56">
        <f t="shared" si="13"/>
        <v>0</v>
      </c>
      <c r="Y56">
        <f t="shared" si="14"/>
        <v>0</v>
      </c>
      <c r="Z56">
        <f t="shared" si="15"/>
        <v>0</v>
      </c>
      <c r="AA56">
        <f t="shared" si="16"/>
        <v>0</v>
      </c>
      <c r="AB56">
        <f t="shared" si="17"/>
        <v>0</v>
      </c>
      <c r="AC56">
        <f t="shared" si="18"/>
        <v>267646.78550613066</v>
      </c>
      <c r="AD56">
        <f t="shared" si="19"/>
        <v>0</v>
      </c>
      <c r="AE56">
        <f t="shared" si="20"/>
        <v>267646.78550613066</v>
      </c>
      <c r="AF56">
        <f t="shared" si="21"/>
        <v>0</v>
      </c>
      <c r="AG56">
        <f t="shared" si="22"/>
        <v>267646.78550613066</v>
      </c>
      <c r="AH56">
        <f t="shared" si="23"/>
        <v>267646.78550613066</v>
      </c>
      <c r="AI56">
        <f t="shared" si="24"/>
        <v>0</v>
      </c>
      <c r="AJ56">
        <f t="shared" si="25"/>
        <v>0</v>
      </c>
      <c r="AK56">
        <f t="shared" si="26"/>
        <v>267646.78550613066</v>
      </c>
      <c r="AL56">
        <f t="shared" si="27"/>
        <v>0</v>
      </c>
      <c r="AM56">
        <f t="shared" si="28"/>
        <v>0</v>
      </c>
      <c r="AN56">
        <f t="shared" si="29"/>
        <v>267646.78550613066</v>
      </c>
      <c r="AO56">
        <f t="shared" si="30"/>
        <v>0</v>
      </c>
      <c r="AP56">
        <f t="shared" si="31"/>
        <v>0</v>
      </c>
      <c r="AQ56">
        <f t="shared" si="32"/>
        <v>0</v>
      </c>
      <c r="AR56">
        <f t="shared" si="33"/>
        <v>3084619.2105968664</v>
      </c>
      <c r="AS56">
        <f t="shared" si="34"/>
        <v>0</v>
      </c>
      <c r="AT56">
        <f t="shared" si="35"/>
        <v>0</v>
      </c>
      <c r="AU56">
        <f t="shared" si="36"/>
        <v>0</v>
      </c>
    </row>
    <row r="57" spans="1:47" x14ac:dyDescent="0.2">
      <c r="A57">
        <v>56</v>
      </c>
      <c r="B57">
        <f>PoolStates_V2!B57</f>
        <v>0</v>
      </c>
      <c r="C57">
        <f>PoolStates_V2!S57</f>
        <v>13090.008539577122</v>
      </c>
      <c r="D57">
        <f>PoolStates_V2!T57</f>
        <v>246299.47850377957</v>
      </c>
      <c r="E57">
        <f>PoolStates_V2!Q57</f>
        <v>117.66926627119561</v>
      </c>
      <c r="F57">
        <f t="shared" si="37"/>
        <v>0</v>
      </c>
      <c r="G57">
        <f t="shared" si="38"/>
        <v>0</v>
      </c>
      <c r="H57">
        <f t="shared" si="39"/>
        <v>3084619.2105968664</v>
      </c>
      <c r="I57">
        <f t="shared" si="0"/>
        <v>117.66926627119561</v>
      </c>
      <c r="J57">
        <f t="shared" si="1"/>
        <v>0</v>
      </c>
      <c r="K57">
        <f t="shared" si="2"/>
        <v>0</v>
      </c>
      <c r="L57">
        <f t="shared" si="3"/>
        <v>0</v>
      </c>
      <c r="M57">
        <f t="shared" si="4"/>
        <v>0</v>
      </c>
      <c r="N57">
        <f t="shared" si="5"/>
        <v>0</v>
      </c>
      <c r="O57">
        <f t="shared" si="6"/>
        <v>3084501.541330595</v>
      </c>
      <c r="P57">
        <f>M57*Inputs!B6/12</f>
        <v>0</v>
      </c>
      <c r="Q57">
        <f t="shared" si="7"/>
        <v>0</v>
      </c>
      <c r="R57">
        <f>N57*Inputs!B6/12</f>
        <v>0</v>
      </c>
      <c r="S57">
        <f t="shared" si="8"/>
        <v>0</v>
      </c>
      <c r="T57">
        <f t="shared" si="9"/>
        <v>13090.008539577122</v>
      </c>
      <c r="U57">
        <f t="shared" si="10"/>
        <v>0</v>
      </c>
      <c r="V57">
        <f t="shared" si="11"/>
        <v>13090.008539577122</v>
      </c>
      <c r="W57">
        <f t="shared" si="12"/>
        <v>246299.47850377957</v>
      </c>
      <c r="X57">
        <f t="shared" si="13"/>
        <v>0</v>
      </c>
      <c r="Y57">
        <f t="shared" si="14"/>
        <v>0</v>
      </c>
      <c r="Z57">
        <f t="shared" si="15"/>
        <v>0</v>
      </c>
      <c r="AA57">
        <f t="shared" si="16"/>
        <v>0</v>
      </c>
      <c r="AB57">
        <f t="shared" si="17"/>
        <v>0</v>
      </c>
      <c r="AC57">
        <f t="shared" si="18"/>
        <v>246299.47850377957</v>
      </c>
      <c r="AD57">
        <f t="shared" si="19"/>
        <v>0</v>
      </c>
      <c r="AE57">
        <f t="shared" si="20"/>
        <v>246299.47850377957</v>
      </c>
      <c r="AF57">
        <f t="shared" si="21"/>
        <v>0</v>
      </c>
      <c r="AG57">
        <f t="shared" si="22"/>
        <v>246299.47850377957</v>
      </c>
      <c r="AH57">
        <f t="shared" si="23"/>
        <v>246299.47850377957</v>
      </c>
      <c r="AI57">
        <f t="shared" si="24"/>
        <v>0</v>
      </c>
      <c r="AJ57">
        <f t="shared" si="25"/>
        <v>0</v>
      </c>
      <c r="AK57">
        <f t="shared" si="26"/>
        <v>246299.47850377957</v>
      </c>
      <c r="AL57">
        <f t="shared" si="27"/>
        <v>0</v>
      </c>
      <c r="AM57">
        <f t="shared" si="28"/>
        <v>0</v>
      </c>
      <c r="AN57">
        <f t="shared" si="29"/>
        <v>246299.47850377957</v>
      </c>
      <c r="AO57">
        <f t="shared" si="30"/>
        <v>0</v>
      </c>
      <c r="AP57">
        <f t="shared" si="31"/>
        <v>0</v>
      </c>
      <c r="AQ57">
        <f t="shared" si="32"/>
        <v>0</v>
      </c>
      <c r="AR57">
        <f t="shared" si="33"/>
        <v>2838202.0628268155</v>
      </c>
      <c r="AS57">
        <f t="shared" si="34"/>
        <v>0</v>
      </c>
      <c r="AT57">
        <f t="shared" si="35"/>
        <v>0</v>
      </c>
      <c r="AU57">
        <f t="shared" si="36"/>
        <v>0</v>
      </c>
    </row>
    <row r="58" spans="1:47" x14ac:dyDescent="0.2">
      <c r="A58">
        <v>57</v>
      </c>
      <c r="B58">
        <f>PoolStates_V2!B58</f>
        <v>0</v>
      </c>
      <c r="C58">
        <f>PoolStates_V2!S58</f>
        <v>12043.760501457942</v>
      </c>
      <c r="D58">
        <f>PoolStates_V2!T58</f>
        <v>226653.07794896275</v>
      </c>
      <c r="E58">
        <f>PoolStates_V2!Q58</f>
        <v>108.48851287083131</v>
      </c>
      <c r="F58">
        <f t="shared" si="37"/>
        <v>0</v>
      </c>
      <c r="G58">
        <f t="shared" si="38"/>
        <v>0</v>
      </c>
      <c r="H58">
        <f t="shared" si="39"/>
        <v>2838202.0628268155</v>
      </c>
      <c r="I58">
        <f t="shared" si="0"/>
        <v>108.48851287083131</v>
      </c>
      <c r="J58">
        <f t="shared" si="1"/>
        <v>0</v>
      </c>
      <c r="K58">
        <f t="shared" si="2"/>
        <v>0</v>
      </c>
      <c r="L58">
        <f t="shared" si="3"/>
        <v>0</v>
      </c>
      <c r="M58">
        <f t="shared" si="4"/>
        <v>0</v>
      </c>
      <c r="N58">
        <f t="shared" si="5"/>
        <v>0</v>
      </c>
      <c r="O58">
        <f t="shared" si="6"/>
        <v>2838093.5743139447</v>
      </c>
      <c r="P58">
        <f>M58*Inputs!B6/12</f>
        <v>0</v>
      </c>
      <c r="Q58">
        <f t="shared" si="7"/>
        <v>0</v>
      </c>
      <c r="R58">
        <f>N58*Inputs!B6/12</f>
        <v>0</v>
      </c>
      <c r="S58">
        <f t="shared" si="8"/>
        <v>0</v>
      </c>
      <c r="T58">
        <f t="shared" si="9"/>
        <v>12043.760501457942</v>
      </c>
      <c r="U58">
        <f t="shared" si="10"/>
        <v>0</v>
      </c>
      <c r="V58">
        <f t="shared" si="11"/>
        <v>12043.760501457942</v>
      </c>
      <c r="W58">
        <f t="shared" si="12"/>
        <v>226653.07794896275</v>
      </c>
      <c r="X58">
        <f t="shared" si="13"/>
        <v>0</v>
      </c>
      <c r="Y58">
        <f t="shared" si="14"/>
        <v>0</v>
      </c>
      <c r="Z58">
        <f t="shared" si="15"/>
        <v>0</v>
      </c>
      <c r="AA58">
        <f t="shared" si="16"/>
        <v>0</v>
      </c>
      <c r="AB58">
        <f t="shared" si="17"/>
        <v>0</v>
      </c>
      <c r="AC58">
        <f t="shared" si="18"/>
        <v>226653.07794896275</v>
      </c>
      <c r="AD58">
        <f t="shared" si="19"/>
        <v>0</v>
      </c>
      <c r="AE58">
        <f t="shared" si="20"/>
        <v>226653.07794896275</v>
      </c>
      <c r="AF58">
        <f t="shared" si="21"/>
        <v>0</v>
      </c>
      <c r="AG58">
        <f t="shared" si="22"/>
        <v>226653.07794896275</v>
      </c>
      <c r="AH58">
        <f t="shared" si="23"/>
        <v>226653.07794896275</v>
      </c>
      <c r="AI58">
        <f t="shared" si="24"/>
        <v>0</v>
      </c>
      <c r="AJ58">
        <f t="shared" si="25"/>
        <v>0</v>
      </c>
      <c r="AK58">
        <f t="shared" si="26"/>
        <v>226653.07794896275</v>
      </c>
      <c r="AL58">
        <f t="shared" si="27"/>
        <v>0</v>
      </c>
      <c r="AM58">
        <f t="shared" si="28"/>
        <v>0</v>
      </c>
      <c r="AN58">
        <f t="shared" si="29"/>
        <v>226653.07794896275</v>
      </c>
      <c r="AO58">
        <f t="shared" si="30"/>
        <v>0</v>
      </c>
      <c r="AP58">
        <f t="shared" si="31"/>
        <v>0</v>
      </c>
      <c r="AQ58">
        <f t="shared" si="32"/>
        <v>0</v>
      </c>
      <c r="AR58">
        <f t="shared" si="33"/>
        <v>2611440.4963649819</v>
      </c>
      <c r="AS58">
        <f t="shared" si="34"/>
        <v>0</v>
      </c>
      <c r="AT58">
        <f t="shared" si="35"/>
        <v>0</v>
      </c>
      <c r="AU58">
        <f t="shared" si="36"/>
        <v>0</v>
      </c>
    </row>
    <row r="59" spans="1:47" x14ac:dyDescent="0.2">
      <c r="A59">
        <v>58</v>
      </c>
      <c r="B59">
        <f>PoolStates_V2!B59</f>
        <v>0</v>
      </c>
      <c r="C59">
        <f>PoolStates_V2!S59</f>
        <v>11081.033894564691</v>
      </c>
      <c r="D59">
        <f>PoolStates_V2!T59</f>
        <v>208572.11875798341</v>
      </c>
      <c r="E59">
        <f>PoolStates_V2!Q59</f>
        <v>100.01296667465355</v>
      </c>
      <c r="F59">
        <f t="shared" si="37"/>
        <v>0</v>
      </c>
      <c r="G59">
        <f t="shared" si="38"/>
        <v>0</v>
      </c>
      <c r="H59">
        <f t="shared" si="39"/>
        <v>2611440.4963649819</v>
      </c>
      <c r="I59">
        <f t="shared" si="0"/>
        <v>100.01296667465355</v>
      </c>
      <c r="J59">
        <f t="shared" si="1"/>
        <v>0</v>
      </c>
      <c r="K59">
        <f t="shared" si="2"/>
        <v>0</v>
      </c>
      <c r="L59">
        <f t="shared" si="3"/>
        <v>0</v>
      </c>
      <c r="M59">
        <f t="shared" si="4"/>
        <v>0</v>
      </c>
      <c r="N59">
        <f t="shared" si="5"/>
        <v>0</v>
      </c>
      <c r="O59">
        <f t="shared" si="6"/>
        <v>2611340.4833983071</v>
      </c>
      <c r="P59">
        <f>M59*Inputs!B6/12</f>
        <v>0</v>
      </c>
      <c r="Q59">
        <f t="shared" si="7"/>
        <v>0</v>
      </c>
      <c r="R59">
        <f>N59*Inputs!B6/12</f>
        <v>0</v>
      </c>
      <c r="S59">
        <f t="shared" si="8"/>
        <v>0</v>
      </c>
      <c r="T59">
        <f t="shared" si="9"/>
        <v>11081.033894564691</v>
      </c>
      <c r="U59">
        <f t="shared" si="10"/>
        <v>0</v>
      </c>
      <c r="V59">
        <f t="shared" si="11"/>
        <v>11081.033894564691</v>
      </c>
      <c r="W59">
        <f t="shared" si="12"/>
        <v>208572.11875798341</v>
      </c>
      <c r="X59">
        <f t="shared" si="13"/>
        <v>0</v>
      </c>
      <c r="Y59">
        <f t="shared" si="14"/>
        <v>0</v>
      </c>
      <c r="Z59">
        <f t="shared" si="15"/>
        <v>0</v>
      </c>
      <c r="AA59">
        <f t="shared" si="16"/>
        <v>0</v>
      </c>
      <c r="AB59">
        <f t="shared" si="17"/>
        <v>0</v>
      </c>
      <c r="AC59">
        <f t="shared" si="18"/>
        <v>208572.11875798341</v>
      </c>
      <c r="AD59">
        <f t="shared" si="19"/>
        <v>0</v>
      </c>
      <c r="AE59">
        <f t="shared" si="20"/>
        <v>208572.11875798341</v>
      </c>
      <c r="AF59">
        <f t="shared" si="21"/>
        <v>0</v>
      </c>
      <c r="AG59">
        <f t="shared" si="22"/>
        <v>208572.11875798341</v>
      </c>
      <c r="AH59">
        <f t="shared" si="23"/>
        <v>208572.11875798341</v>
      </c>
      <c r="AI59">
        <f t="shared" si="24"/>
        <v>0</v>
      </c>
      <c r="AJ59">
        <f t="shared" si="25"/>
        <v>0</v>
      </c>
      <c r="AK59">
        <f t="shared" si="26"/>
        <v>208572.11875798341</v>
      </c>
      <c r="AL59">
        <f t="shared" si="27"/>
        <v>0</v>
      </c>
      <c r="AM59">
        <f t="shared" si="28"/>
        <v>0</v>
      </c>
      <c r="AN59">
        <f t="shared" si="29"/>
        <v>208572.11875798341</v>
      </c>
      <c r="AO59">
        <f t="shared" si="30"/>
        <v>0</v>
      </c>
      <c r="AP59">
        <f t="shared" si="31"/>
        <v>0</v>
      </c>
      <c r="AQ59">
        <f t="shared" si="32"/>
        <v>0</v>
      </c>
      <c r="AR59">
        <f t="shared" si="33"/>
        <v>2402768.3646403239</v>
      </c>
      <c r="AS59">
        <f t="shared" si="34"/>
        <v>0</v>
      </c>
      <c r="AT59">
        <f t="shared" si="35"/>
        <v>0</v>
      </c>
      <c r="AU59">
        <f t="shared" si="36"/>
        <v>0</v>
      </c>
    </row>
    <row r="60" spans="1:47" x14ac:dyDescent="0.2">
      <c r="A60">
        <v>59</v>
      </c>
      <c r="B60">
        <f>PoolStates_V2!B60</f>
        <v>0</v>
      </c>
      <c r="C60">
        <f>PoolStates_V2!S60</f>
        <v>10195.165309167589</v>
      </c>
      <c r="D60">
        <f>PoolStates_V2!T60</f>
        <v>191931.92891754763</v>
      </c>
      <c r="E60">
        <f>PoolStates_V2!Q60</f>
        <v>92.189866379633287</v>
      </c>
      <c r="F60">
        <f t="shared" si="37"/>
        <v>0</v>
      </c>
      <c r="G60">
        <f t="shared" si="38"/>
        <v>0</v>
      </c>
      <c r="H60">
        <f t="shared" si="39"/>
        <v>2402768.3646403239</v>
      </c>
      <c r="I60">
        <f t="shared" si="0"/>
        <v>92.189866379633287</v>
      </c>
      <c r="J60">
        <f t="shared" si="1"/>
        <v>0</v>
      </c>
      <c r="K60">
        <f t="shared" si="2"/>
        <v>0</v>
      </c>
      <c r="L60">
        <f t="shared" si="3"/>
        <v>0</v>
      </c>
      <c r="M60">
        <f t="shared" si="4"/>
        <v>0</v>
      </c>
      <c r="N60">
        <f t="shared" si="5"/>
        <v>0</v>
      </c>
      <c r="O60">
        <f t="shared" si="6"/>
        <v>2402676.1747739441</v>
      </c>
      <c r="P60">
        <f>M60*Inputs!B6/12</f>
        <v>0</v>
      </c>
      <c r="Q60">
        <f t="shared" si="7"/>
        <v>0</v>
      </c>
      <c r="R60">
        <f>N60*Inputs!B6/12</f>
        <v>0</v>
      </c>
      <c r="S60">
        <f t="shared" si="8"/>
        <v>0</v>
      </c>
      <c r="T60">
        <f t="shared" si="9"/>
        <v>10195.165309167589</v>
      </c>
      <c r="U60">
        <f t="shared" si="10"/>
        <v>0</v>
      </c>
      <c r="V60">
        <f t="shared" si="11"/>
        <v>10195.165309167589</v>
      </c>
      <c r="W60">
        <f t="shared" si="12"/>
        <v>191931.92891754763</v>
      </c>
      <c r="X60">
        <f t="shared" si="13"/>
        <v>0</v>
      </c>
      <c r="Y60">
        <f t="shared" si="14"/>
        <v>0</v>
      </c>
      <c r="Z60">
        <f t="shared" si="15"/>
        <v>0</v>
      </c>
      <c r="AA60">
        <f t="shared" si="16"/>
        <v>0</v>
      </c>
      <c r="AB60">
        <f t="shared" si="17"/>
        <v>0</v>
      </c>
      <c r="AC60">
        <f t="shared" si="18"/>
        <v>191931.92891754763</v>
      </c>
      <c r="AD60">
        <f t="shared" si="19"/>
        <v>0</v>
      </c>
      <c r="AE60">
        <f t="shared" si="20"/>
        <v>191931.92891754763</v>
      </c>
      <c r="AF60">
        <f t="shared" si="21"/>
        <v>0</v>
      </c>
      <c r="AG60">
        <f t="shared" si="22"/>
        <v>191931.92891754763</v>
      </c>
      <c r="AH60">
        <f t="shared" si="23"/>
        <v>191931.92891754763</v>
      </c>
      <c r="AI60">
        <f t="shared" si="24"/>
        <v>0</v>
      </c>
      <c r="AJ60">
        <f t="shared" si="25"/>
        <v>0</v>
      </c>
      <c r="AK60">
        <f t="shared" si="26"/>
        <v>191931.92891754763</v>
      </c>
      <c r="AL60">
        <f t="shared" si="27"/>
        <v>0</v>
      </c>
      <c r="AM60">
        <f t="shared" si="28"/>
        <v>0</v>
      </c>
      <c r="AN60">
        <f t="shared" si="29"/>
        <v>191931.92891754763</v>
      </c>
      <c r="AO60">
        <f t="shared" si="30"/>
        <v>0</v>
      </c>
      <c r="AP60">
        <f t="shared" si="31"/>
        <v>0</v>
      </c>
      <c r="AQ60">
        <f t="shared" si="32"/>
        <v>0</v>
      </c>
      <c r="AR60">
        <f t="shared" si="33"/>
        <v>2210744.2458563964</v>
      </c>
      <c r="AS60">
        <f t="shared" si="34"/>
        <v>0</v>
      </c>
      <c r="AT60">
        <f t="shared" si="35"/>
        <v>0</v>
      </c>
      <c r="AU60">
        <f t="shared" si="36"/>
        <v>0</v>
      </c>
    </row>
    <row r="61" spans="1:47" x14ac:dyDescent="0.2">
      <c r="A61">
        <v>60</v>
      </c>
      <c r="B61">
        <f>PoolStates_V2!B61</f>
        <v>0</v>
      </c>
      <c r="C61">
        <f>PoolStates_V2!S61</f>
        <v>9380.0230812857208</v>
      </c>
      <c r="D61">
        <f>PoolStates_V2!T61</f>
        <v>176617.76814387043</v>
      </c>
      <c r="E61">
        <f>PoolStates_V2!Q61</f>
        <v>84.970212666434065</v>
      </c>
      <c r="F61">
        <f t="shared" si="37"/>
        <v>0</v>
      </c>
      <c r="G61">
        <f t="shared" si="38"/>
        <v>0</v>
      </c>
      <c r="H61">
        <f t="shared" si="39"/>
        <v>2210744.2458563964</v>
      </c>
      <c r="I61">
        <f t="shared" si="0"/>
        <v>84.970212666434065</v>
      </c>
      <c r="J61">
        <f t="shared" si="1"/>
        <v>0</v>
      </c>
      <c r="K61">
        <f t="shared" si="2"/>
        <v>0</v>
      </c>
      <c r="L61">
        <f t="shared" si="3"/>
        <v>0</v>
      </c>
      <c r="M61">
        <f t="shared" si="4"/>
        <v>0</v>
      </c>
      <c r="N61">
        <f t="shared" si="5"/>
        <v>0</v>
      </c>
      <c r="O61">
        <f t="shared" si="6"/>
        <v>2210659.2756437301</v>
      </c>
      <c r="P61">
        <f>M61*Inputs!B6/12</f>
        <v>0</v>
      </c>
      <c r="Q61">
        <f t="shared" si="7"/>
        <v>0</v>
      </c>
      <c r="R61">
        <f>N61*Inputs!B6/12</f>
        <v>0</v>
      </c>
      <c r="S61">
        <f t="shared" si="8"/>
        <v>0</v>
      </c>
      <c r="T61">
        <f t="shared" si="9"/>
        <v>9380.0230812857208</v>
      </c>
      <c r="U61">
        <f t="shared" si="10"/>
        <v>0</v>
      </c>
      <c r="V61">
        <f t="shared" si="11"/>
        <v>9380.0230812857208</v>
      </c>
      <c r="W61">
        <f t="shared" si="12"/>
        <v>176617.76814387043</v>
      </c>
      <c r="X61">
        <f t="shared" si="13"/>
        <v>0</v>
      </c>
      <c r="Y61">
        <f t="shared" si="14"/>
        <v>0</v>
      </c>
      <c r="Z61">
        <f t="shared" si="15"/>
        <v>0</v>
      </c>
      <c r="AA61">
        <f t="shared" si="16"/>
        <v>0</v>
      </c>
      <c r="AB61">
        <f t="shared" si="17"/>
        <v>0</v>
      </c>
      <c r="AC61">
        <f t="shared" si="18"/>
        <v>176617.76814387043</v>
      </c>
      <c r="AD61">
        <f t="shared" si="19"/>
        <v>0</v>
      </c>
      <c r="AE61">
        <f t="shared" si="20"/>
        <v>176617.76814387043</v>
      </c>
      <c r="AF61">
        <f t="shared" si="21"/>
        <v>0</v>
      </c>
      <c r="AG61">
        <f t="shared" si="22"/>
        <v>176617.76814387043</v>
      </c>
      <c r="AH61">
        <f t="shared" si="23"/>
        <v>176617.76814387043</v>
      </c>
      <c r="AI61">
        <f t="shared" si="24"/>
        <v>0</v>
      </c>
      <c r="AJ61">
        <f t="shared" si="25"/>
        <v>0</v>
      </c>
      <c r="AK61">
        <f t="shared" si="26"/>
        <v>176617.76814387043</v>
      </c>
      <c r="AL61">
        <f t="shared" si="27"/>
        <v>0</v>
      </c>
      <c r="AM61">
        <f t="shared" si="28"/>
        <v>0</v>
      </c>
      <c r="AN61">
        <f t="shared" si="29"/>
        <v>176617.76814387043</v>
      </c>
      <c r="AO61">
        <f t="shared" si="30"/>
        <v>0</v>
      </c>
      <c r="AP61">
        <f t="shared" si="31"/>
        <v>0</v>
      </c>
      <c r="AQ61">
        <f t="shared" si="32"/>
        <v>0</v>
      </c>
      <c r="AR61">
        <f t="shared" si="33"/>
        <v>2034041.5074998597</v>
      </c>
      <c r="AS61">
        <f t="shared" si="34"/>
        <v>0</v>
      </c>
      <c r="AT61">
        <f t="shared" si="35"/>
        <v>0</v>
      </c>
      <c r="AU61">
        <f t="shared" si="36"/>
        <v>0</v>
      </c>
    </row>
    <row r="62" spans="1:47" x14ac:dyDescent="0.2">
      <c r="A62">
        <v>61</v>
      </c>
      <c r="B62">
        <f>PoolStates_V2!B62</f>
        <v>0</v>
      </c>
      <c r="C62">
        <f>PoolStates_V2!S62</f>
        <v>8629.9647940798859</v>
      </c>
      <c r="D62">
        <f>PoolStates_V2!T62</f>
        <v>162524.03552631542</v>
      </c>
      <c r="E62">
        <f>PoolStates_V2!Q62</f>
        <v>78.308525322306011</v>
      </c>
      <c r="F62">
        <f t="shared" si="37"/>
        <v>0</v>
      </c>
      <c r="G62">
        <f t="shared" si="38"/>
        <v>0</v>
      </c>
      <c r="H62">
        <f t="shared" si="39"/>
        <v>2034041.5074998597</v>
      </c>
      <c r="I62">
        <f t="shared" si="0"/>
        <v>78.308525322306011</v>
      </c>
      <c r="J62">
        <f t="shared" si="1"/>
        <v>0</v>
      </c>
      <c r="K62">
        <f t="shared" si="2"/>
        <v>0</v>
      </c>
      <c r="L62">
        <f t="shared" si="3"/>
        <v>0</v>
      </c>
      <c r="M62">
        <f t="shared" si="4"/>
        <v>0</v>
      </c>
      <c r="N62">
        <f t="shared" si="5"/>
        <v>0</v>
      </c>
      <c r="O62">
        <f t="shared" si="6"/>
        <v>2033963.1989745374</v>
      </c>
      <c r="P62">
        <f>M62*Inputs!B6/12</f>
        <v>0</v>
      </c>
      <c r="Q62">
        <f t="shared" si="7"/>
        <v>0</v>
      </c>
      <c r="R62">
        <f>N62*Inputs!B6/12</f>
        <v>0</v>
      </c>
      <c r="S62">
        <f t="shared" si="8"/>
        <v>0</v>
      </c>
      <c r="T62">
        <f t="shared" si="9"/>
        <v>8629.9647940798859</v>
      </c>
      <c r="U62">
        <f t="shared" si="10"/>
        <v>0</v>
      </c>
      <c r="V62">
        <f t="shared" si="11"/>
        <v>8629.9647940798859</v>
      </c>
      <c r="W62">
        <f t="shared" si="12"/>
        <v>162524.03552631542</v>
      </c>
      <c r="X62">
        <f t="shared" si="13"/>
        <v>0</v>
      </c>
      <c r="Y62">
        <f t="shared" si="14"/>
        <v>0</v>
      </c>
      <c r="Z62">
        <f t="shared" si="15"/>
        <v>0</v>
      </c>
      <c r="AA62">
        <f t="shared" si="16"/>
        <v>0</v>
      </c>
      <c r="AB62">
        <f t="shared" si="17"/>
        <v>0</v>
      </c>
      <c r="AC62">
        <f t="shared" si="18"/>
        <v>162524.03552631542</v>
      </c>
      <c r="AD62">
        <f t="shared" si="19"/>
        <v>0</v>
      </c>
      <c r="AE62">
        <f t="shared" si="20"/>
        <v>162524.03552631542</v>
      </c>
      <c r="AF62">
        <f t="shared" si="21"/>
        <v>0</v>
      </c>
      <c r="AG62">
        <f t="shared" si="22"/>
        <v>162524.03552631542</v>
      </c>
      <c r="AH62">
        <f t="shared" si="23"/>
        <v>162524.03552631542</v>
      </c>
      <c r="AI62">
        <f t="shared" si="24"/>
        <v>0</v>
      </c>
      <c r="AJ62">
        <f t="shared" si="25"/>
        <v>0</v>
      </c>
      <c r="AK62">
        <f t="shared" si="26"/>
        <v>162524.03552631542</v>
      </c>
      <c r="AL62">
        <f t="shared" si="27"/>
        <v>0</v>
      </c>
      <c r="AM62">
        <f t="shared" si="28"/>
        <v>0</v>
      </c>
      <c r="AN62">
        <f t="shared" si="29"/>
        <v>162524.03552631542</v>
      </c>
      <c r="AO62">
        <f t="shared" si="30"/>
        <v>0</v>
      </c>
      <c r="AP62">
        <f t="shared" si="31"/>
        <v>0</v>
      </c>
      <c r="AQ62">
        <f t="shared" si="32"/>
        <v>0</v>
      </c>
      <c r="AR62">
        <f t="shared" si="33"/>
        <v>1871439.163448222</v>
      </c>
      <c r="AS62">
        <f t="shared" si="34"/>
        <v>0</v>
      </c>
      <c r="AT62">
        <f t="shared" si="35"/>
        <v>0</v>
      </c>
      <c r="AU62">
        <f t="shared" si="36"/>
        <v>0</v>
      </c>
    </row>
    <row r="63" spans="1:47" x14ac:dyDescent="0.2">
      <c r="A63">
        <v>62</v>
      </c>
      <c r="B63">
        <f>PoolStates_V2!B63</f>
        <v>0</v>
      </c>
      <c r="C63">
        <f>PoolStates_V2!S63</f>
        <v>7939.7981876909043</v>
      </c>
      <c r="D63">
        <f>PoolStates_V2!T63</f>
        <v>149553.54059439819</v>
      </c>
      <c r="E63">
        <f>PoolStates_V2!Q63</f>
        <v>72.162612384282994</v>
      </c>
      <c r="F63">
        <f t="shared" si="37"/>
        <v>0</v>
      </c>
      <c r="G63">
        <f t="shared" si="38"/>
        <v>0</v>
      </c>
      <c r="H63">
        <f t="shared" si="39"/>
        <v>1871439.163448222</v>
      </c>
      <c r="I63">
        <f t="shared" si="0"/>
        <v>72.162612384282994</v>
      </c>
      <c r="J63">
        <f t="shared" si="1"/>
        <v>0</v>
      </c>
      <c r="K63">
        <f t="shared" si="2"/>
        <v>0</v>
      </c>
      <c r="L63">
        <f t="shared" si="3"/>
        <v>0</v>
      </c>
      <c r="M63">
        <f t="shared" si="4"/>
        <v>0</v>
      </c>
      <c r="N63">
        <f t="shared" si="5"/>
        <v>0</v>
      </c>
      <c r="O63">
        <f t="shared" si="6"/>
        <v>1871367.0008358378</v>
      </c>
      <c r="P63">
        <f>M63*Inputs!B6/12</f>
        <v>0</v>
      </c>
      <c r="Q63">
        <f t="shared" si="7"/>
        <v>0</v>
      </c>
      <c r="R63">
        <f>N63*Inputs!B6/12</f>
        <v>0</v>
      </c>
      <c r="S63">
        <f t="shared" si="8"/>
        <v>0</v>
      </c>
      <c r="T63">
        <f t="shared" si="9"/>
        <v>7939.7981876909043</v>
      </c>
      <c r="U63">
        <f t="shared" si="10"/>
        <v>0</v>
      </c>
      <c r="V63">
        <f t="shared" si="11"/>
        <v>7939.7981876909043</v>
      </c>
      <c r="W63">
        <f t="shared" si="12"/>
        <v>149553.54059439819</v>
      </c>
      <c r="X63">
        <f t="shared" si="13"/>
        <v>0</v>
      </c>
      <c r="Y63">
        <f t="shared" si="14"/>
        <v>0</v>
      </c>
      <c r="Z63">
        <f t="shared" si="15"/>
        <v>0</v>
      </c>
      <c r="AA63">
        <f t="shared" si="16"/>
        <v>0</v>
      </c>
      <c r="AB63">
        <f t="shared" si="17"/>
        <v>0</v>
      </c>
      <c r="AC63">
        <f t="shared" si="18"/>
        <v>149553.54059439819</v>
      </c>
      <c r="AD63">
        <f t="shared" si="19"/>
        <v>0</v>
      </c>
      <c r="AE63">
        <f t="shared" si="20"/>
        <v>149553.54059439819</v>
      </c>
      <c r="AF63">
        <f t="shared" si="21"/>
        <v>0</v>
      </c>
      <c r="AG63">
        <f t="shared" si="22"/>
        <v>149553.54059439819</v>
      </c>
      <c r="AH63">
        <f t="shared" si="23"/>
        <v>149553.54059439819</v>
      </c>
      <c r="AI63">
        <f t="shared" si="24"/>
        <v>0</v>
      </c>
      <c r="AJ63">
        <f t="shared" si="25"/>
        <v>0</v>
      </c>
      <c r="AK63">
        <f t="shared" si="26"/>
        <v>149553.54059439819</v>
      </c>
      <c r="AL63">
        <f t="shared" si="27"/>
        <v>0</v>
      </c>
      <c r="AM63">
        <f t="shared" si="28"/>
        <v>0</v>
      </c>
      <c r="AN63">
        <f t="shared" si="29"/>
        <v>149553.54059439819</v>
      </c>
      <c r="AO63">
        <f t="shared" si="30"/>
        <v>0</v>
      </c>
      <c r="AP63">
        <f t="shared" si="31"/>
        <v>0</v>
      </c>
      <c r="AQ63">
        <f t="shared" si="32"/>
        <v>0</v>
      </c>
      <c r="AR63">
        <f t="shared" si="33"/>
        <v>1721813.4602414395</v>
      </c>
      <c r="AS63">
        <f t="shared" si="34"/>
        <v>0</v>
      </c>
      <c r="AT63">
        <f t="shared" si="35"/>
        <v>0</v>
      </c>
      <c r="AU63">
        <f t="shared" si="36"/>
        <v>0</v>
      </c>
    </row>
    <row r="64" spans="1:47" x14ac:dyDescent="0.2">
      <c r="A64">
        <v>63</v>
      </c>
      <c r="B64">
        <f>PoolStates_V2!B64</f>
        <v>0</v>
      </c>
      <c r="C64">
        <f>PoolStates_V2!S64</f>
        <v>7304.7452023818751</v>
      </c>
      <c r="D64">
        <f>PoolStates_V2!T64</f>
        <v>137616.83270028824</v>
      </c>
      <c r="E64">
        <f>PoolStates_V2!Q64</f>
        <v>66.49335129272248</v>
      </c>
      <c r="F64">
        <f t="shared" si="37"/>
        <v>0</v>
      </c>
      <c r="G64">
        <f t="shared" si="38"/>
        <v>0</v>
      </c>
      <c r="H64">
        <f t="shared" si="39"/>
        <v>1721813.4602414395</v>
      </c>
      <c r="I64">
        <f t="shared" si="0"/>
        <v>66.49335129272248</v>
      </c>
      <c r="J64">
        <f t="shared" si="1"/>
        <v>0</v>
      </c>
      <c r="K64">
        <f t="shared" si="2"/>
        <v>0</v>
      </c>
      <c r="L64">
        <f t="shared" si="3"/>
        <v>0</v>
      </c>
      <c r="M64">
        <f t="shared" si="4"/>
        <v>0</v>
      </c>
      <c r="N64">
        <f t="shared" si="5"/>
        <v>0</v>
      </c>
      <c r="O64">
        <f t="shared" si="6"/>
        <v>1721746.9668901467</v>
      </c>
      <c r="P64">
        <f>M64*Inputs!B6/12</f>
        <v>0</v>
      </c>
      <c r="Q64">
        <f t="shared" si="7"/>
        <v>0</v>
      </c>
      <c r="R64">
        <f>N64*Inputs!B6/12</f>
        <v>0</v>
      </c>
      <c r="S64">
        <f t="shared" si="8"/>
        <v>0</v>
      </c>
      <c r="T64">
        <f t="shared" si="9"/>
        <v>7304.7452023818751</v>
      </c>
      <c r="U64">
        <f t="shared" si="10"/>
        <v>0</v>
      </c>
      <c r="V64">
        <f t="shared" si="11"/>
        <v>7304.7452023818751</v>
      </c>
      <c r="W64">
        <f t="shared" si="12"/>
        <v>137616.83270028824</v>
      </c>
      <c r="X64">
        <f t="shared" si="13"/>
        <v>0</v>
      </c>
      <c r="Y64">
        <f t="shared" si="14"/>
        <v>0</v>
      </c>
      <c r="Z64">
        <f t="shared" si="15"/>
        <v>0</v>
      </c>
      <c r="AA64">
        <f t="shared" si="16"/>
        <v>0</v>
      </c>
      <c r="AB64">
        <f t="shared" si="17"/>
        <v>0</v>
      </c>
      <c r="AC64">
        <f t="shared" si="18"/>
        <v>137616.83270028824</v>
      </c>
      <c r="AD64">
        <f t="shared" si="19"/>
        <v>0</v>
      </c>
      <c r="AE64">
        <f t="shared" si="20"/>
        <v>137616.83270028824</v>
      </c>
      <c r="AF64">
        <f t="shared" si="21"/>
        <v>0</v>
      </c>
      <c r="AG64">
        <f t="shared" si="22"/>
        <v>137616.83270028824</v>
      </c>
      <c r="AH64">
        <f t="shared" si="23"/>
        <v>137616.83270028824</v>
      </c>
      <c r="AI64">
        <f t="shared" si="24"/>
        <v>0</v>
      </c>
      <c r="AJ64">
        <f t="shared" si="25"/>
        <v>0</v>
      </c>
      <c r="AK64">
        <f t="shared" si="26"/>
        <v>137616.83270028824</v>
      </c>
      <c r="AL64">
        <f t="shared" si="27"/>
        <v>0</v>
      </c>
      <c r="AM64">
        <f t="shared" si="28"/>
        <v>0</v>
      </c>
      <c r="AN64">
        <f t="shared" si="29"/>
        <v>137616.83270028824</v>
      </c>
      <c r="AO64">
        <f t="shared" si="30"/>
        <v>0</v>
      </c>
      <c r="AP64">
        <f t="shared" si="31"/>
        <v>0</v>
      </c>
      <c r="AQ64">
        <f t="shared" si="32"/>
        <v>0</v>
      </c>
      <c r="AR64">
        <f t="shared" si="33"/>
        <v>1584130.1341898586</v>
      </c>
      <c r="AS64">
        <f t="shared" si="34"/>
        <v>0</v>
      </c>
      <c r="AT64">
        <f t="shared" si="35"/>
        <v>0</v>
      </c>
      <c r="AU64">
        <f t="shared" si="36"/>
        <v>0</v>
      </c>
    </row>
    <row r="65" spans="1:47" x14ac:dyDescent="0.2">
      <c r="A65">
        <v>64</v>
      </c>
      <c r="B65">
        <f>PoolStates_V2!B65</f>
        <v>0</v>
      </c>
      <c r="C65">
        <f>PoolStates_V2!S65</f>
        <v>6720.4089023005808</v>
      </c>
      <c r="D65">
        <f>PoolStates_V2!T65</f>
        <v>126631.58402463373</v>
      </c>
      <c r="E65">
        <f>PoolStates_V2!Q65</f>
        <v>61.26448192317681</v>
      </c>
      <c r="F65">
        <f t="shared" si="37"/>
        <v>0</v>
      </c>
      <c r="G65">
        <f t="shared" si="38"/>
        <v>0</v>
      </c>
      <c r="H65">
        <f t="shared" si="39"/>
        <v>1584130.1341898586</v>
      </c>
      <c r="I65">
        <f t="shared" si="0"/>
        <v>61.26448192317681</v>
      </c>
      <c r="J65">
        <f t="shared" si="1"/>
        <v>0</v>
      </c>
      <c r="K65">
        <f t="shared" si="2"/>
        <v>0</v>
      </c>
      <c r="L65">
        <f t="shared" si="3"/>
        <v>0</v>
      </c>
      <c r="M65">
        <f t="shared" si="4"/>
        <v>0</v>
      </c>
      <c r="N65">
        <f t="shared" si="5"/>
        <v>0</v>
      </c>
      <c r="O65">
        <f t="shared" si="6"/>
        <v>1584068.8697079355</v>
      </c>
      <c r="P65">
        <f>M65*Inputs!B6/12</f>
        <v>0</v>
      </c>
      <c r="Q65">
        <f t="shared" si="7"/>
        <v>0</v>
      </c>
      <c r="R65">
        <f>N65*Inputs!B6/12</f>
        <v>0</v>
      </c>
      <c r="S65">
        <f t="shared" si="8"/>
        <v>0</v>
      </c>
      <c r="T65">
        <f t="shared" si="9"/>
        <v>6720.4089023005808</v>
      </c>
      <c r="U65">
        <f t="shared" si="10"/>
        <v>0</v>
      </c>
      <c r="V65">
        <f t="shared" si="11"/>
        <v>6720.4089023005808</v>
      </c>
      <c r="W65">
        <f t="shared" si="12"/>
        <v>126631.58402463373</v>
      </c>
      <c r="X65">
        <f t="shared" si="13"/>
        <v>0</v>
      </c>
      <c r="Y65">
        <f t="shared" si="14"/>
        <v>0</v>
      </c>
      <c r="Z65">
        <f t="shared" si="15"/>
        <v>0</v>
      </c>
      <c r="AA65">
        <f t="shared" si="16"/>
        <v>0</v>
      </c>
      <c r="AB65">
        <f t="shared" si="17"/>
        <v>0</v>
      </c>
      <c r="AC65">
        <f t="shared" si="18"/>
        <v>126631.58402463373</v>
      </c>
      <c r="AD65">
        <f t="shared" si="19"/>
        <v>0</v>
      </c>
      <c r="AE65">
        <f t="shared" si="20"/>
        <v>126631.58402463373</v>
      </c>
      <c r="AF65">
        <f t="shared" si="21"/>
        <v>0</v>
      </c>
      <c r="AG65">
        <f t="shared" si="22"/>
        <v>126631.58402463373</v>
      </c>
      <c r="AH65">
        <f t="shared" si="23"/>
        <v>126631.58402463373</v>
      </c>
      <c r="AI65">
        <f t="shared" si="24"/>
        <v>0</v>
      </c>
      <c r="AJ65">
        <f t="shared" si="25"/>
        <v>0</v>
      </c>
      <c r="AK65">
        <f t="shared" si="26"/>
        <v>126631.58402463373</v>
      </c>
      <c r="AL65">
        <f t="shared" si="27"/>
        <v>0</v>
      </c>
      <c r="AM65">
        <f t="shared" si="28"/>
        <v>0</v>
      </c>
      <c r="AN65">
        <f t="shared" si="29"/>
        <v>126631.58402463373</v>
      </c>
      <c r="AO65">
        <f t="shared" si="30"/>
        <v>0</v>
      </c>
      <c r="AP65">
        <f t="shared" si="31"/>
        <v>0</v>
      </c>
      <c r="AQ65">
        <f t="shared" si="32"/>
        <v>0</v>
      </c>
      <c r="AR65">
        <f t="shared" si="33"/>
        <v>1457437.2856833017</v>
      </c>
      <c r="AS65">
        <f t="shared" si="34"/>
        <v>0</v>
      </c>
      <c r="AT65">
        <f t="shared" si="35"/>
        <v>0</v>
      </c>
      <c r="AU65">
        <f t="shared" si="36"/>
        <v>0</v>
      </c>
    </row>
    <row r="66" spans="1:47" x14ac:dyDescent="0.2">
      <c r="A66">
        <v>65</v>
      </c>
      <c r="B66">
        <f>PoolStates_V2!B66</f>
        <v>0</v>
      </c>
      <c r="C66">
        <f>PoolStates_V2!S66</f>
        <v>6182.7430477698545</v>
      </c>
      <c r="D66">
        <f>PoolStates_V2!T66</f>
        <v>116522.02189482076</v>
      </c>
      <c r="E66">
        <f>PoolStates_V2!Q66</f>
        <v>56.442411268213419</v>
      </c>
      <c r="F66">
        <f t="shared" si="37"/>
        <v>0</v>
      </c>
      <c r="G66">
        <f t="shared" si="38"/>
        <v>0</v>
      </c>
      <c r="H66">
        <f t="shared" si="39"/>
        <v>1457437.2856833017</v>
      </c>
      <c r="I66">
        <f t="shared" ref="I66:I129" si="40">MIN(E66,H66)</f>
        <v>56.442411268213419</v>
      </c>
      <c r="J66">
        <f t="shared" ref="J66:J129" si="41">MIN(MAX(E66-I66,0),G66)</f>
        <v>0</v>
      </c>
      <c r="K66">
        <f t="shared" ref="K66:K129" si="42">MIN(MAX(E66-I66-J66,0),F66)</f>
        <v>0</v>
      </c>
      <c r="L66">
        <f t="shared" ref="L66:L129" si="43">MAX(E66-I66-J66-K66,0)</f>
        <v>0</v>
      </c>
      <c r="M66">
        <f t="shared" ref="M66:M129" si="44">MAX(F66-K66,0)</f>
        <v>0</v>
      </c>
      <c r="N66">
        <f t="shared" ref="N66:N129" si="45">MAX(G66-J66,0)</f>
        <v>0</v>
      </c>
      <c r="O66">
        <f t="shared" ref="O66:O129" si="46">MAX(H66-I66,0)</f>
        <v>1457380.8432720336</v>
      </c>
      <c r="P66">
        <f>M66*Inputs!B6/12</f>
        <v>0</v>
      </c>
      <c r="Q66">
        <f t="shared" ref="Q66:Q129" si="47">MIN(C66,P66)</f>
        <v>0</v>
      </c>
      <c r="R66">
        <f>N66*Inputs!B6/12</f>
        <v>0</v>
      </c>
      <c r="S66">
        <f t="shared" ref="S66:S129" si="48">MIN(MAX(C66-Q66,0),R66)</f>
        <v>0</v>
      </c>
      <c r="T66">
        <f t="shared" ref="T66:T129" si="49">MAX(C66-Q66-S66,0)</f>
        <v>6182.7430477698545</v>
      </c>
      <c r="U66">
        <f t="shared" ref="U66:U129" si="50">IF(B66=1,T66,0)</f>
        <v>0</v>
      </c>
      <c r="V66">
        <f t="shared" ref="V66:V129" si="51">T66-U66</f>
        <v>6182.7430477698545</v>
      </c>
      <c r="W66">
        <f t="shared" ref="W66:W129" si="52">D66+U66</f>
        <v>116522.02189482076</v>
      </c>
      <c r="X66">
        <f t="shared" ref="X66:X129" si="53">M66+N66</f>
        <v>0</v>
      </c>
      <c r="Y66">
        <f t="shared" ref="Y66:Y129" si="54">IF(X66&gt;0,W66*(M66/X66),0)</f>
        <v>0</v>
      </c>
      <c r="Z66">
        <f t="shared" ref="Z66:Z129" si="55">IF(X66&gt;0,W66-Y66,0)</f>
        <v>0</v>
      </c>
      <c r="AA66">
        <f t="shared" ref="AA66:AA129" si="56">MIN(Y66,M66)</f>
        <v>0</v>
      </c>
      <c r="AB66">
        <f t="shared" ref="AB66:AB129" si="57">MIN(Z66,N66)</f>
        <v>0</v>
      </c>
      <c r="AC66">
        <f t="shared" ref="AC66:AC129" si="58">MAX(W66-AA66-AB66,0)</f>
        <v>116522.02189482076</v>
      </c>
      <c r="AD66">
        <f t="shared" ref="AD66:AD129" si="59">MIN(AC66,MAX(M66-AA66,0))</f>
        <v>0</v>
      </c>
      <c r="AE66">
        <f t="shared" ref="AE66:AE129" si="60">MAX(AC66-AD66,0)</f>
        <v>116522.02189482076</v>
      </c>
      <c r="AF66">
        <f t="shared" ref="AF66:AF129" si="61">MIN(AE66,MAX(N66-AB66,0))</f>
        <v>0</v>
      </c>
      <c r="AG66">
        <f t="shared" ref="AG66:AG129" si="62">MAX(AE66-AF66,0)</f>
        <v>116522.02189482076</v>
      </c>
      <c r="AH66">
        <f t="shared" ref="AH66:AH129" si="63">MIN(AG66,O66)</f>
        <v>116522.02189482076</v>
      </c>
      <c r="AI66">
        <f t="shared" ref="AI66:AI129" si="64">MIN(W66,M66)</f>
        <v>0</v>
      </c>
      <c r="AJ66">
        <f t="shared" ref="AJ66:AJ129" si="65">MIN(MAX(W66-AI66,0),N66)</f>
        <v>0</v>
      </c>
      <c r="AK66">
        <f t="shared" ref="AK66:AK129" si="66">MIN(MAX(W66-AI66-AJ66,0),O66)</f>
        <v>116522.02189482076</v>
      </c>
      <c r="AL66">
        <f t="shared" ref="AL66:AL129" si="67">IF(B66=1,AI66,AA66+AD66)</f>
        <v>0</v>
      </c>
      <c r="AM66">
        <f t="shared" ref="AM66:AM129" si="68">IF(B66=1,AJ66,AB66+AF66)</f>
        <v>0</v>
      </c>
      <c r="AN66">
        <f t="shared" ref="AN66:AN129" si="69">IF(B66=1,AK66,AH66)</f>
        <v>116522.02189482076</v>
      </c>
      <c r="AO66">
        <f t="shared" ref="AO66:AO129" si="70">MAX(W66-AL66-AM66-AN66,0)</f>
        <v>0</v>
      </c>
      <c r="AP66">
        <f t="shared" ref="AP66:AP129" si="71">MAX(M66-AL66,0)</f>
        <v>0</v>
      </c>
      <c r="AQ66">
        <f t="shared" ref="AQ66:AQ129" si="72">MAX(N66-AM66,0)</f>
        <v>0</v>
      </c>
      <c r="AR66">
        <f t="shared" ref="AR66:AR129" si="73">MAX(O66-AN66,0)</f>
        <v>1340858.8213772129</v>
      </c>
      <c r="AS66">
        <f t="shared" ref="AS66:AS129" si="74">W66-(AL66+AM66+AN66+AO66)</f>
        <v>0</v>
      </c>
      <c r="AT66">
        <f t="shared" ref="AT66:AT129" si="75">C66-(Q66+S66+V66+U66)</f>
        <v>0</v>
      </c>
      <c r="AU66">
        <f t="shared" ref="AU66:AU129" si="76">E66-(I66+J66+K66+L66)</f>
        <v>0</v>
      </c>
    </row>
    <row r="67" spans="1:47" x14ac:dyDescent="0.2">
      <c r="A67">
        <v>66</v>
      </c>
      <c r="B67">
        <f>PoolStates_V2!B67</f>
        <v>0</v>
      </c>
      <c r="C67">
        <f>PoolStates_V2!S67</f>
        <v>5688.0241028986438</v>
      </c>
      <c r="D67">
        <f>PoolStates_V2!T67</f>
        <v>107218.40645457998</v>
      </c>
      <c r="E67">
        <f>PoolStates_V2!Q67</f>
        <v>51.996029465989942</v>
      </c>
      <c r="F67">
        <f t="shared" ref="F67:F130" si="77">AP66</f>
        <v>0</v>
      </c>
      <c r="G67">
        <f t="shared" ref="G67:G130" si="78">AQ66</f>
        <v>0</v>
      </c>
      <c r="H67">
        <f t="shared" ref="H67:H130" si="79">AR66</f>
        <v>1340858.8213772129</v>
      </c>
      <c r="I67">
        <f t="shared" si="40"/>
        <v>51.996029465989942</v>
      </c>
      <c r="J67">
        <f t="shared" si="41"/>
        <v>0</v>
      </c>
      <c r="K67">
        <f t="shared" si="42"/>
        <v>0</v>
      </c>
      <c r="L67">
        <f t="shared" si="43"/>
        <v>0</v>
      </c>
      <c r="M67">
        <f t="shared" si="44"/>
        <v>0</v>
      </c>
      <c r="N67">
        <f t="shared" si="45"/>
        <v>0</v>
      </c>
      <c r="O67">
        <f t="shared" si="46"/>
        <v>1340806.825347747</v>
      </c>
      <c r="P67">
        <f>M67*Inputs!B6/12</f>
        <v>0</v>
      </c>
      <c r="Q67">
        <f t="shared" si="47"/>
        <v>0</v>
      </c>
      <c r="R67">
        <f>N67*Inputs!B6/12</f>
        <v>0</v>
      </c>
      <c r="S67">
        <f t="shared" si="48"/>
        <v>0</v>
      </c>
      <c r="T67">
        <f t="shared" si="49"/>
        <v>5688.0241028986438</v>
      </c>
      <c r="U67">
        <f t="shared" si="50"/>
        <v>0</v>
      </c>
      <c r="V67">
        <f t="shared" si="51"/>
        <v>5688.0241028986438</v>
      </c>
      <c r="W67">
        <f t="shared" si="52"/>
        <v>107218.40645457998</v>
      </c>
      <c r="X67">
        <f t="shared" si="53"/>
        <v>0</v>
      </c>
      <c r="Y67">
        <f t="shared" si="54"/>
        <v>0</v>
      </c>
      <c r="Z67">
        <f t="shared" si="55"/>
        <v>0</v>
      </c>
      <c r="AA67">
        <f t="shared" si="56"/>
        <v>0</v>
      </c>
      <c r="AB67">
        <f t="shared" si="57"/>
        <v>0</v>
      </c>
      <c r="AC67">
        <f t="shared" si="58"/>
        <v>107218.40645457998</v>
      </c>
      <c r="AD67">
        <f t="shared" si="59"/>
        <v>0</v>
      </c>
      <c r="AE67">
        <f t="shared" si="60"/>
        <v>107218.40645457998</v>
      </c>
      <c r="AF67">
        <f t="shared" si="61"/>
        <v>0</v>
      </c>
      <c r="AG67">
        <f t="shared" si="62"/>
        <v>107218.40645457998</v>
      </c>
      <c r="AH67">
        <f t="shared" si="63"/>
        <v>107218.40645457998</v>
      </c>
      <c r="AI67">
        <f t="shared" si="64"/>
        <v>0</v>
      </c>
      <c r="AJ67">
        <f t="shared" si="65"/>
        <v>0</v>
      </c>
      <c r="AK67">
        <f t="shared" si="66"/>
        <v>107218.40645457998</v>
      </c>
      <c r="AL67">
        <f t="shared" si="67"/>
        <v>0</v>
      </c>
      <c r="AM67">
        <f t="shared" si="68"/>
        <v>0</v>
      </c>
      <c r="AN67">
        <f t="shared" si="69"/>
        <v>107218.40645457998</v>
      </c>
      <c r="AO67">
        <f t="shared" si="70"/>
        <v>0</v>
      </c>
      <c r="AP67">
        <f t="shared" si="71"/>
        <v>0</v>
      </c>
      <c r="AQ67">
        <f t="shared" si="72"/>
        <v>0</v>
      </c>
      <c r="AR67">
        <f t="shared" si="73"/>
        <v>1233588.4188931671</v>
      </c>
      <c r="AS67">
        <f t="shared" si="74"/>
        <v>0</v>
      </c>
      <c r="AT67">
        <f t="shared" si="75"/>
        <v>0</v>
      </c>
      <c r="AU67">
        <f t="shared" si="76"/>
        <v>0</v>
      </c>
    </row>
    <row r="68" spans="1:47" x14ac:dyDescent="0.2">
      <c r="A68">
        <v>67</v>
      </c>
      <c r="B68">
        <f>PoolStates_V2!B68</f>
        <v>0</v>
      </c>
      <c r="C68">
        <f>PoolStates_V2!S68</f>
        <v>5232.825482629979</v>
      </c>
      <c r="D68">
        <f>PoolStates_V2!T68</f>
        <v>98656.55004483783</v>
      </c>
      <c r="E68">
        <f>PoolStates_V2!Q68</f>
        <v>47.896536815613317</v>
      </c>
      <c r="F68">
        <f t="shared" si="77"/>
        <v>0</v>
      </c>
      <c r="G68">
        <f t="shared" si="78"/>
        <v>0</v>
      </c>
      <c r="H68">
        <f t="shared" si="79"/>
        <v>1233588.4188931671</v>
      </c>
      <c r="I68">
        <f t="shared" si="40"/>
        <v>47.896536815613317</v>
      </c>
      <c r="J68">
        <f t="shared" si="41"/>
        <v>0</v>
      </c>
      <c r="K68">
        <f t="shared" si="42"/>
        <v>0</v>
      </c>
      <c r="L68">
        <f t="shared" si="43"/>
        <v>0</v>
      </c>
      <c r="M68">
        <f t="shared" si="44"/>
        <v>0</v>
      </c>
      <c r="N68">
        <f t="shared" si="45"/>
        <v>0</v>
      </c>
      <c r="O68">
        <f t="shared" si="46"/>
        <v>1233540.5223563514</v>
      </c>
      <c r="P68">
        <f>M68*Inputs!B6/12</f>
        <v>0</v>
      </c>
      <c r="Q68">
        <f t="shared" si="47"/>
        <v>0</v>
      </c>
      <c r="R68">
        <f>N68*Inputs!B6/12</f>
        <v>0</v>
      </c>
      <c r="S68">
        <f t="shared" si="48"/>
        <v>0</v>
      </c>
      <c r="T68">
        <f t="shared" si="49"/>
        <v>5232.825482629979</v>
      </c>
      <c r="U68">
        <f t="shared" si="50"/>
        <v>0</v>
      </c>
      <c r="V68">
        <f t="shared" si="51"/>
        <v>5232.825482629979</v>
      </c>
      <c r="W68">
        <f t="shared" si="52"/>
        <v>98656.55004483783</v>
      </c>
      <c r="X68">
        <f t="shared" si="53"/>
        <v>0</v>
      </c>
      <c r="Y68">
        <f t="shared" si="54"/>
        <v>0</v>
      </c>
      <c r="Z68">
        <f t="shared" si="55"/>
        <v>0</v>
      </c>
      <c r="AA68">
        <f t="shared" si="56"/>
        <v>0</v>
      </c>
      <c r="AB68">
        <f t="shared" si="57"/>
        <v>0</v>
      </c>
      <c r="AC68">
        <f t="shared" si="58"/>
        <v>98656.55004483783</v>
      </c>
      <c r="AD68">
        <f t="shared" si="59"/>
        <v>0</v>
      </c>
      <c r="AE68">
        <f t="shared" si="60"/>
        <v>98656.55004483783</v>
      </c>
      <c r="AF68">
        <f t="shared" si="61"/>
        <v>0</v>
      </c>
      <c r="AG68">
        <f t="shared" si="62"/>
        <v>98656.55004483783</v>
      </c>
      <c r="AH68">
        <f t="shared" si="63"/>
        <v>98656.55004483783</v>
      </c>
      <c r="AI68">
        <f t="shared" si="64"/>
        <v>0</v>
      </c>
      <c r="AJ68">
        <f t="shared" si="65"/>
        <v>0</v>
      </c>
      <c r="AK68">
        <f t="shared" si="66"/>
        <v>98656.55004483783</v>
      </c>
      <c r="AL68">
        <f t="shared" si="67"/>
        <v>0</v>
      </c>
      <c r="AM68">
        <f t="shared" si="68"/>
        <v>0</v>
      </c>
      <c r="AN68">
        <f t="shared" si="69"/>
        <v>98656.55004483783</v>
      </c>
      <c r="AO68">
        <f t="shared" si="70"/>
        <v>0</v>
      </c>
      <c r="AP68">
        <f t="shared" si="71"/>
        <v>0</v>
      </c>
      <c r="AQ68">
        <f t="shared" si="72"/>
        <v>0</v>
      </c>
      <c r="AR68">
        <f t="shared" si="73"/>
        <v>1134883.9723115135</v>
      </c>
      <c r="AS68">
        <f t="shared" si="74"/>
        <v>0</v>
      </c>
      <c r="AT68">
        <f t="shared" si="75"/>
        <v>0</v>
      </c>
      <c r="AU68">
        <f t="shared" si="76"/>
        <v>0</v>
      </c>
    </row>
    <row r="69" spans="1:47" x14ac:dyDescent="0.2">
      <c r="A69">
        <v>68</v>
      </c>
      <c r="B69">
        <f>PoolStates_V2!B69</f>
        <v>0</v>
      </c>
      <c r="C69">
        <f>PoolStates_V2!S69</f>
        <v>4813.9938592364233</v>
      </c>
      <c r="D69">
        <f>PoolStates_V2!T69</f>
        <v>90777.374950305602</v>
      </c>
      <c r="E69">
        <f>PoolStates_V2!Q69</f>
        <v>44.117281377563749</v>
      </c>
      <c r="F69">
        <f t="shared" si="77"/>
        <v>0</v>
      </c>
      <c r="G69">
        <f t="shared" si="78"/>
        <v>0</v>
      </c>
      <c r="H69">
        <f t="shared" si="79"/>
        <v>1134883.9723115135</v>
      </c>
      <c r="I69">
        <f t="shared" si="40"/>
        <v>44.117281377563749</v>
      </c>
      <c r="J69">
        <f t="shared" si="41"/>
        <v>0</v>
      </c>
      <c r="K69">
        <f t="shared" si="42"/>
        <v>0</v>
      </c>
      <c r="L69">
        <f t="shared" si="43"/>
        <v>0</v>
      </c>
      <c r="M69">
        <f t="shared" si="44"/>
        <v>0</v>
      </c>
      <c r="N69">
        <f t="shared" si="45"/>
        <v>0</v>
      </c>
      <c r="O69">
        <f t="shared" si="46"/>
        <v>1134839.855030136</v>
      </c>
      <c r="P69">
        <f>M69*Inputs!B6/12</f>
        <v>0</v>
      </c>
      <c r="Q69">
        <f t="shared" si="47"/>
        <v>0</v>
      </c>
      <c r="R69">
        <f>N69*Inputs!B6/12</f>
        <v>0</v>
      </c>
      <c r="S69">
        <f t="shared" si="48"/>
        <v>0</v>
      </c>
      <c r="T69">
        <f t="shared" si="49"/>
        <v>4813.9938592364233</v>
      </c>
      <c r="U69">
        <f t="shared" si="50"/>
        <v>0</v>
      </c>
      <c r="V69">
        <f t="shared" si="51"/>
        <v>4813.9938592364233</v>
      </c>
      <c r="W69">
        <f t="shared" si="52"/>
        <v>90777.374950305602</v>
      </c>
      <c r="X69">
        <f t="shared" si="53"/>
        <v>0</v>
      </c>
      <c r="Y69">
        <f t="shared" si="54"/>
        <v>0</v>
      </c>
      <c r="Z69">
        <f t="shared" si="55"/>
        <v>0</v>
      </c>
      <c r="AA69">
        <f t="shared" si="56"/>
        <v>0</v>
      </c>
      <c r="AB69">
        <f t="shared" si="57"/>
        <v>0</v>
      </c>
      <c r="AC69">
        <f t="shared" si="58"/>
        <v>90777.374950305602</v>
      </c>
      <c r="AD69">
        <f t="shared" si="59"/>
        <v>0</v>
      </c>
      <c r="AE69">
        <f t="shared" si="60"/>
        <v>90777.374950305602</v>
      </c>
      <c r="AF69">
        <f t="shared" si="61"/>
        <v>0</v>
      </c>
      <c r="AG69">
        <f t="shared" si="62"/>
        <v>90777.374950305602</v>
      </c>
      <c r="AH69">
        <f t="shared" si="63"/>
        <v>90777.374950305602</v>
      </c>
      <c r="AI69">
        <f t="shared" si="64"/>
        <v>0</v>
      </c>
      <c r="AJ69">
        <f t="shared" si="65"/>
        <v>0</v>
      </c>
      <c r="AK69">
        <f t="shared" si="66"/>
        <v>90777.374950305602</v>
      </c>
      <c r="AL69">
        <f t="shared" si="67"/>
        <v>0</v>
      </c>
      <c r="AM69">
        <f t="shared" si="68"/>
        <v>0</v>
      </c>
      <c r="AN69">
        <f t="shared" si="69"/>
        <v>90777.374950305602</v>
      </c>
      <c r="AO69">
        <f t="shared" si="70"/>
        <v>0</v>
      </c>
      <c r="AP69">
        <f t="shared" si="71"/>
        <v>0</v>
      </c>
      <c r="AQ69">
        <f t="shared" si="72"/>
        <v>0</v>
      </c>
      <c r="AR69">
        <f t="shared" si="73"/>
        <v>1044062.4800798304</v>
      </c>
      <c r="AS69">
        <f t="shared" si="74"/>
        <v>0</v>
      </c>
      <c r="AT69">
        <f t="shared" si="75"/>
        <v>0</v>
      </c>
      <c r="AU69">
        <f t="shared" si="76"/>
        <v>0</v>
      </c>
    </row>
    <row r="70" spans="1:47" x14ac:dyDescent="0.2">
      <c r="A70">
        <v>69</v>
      </c>
      <c r="B70">
        <f>PoolStates_V2!B70</f>
        <v>0</v>
      </c>
      <c r="C70">
        <f>PoolStates_V2!S70</f>
        <v>4428.6273628593517</v>
      </c>
      <c r="D70">
        <f>PoolStates_V2!T70</f>
        <v>83526.506436724507</v>
      </c>
      <c r="E70">
        <f>PoolStates_V2!Q70</f>
        <v>40.633606728181185</v>
      </c>
      <c r="F70">
        <f t="shared" si="77"/>
        <v>0</v>
      </c>
      <c r="G70">
        <f t="shared" si="78"/>
        <v>0</v>
      </c>
      <c r="H70">
        <f t="shared" si="79"/>
        <v>1044062.4800798304</v>
      </c>
      <c r="I70">
        <f t="shared" si="40"/>
        <v>40.633606728181185</v>
      </c>
      <c r="J70">
        <f t="shared" si="41"/>
        <v>0</v>
      </c>
      <c r="K70">
        <f t="shared" si="42"/>
        <v>0</v>
      </c>
      <c r="L70">
        <f t="shared" si="43"/>
        <v>0</v>
      </c>
      <c r="M70">
        <f t="shared" si="44"/>
        <v>0</v>
      </c>
      <c r="N70">
        <f t="shared" si="45"/>
        <v>0</v>
      </c>
      <c r="O70">
        <f t="shared" si="46"/>
        <v>1044021.8464731022</v>
      </c>
      <c r="P70">
        <f>M70*Inputs!B6/12</f>
        <v>0</v>
      </c>
      <c r="Q70">
        <f t="shared" si="47"/>
        <v>0</v>
      </c>
      <c r="R70">
        <f>N70*Inputs!B6/12</f>
        <v>0</v>
      </c>
      <c r="S70">
        <f t="shared" si="48"/>
        <v>0</v>
      </c>
      <c r="T70">
        <f t="shared" si="49"/>
        <v>4428.6273628593517</v>
      </c>
      <c r="U70">
        <f t="shared" si="50"/>
        <v>0</v>
      </c>
      <c r="V70">
        <f t="shared" si="51"/>
        <v>4428.6273628593517</v>
      </c>
      <c r="W70">
        <f t="shared" si="52"/>
        <v>83526.506436724507</v>
      </c>
      <c r="X70">
        <f t="shared" si="53"/>
        <v>0</v>
      </c>
      <c r="Y70">
        <f t="shared" si="54"/>
        <v>0</v>
      </c>
      <c r="Z70">
        <f t="shared" si="55"/>
        <v>0</v>
      </c>
      <c r="AA70">
        <f t="shared" si="56"/>
        <v>0</v>
      </c>
      <c r="AB70">
        <f t="shared" si="57"/>
        <v>0</v>
      </c>
      <c r="AC70">
        <f t="shared" si="58"/>
        <v>83526.506436724507</v>
      </c>
      <c r="AD70">
        <f t="shared" si="59"/>
        <v>0</v>
      </c>
      <c r="AE70">
        <f t="shared" si="60"/>
        <v>83526.506436724507</v>
      </c>
      <c r="AF70">
        <f t="shared" si="61"/>
        <v>0</v>
      </c>
      <c r="AG70">
        <f t="shared" si="62"/>
        <v>83526.506436724507</v>
      </c>
      <c r="AH70">
        <f t="shared" si="63"/>
        <v>83526.506436724507</v>
      </c>
      <c r="AI70">
        <f t="shared" si="64"/>
        <v>0</v>
      </c>
      <c r="AJ70">
        <f t="shared" si="65"/>
        <v>0</v>
      </c>
      <c r="AK70">
        <f t="shared" si="66"/>
        <v>83526.506436724507</v>
      </c>
      <c r="AL70">
        <f t="shared" si="67"/>
        <v>0</v>
      </c>
      <c r="AM70">
        <f t="shared" si="68"/>
        <v>0</v>
      </c>
      <c r="AN70">
        <f t="shared" si="69"/>
        <v>83526.506436724507</v>
      </c>
      <c r="AO70">
        <f t="shared" si="70"/>
        <v>0</v>
      </c>
      <c r="AP70">
        <f t="shared" si="71"/>
        <v>0</v>
      </c>
      <c r="AQ70">
        <f t="shared" si="72"/>
        <v>0</v>
      </c>
      <c r="AR70">
        <f t="shared" si="73"/>
        <v>960495.34003637778</v>
      </c>
      <c r="AS70">
        <f t="shared" si="74"/>
        <v>0</v>
      </c>
      <c r="AT70">
        <f t="shared" si="75"/>
        <v>0</v>
      </c>
      <c r="AU70">
        <f t="shared" si="76"/>
        <v>0</v>
      </c>
    </row>
    <row r="71" spans="1:47" x14ac:dyDescent="0.2">
      <c r="A71">
        <v>70</v>
      </c>
      <c r="B71">
        <f>PoolStates_V2!B71</f>
        <v>0</v>
      </c>
      <c r="C71">
        <f>PoolStates_V2!S71</f>
        <v>4074.0555240761396</v>
      </c>
      <c r="D71">
        <f>PoolStates_V2!T71</f>
        <v>76853.898251968902</v>
      </c>
      <c r="E71">
        <f>PoolStates_V2!Q71</f>
        <v>37.422709418212541</v>
      </c>
      <c r="F71">
        <f t="shared" si="77"/>
        <v>0</v>
      </c>
      <c r="G71">
        <f t="shared" si="78"/>
        <v>0</v>
      </c>
      <c r="H71">
        <f t="shared" si="79"/>
        <v>960495.34003637778</v>
      </c>
      <c r="I71">
        <f t="shared" si="40"/>
        <v>37.422709418212541</v>
      </c>
      <c r="J71">
        <f t="shared" si="41"/>
        <v>0</v>
      </c>
      <c r="K71">
        <f t="shared" si="42"/>
        <v>0</v>
      </c>
      <c r="L71">
        <f t="shared" si="43"/>
        <v>0</v>
      </c>
      <c r="M71">
        <f t="shared" si="44"/>
        <v>0</v>
      </c>
      <c r="N71">
        <f t="shared" si="45"/>
        <v>0</v>
      </c>
      <c r="O71">
        <f t="shared" si="46"/>
        <v>960457.91732695955</v>
      </c>
      <c r="P71">
        <f>M71*Inputs!B6/12</f>
        <v>0</v>
      </c>
      <c r="Q71">
        <f t="shared" si="47"/>
        <v>0</v>
      </c>
      <c r="R71">
        <f>N71*Inputs!B6/12</f>
        <v>0</v>
      </c>
      <c r="S71">
        <f t="shared" si="48"/>
        <v>0</v>
      </c>
      <c r="T71">
        <f t="shared" si="49"/>
        <v>4074.0555240761396</v>
      </c>
      <c r="U71">
        <f t="shared" si="50"/>
        <v>0</v>
      </c>
      <c r="V71">
        <f t="shared" si="51"/>
        <v>4074.0555240761396</v>
      </c>
      <c r="W71">
        <f t="shared" si="52"/>
        <v>76853.898251968902</v>
      </c>
      <c r="X71">
        <f t="shared" si="53"/>
        <v>0</v>
      </c>
      <c r="Y71">
        <f t="shared" si="54"/>
        <v>0</v>
      </c>
      <c r="Z71">
        <f t="shared" si="55"/>
        <v>0</v>
      </c>
      <c r="AA71">
        <f t="shared" si="56"/>
        <v>0</v>
      </c>
      <c r="AB71">
        <f t="shared" si="57"/>
        <v>0</v>
      </c>
      <c r="AC71">
        <f t="shared" si="58"/>
        <v>76853.898251968902</v>
      </c>
      <c r="AD71">
        <f t="shared" si="59"/>
        <v>0</v>
      </c>
      <c r="AE71">
        <f t="shared" si="60"/>
        <v>76853.898251968902</v>
      </c>
      <c r="AF71">
        <f t="shared" si="61"/>
        <v>0</v>
      </c>
      <c r="AG71">
        <f t="shared" si="62"/>
        <v>76853.898251968902</v>
      </c>
      <c r="AH71">
        <f t="shared" si="63"/>
        <v>76853.898251968902</v>
      </c>
      <c r="AI71">
        <f t="shared" si="64"/>
        <v>0</v>
      </c>
      <c r="AJ71">
        <f t="shared" si="65"/>
        <v>0</v>
      </c>
      <c r="AK71">
        <f t="shared" si="66"/>
        <v>76853.898251968902</v>
      </c>
      <c r="AL71">
        <f t="shared" si="67"/>
        <v>0</v>
      </c>
      <c r="AM71">
        <f t="shared" si="68"/>
        <v>0</v>
      </c>
      <c r="AN71">
        <f t="shared" si="69"/>
        <v>76853.898251968902</v>
      </c>
      <c r="AO71">
        <f t="shared" si="70"/>
        <v>0</v>
      </c>
      <c r="AP71">
        <f t="shared" si="71"/>
        <v>0</v>
      </c>
      <c r="AQ71">
        <f t="shared" si="72"/>
        <v>0</v>
      </c>
      <c r="AR71">
        <f t="shared" si="73"/>
        <v>883604.01907499065</v>
      </c>
      <c r="AS71">
        <f t="shared" si="74"/>
        <v>0</v>
      </c>
      <c r="AT71">
        <f t="shared" si="75"/>
        <v>0</v>
      </c>
      <c r="AU71">
        <f t="shared" si="76"/>
        <v>0</v>
      </c>
    </row>
    <row r="72" spans="1:47" x14ac:dyDescent="0.2">
      <c r="A72">
        <v>71</v>
      </c>
      <c r="B72">
        <f>PoolStates_V2!B72</f>
        <v>0</v>
      </c>
      <c r="C72">
        <f>PoolStates_V2!S72</f>
        <v>3747.8208187691635</v>
      </c>
      <c r="D72">
        <f>PoolStates_V2!T72</f>
        <v>70713.487992198643</v>
      </c>
      <c r="E72">
        <f>PoolStates_V2!Q72</f>
        <v>34.463505674849792</v>
      </c>
      <c r="F72">
        <f t="shared" si="77"/>
        <v>0</v>
      </c>
      <c r="G72">
        <f t="shared" si="78"/>
        <v>0</v>
      </c>
      <c r="H72">
        <f t="shared" si="79"/>
        <v>883604.01907499065</v>
      </c>
      <c r="I72">
        <f t="shared" si="40"/>
        <v>34.463505674849792</v>
      </c>
      <c r="J72">
        <f t="shared" si="41"/>
        <v>0</v>
      </c>
      <c r="K72">
        <f t="shared" si="42"/>
        <v>0</v>
      </c>
      <c r="L72">
        <f t="shared" si="43"/>
        <v>0</v>
      </c>
      <c r="M72">
        <f t="shared" si="44"/>
        <v>0</v>
      </c>
      <c r="N72">
        <f t="shared" si="45"/>
        <v>0</v>
      </c>
      <c r="O72">
        <f t="shared" si="46"/>
        <v>883569.55556931579</v>
      </c>
      <c r="P72">
        <f>M72*Inputs!B6/12</f>
        <v>0</v>
      </c>
      <c r="Q72">
        <f t="shared" si="47"/>
        <v>0</v>
      </c>
      <c r="R72">
        <f>N72*Inputs!B6/12</f>
        <v>0</v>
      </c>
      <c r="S72">
        <f t="shared" si="48"/>
        <v>0</v>
      </c>
      <c r="T72">
        <f t="shared" si="49"/>
        <v>3747.8208187691635</v>
      </c>
      <c r="U72">
        <f t="shared" si="50"/>
        <v>0</v>
      </c>
      <c r="V72">
        <f t="shared" si="51"/>
        <v>3747.8208187691635</v>
      </c>
      <c r="W72">
        <f t="shared" si="52"/>
        <v>70713.487992198643</v>
      </c>
      <c r="X72">
        <f t="shared" si="53"/>
        <v>0</v>
      </c>
      <c r="Y72">
        <f t="shared" si="54"/>
        <v>0</v>
      </c>
      <c r="Z72">
        <f t="shared" si="55"/>
        <v>0</v>
      </c>
      <c r="AA72">
        <f t="shared" si="56"/>
        <v>0</v>
      </c>
      <c r="AB72">
        <f t="shared" si="57"/>
        <v>0</v>
      </c>
      <c r="AC72">
        <f t="shared" si="58"/>
        <v>70713.487992198643</v>
      </c>
      <c r="AD72">
        <f t="shared" si="59"/>
        <v>0</v>
      </c>
      <c r="AE72">
        <f t="shared" si="60"/>
        <v>70713.487992198643</v>
      </c>
      <c r="AF72">
        <f t="shared" si="61"/>
        <v>0</v>
      </c>
      <c r="AG72">
        <f t="shared" si="62"/>
        <v>70713.487992198643</v>
      </c>
      <c r="AH72">
        <f t="shared" si="63"/>
        <v>70713.487992198643</v>
      </c>
      <c r="AI72">
        <f t="shared" si="64"/>
        <v>0</v>
      </c>
      <c r="AJ72">
        <f t="shared" si="65"/>
        <v>0</v>
      </c>
      <c r="AK72">
        <f t="shared" si="66"/>
        <v>70713.487992198643</v>
      </c>
      <c r="AL72">
        <f t="shared" si="67"/>
        <v>0</v>
      </c>
      <c r="AM72">
        <f t="shared" si="68"/>
        <v>0</v>
      </c>
      <c r="AN72">
        <f t="shared" si="69"/>
        <v>70713.487992198643</v>
      </c>
      <c r="AO72">
        <f t="shared" si="70"/>
        <v>0</v>
      </c>
      <c r="AP72">
        <f t="shared" si="71"/>
        <v>0</v>
      </c>
      <c r="AQ72">
        <f t="shared" si="72"/>
        <v>0</v>
      </c>
      <c r="AR72">
        <f t="shared" si="73"/>
        <v>812856.06757711712</v>
      </c>
      <c r="AS72">
        <f t="shared" si="74"/>
        <v>0</v>
      </c>
      <c r="AT72">
        <f t="shared" si="75"/>
        <v>0</v>
      </c>
      <c r="AU72">
        <f t="shared" si="76"/>
        <v>0</v>
      </c>
    </row>
    <row r="73" spans="1:47" x14ac:dyDescent="0.2">
      <c r="A73">
        <v>72</v>
      </c>
      <c r="B73">
        <f>PoolStates_V2!B73</f>
        <v>0</v>
      </c>
      <c r="C73">
        <f>PoolStates_V2!S73</f>
        <v>3447.661686854653</v>
      </c>
      <c r="D73">
        <f>PoolStates_V2!T73</f>
        <v>65062.879943638989</v>
      </c>
      <c r="E73">
        <f>PoolStates_V2!Q73</f>
        <v>31.736506882981178</v>
      </c>
      <c r="F73">
        <f t="shared" si="77"/>
        <v>0</v>
      </c>
      <c r="G73">
        <f t="shared" si="78"/>
        <v>0</v>
      </c>
      <c r="H73">
        <f t="shared" si="79"/>
        <v>812856.06757711712</v>
      </c>
      <c r="I73">
        <f t="shared" si="40"/>
        <v>31.736506882981178</v>
      </c>
      <c r="J73">
        <f t="shared" si="41"/>
        <v>0</v>
      </c>
      <c r="K73">
        <f t="shared" si="42"/>
        <v>0</v>
      </c>
      <c r="L73">
        <f t="shared" si="43"/>
        <v>0</v>
      </c>
      <c r="M73">
        <f t="shared" si="44"/>
        <v>0</v>
      </c>
      <c r="N73">
        <f t="shared" si="45"/>
        <v>0</v>
      </c>
      <c r="O73">
        <f t="shared" si="46"/>
        <v>812824.33107023418</v>
      </c>
      <c r="P73">
        <f>M73*Inputs!B6/12</f>
        <v>0</v>
      </c>
      <c r="Q73">
        <f t="shared" si="47"/>
        <v>0</v>
      </c>
      <c r="R73">
        <f>N73*Inputs!B6/12</f>
        <v>0</v>
      </c>
      <c r="S73">
        <f t="shared" si="48"/>
        <v>0</v>
      </c>
      <c r="T73">
        <f t="shared" si="49"/>
        <v>3447.661686854653</v>
      </c>
      <c r="U73">
        <f t="shared" si="50"/>
        <v>0</v>
      </c>
      <c r="V73">
        <f t="shared" si="51"/>
        <v>3447.661686854653</v>
      </c>
      <c r="W73">
        <f t="shared" si="52"/>
        <v>65062.879943638989</v>
      </c>
      <c r="X73">
        <f t="shared" si="53"/>
        <v>0</v>
      </c>
      <c r="Y73">
        <f t="shared" si="54"/>
        <v>0</v>
      </c>
      <c r="Z73">
        <f t="shared" si="55"/>
        <v>0</v>
      </c>
      <c r="AA73">
        <f t="shared" si="56"/>
        <v>0</v>
      </c>
      <c r="AB73">
        <f t="shared" si="57"/>
        <v>0</v>
      </c>
      <c r="AC73">
        <f t="shared" si="58"/>
        <v>65062.879943638989</v>
      </c>
      <c r="AD73">
        <f t="shared" si="59"/>
        <v>0</v>
      </c>
      <c r="AE73">
        <f t="shared" si="60"/>
        <v>65062.879943638989</v>
      </c>
      <c r="AF73">
        <f t="shared" si="61"/>
        <v>0</v>
      </c>
      <c r="AG73">
        <f t="shared" si="62"/>
        <v>65062.879943638989</v>
      </c>
      <c r="AH73">
        <f t="shared" si="63"/>
        <v>65062.879943638989</v>
      </c>
      <c r="AI73">
        <f t="shared" si="64"/>
        <v>0</v>
      </c>
      <c r="AJ73">
        <f t="shared" si="65"/>
        <v>0</v>
      </c>
      <c r="AK73">
        <f t="shared" si="66"/>
        <v>65062.879943638989</v>
      </c>
      <c r="AL73">
        <f t="shared" si="67"/>
        <v>0</v>
      </c>
      <c r="AM73">
        <f t="shared" si="68"/>
        <v>0</v>
      </c>
      <c r="AN73">
        <f t="shared" si="69"/>
        <v>65062.879943638989</v>
      </c>
      <c r="AO73">
        <f t="shared" si="70"/>
        <v>0</v>
      </c>
      <c r="AP73">
        <f t="shared" si="71"/>
        <v>0</v>
      </c>
      <c r="AQ73">
        <f t="shared" si="72"/>
        <v>0</v>
      </c>
      <c r="AR73">
        <f t="shared" si="73"/>
        <v>747761.45112659514</v>
      </c>
      <c r="AS73">
        <f t="shared" si="74"/>
        <v>0</v>
      </c>
      <c r="AT73">
        <f t="shared" si="75"/>
        <v>0</v>
      </c>
      <c r="AU73">
        <f t="shared" si="76"/>
        <v>0</v>
      </c>
    </row>
    <row r="74" spans="1:47" x14ac:dyDescent="0.2">
      <c r="A74">
        <v>73</v>
      </c>
      <c r="B74">
        <f>PoolStates_V2!B74</f>
        <v>0</v>
      </c>
      <c r="C74">
        <f>PoolStates_V2!S74</f>
        <v>3171.4969067916372</v>
      </c>
      <c r="D74">
        <f>PoolStates_V2!T74</f>
        <v>59863.053202898147</v>
      </c>
      <c r="E74">
        <f>PoolStates_V2!Q74</f>
        <v>29.223703383202281</v>
      </c>
      <c r="F74">
        <f t="shared" si="77"/>
        <v>0</v>
      </c>
      <c r="G74">
        <f t="shared" si="78"/>
        <v>0</v>
      </c>
      <c r="H74">
        <f t="shared" si="79"/>
        <v>747761.45112659514</v>
      </c>
      <c r="I74">
        <f t="shared" si="40"/>
        <v>29.223703383202281</v>
      </c>
      <c r="J74">
        <f t="shared" si="41"/>
        <v>0</v>
      </c>
      <c r="K74">
        <f t="shared" si="42"/>
        <v>0</v>
      </c>
      <c r="L74">
        <f t="shared" si="43"/>
        <v>0</v>
      </c>
      <c r="M74">
        <f t="shared" si="44"/>
        <v>0</v>
      </c>
      <c r="N74">
        <f t="shared" si="45"/>
        <v>0</v>
      </c>
      <c r="O74">
        <f t="shared" si="46"/>
        <v>747732.22742321191</v>
      </c>
      <c r="P74">
        <f>M74*Inputs!B6/12</f>
        <v>0</v>
      </c>
      <c r="Q74">
        <f t="shared" si="47"/>
        <v>0</v>
      </c>
      <c r="R74">
        <f>N74*Inputs!B6/12</f>
        <v>0</v>
      </c>
      <c r="S74">
        <f t="shared" si="48"/>
        <v>0</v>
      </c>
      <c r="T74">
        <f t="shared" si="49"/>
        <v>3171.4969067916372</v>
      </c>
      <c r="U74">
        <f t="shared" si="50"/>
        <v>0</v>
      </c>
      <c r="V74">
        <f t="shared" si="51"/>
        <v>3171.4969067916372</v>
      </c>
      <c r="W74">
        <f t="shared" si="52"/>
        <v>59863.053202898147</v>
      </c>
      <c r="X74">
        <f t="shared" si="53"/>
        <v>0</v>
      </c>
      <c r="Y74">
        <f t="shared" si="54"/>
        <v>0</v>
      </c>
      <c r="Z74">
        <f t="shared" si="55"/>
        <v>0</v>
      </c>
      <c r="AA74">
        <f t="shared" si="56"/>
        <v>0</v>
      </c>
      <c r="AB74">
        <f t="shared" si="57"/>
        <v>0</v>
      </c>
      <c r="AC74">
        <f t="shared" si="58"/>
        <v>59863.053202898147</v>
      </c>
      <c r="AD74">
        <f t="shared" si="59"/>
        <v>0</v>
      </c>
      <c r="AE74">
        <f t="shared" si="60"/>
        <v>59863.053202898147</v>
      </c>
      <c r="AF74">
        <f t="shared" si="61"/>
        <v>0</v>
      </c>
      <c r="AG74">
        <f t="shared" si="62"/>
        <v>59863.053202898147</v>
      </c>
      <c r="AH74">
        <f t="shared" si="63"/>
        <v>59863.053202898147</v>
      </c>
      <c r="AI74">
        <f t="shared" si="64"/>
        <v>0</v>
      </c>
      <c r="AJ74">
        <f t="shared" si="65"/>
        <v>0</v>
      </c>
      <c r="AK74">
        <f t="shared" si="66"/>
        <v>59863.053202898147</v>
      </c>
      <c r="AL74">
        <f t="shared" si="67"/>
        <v>0</v>
      </c>
      <c r="AM74">
        <f t="shared" si="68"/>
        <v>0</v>
      </c>
      <c r="AN74">
        <f t="shared" si="69"/>
        <v>59863.053202898147</v>
      </c>
      <c r="AO74">
        <f t="shared" si="70"/>
        <v>0</v>
      </c>
      <c r="AP74">
        <f t="shared" si="71"/>
        <v>0</v>
      </c>
      <c r="AQ74">
        <f t="shared" si="72"/>
        <v>0</v>
      </c>
      <c r="AR74">
        <f t="shared" si="73"/>
        <v>687869.17422031378</v>
      </c>
      <c r="AS74">
        <f t="shared" si="74"/>
        <v>0</v>
      </c>
      <c r="AT74">
        <f t="shared" si="75"/>
        <v>0</v>
      </c>
      <c r="AU74">
        <f t="shared" si="76"/>
        <v>0</v>
      </c>
    </row>
    <row r="75" spans="1:47" x14ac:dyDescent="0.2">
      <c r="A75">
        <v>74</v>
      </c>
      <c r="B75">
        <f>PoolStates_V2!B75</f>
        <v>0</v>
      </c>
      <c r="C75">
        <f>PoolStates_V2!S75</f>
        <v>2917.4112173082258</v>
      </c>
      <c r="D75">
        <f>PoolStates_V2!T75</f>
        <v>55078.093055422803</v>
      </c>
      <c r="E75">
        <f>PoolStates_V2!Q75</f>
        <v>26.908456130368926</v>
      </c>
      <c r="F75">
        <f t="shared" si="77"/>
        <v>0</v>
      </c>
      <c r="G75">
        <f t="shared" si="78"/>
        <v>0</v>
      </c>
      <c r="H75">
        <f t="shared" si="79"/>
        <v>687869.17422031378</v>
      </c>
      <c r="I75">
        <f t="shared" si="40"/>
        <v>26.908456130368926</v>
      </c>
      <c r="J75">
        <f t="shared" si="41"/>
        <v>0</v>
      </c>
      <c r="K75">
        <f t="shared" si="42"/>
        <v>0</v>
      </c>
      <c r="L75">
        <f t="shared" si="43"/>
        <v>0</v>
      </c>
      <c r="M75">
        <f t="shared" si="44"/>
        <v>0</v>
      </c>
      <c r="N75">
        <f t="shared" si="45"/>
        <v>0</v>
      </c>
      <c r="O75">
        <f t="shared" si="46"/>
        <v>687842.26576418336</v>
      </c>
      <c r="P75">
        <f>M75*Inputs!B6/12</f>
        <v>0</v>
      </c>
      <c r="Q75">
        <f t="shared" si="47"/>
        <v>0</v>
      </c>
      <c r="R75">
        <f>N75*Inputs!B6/12</f>
        <v>0</v>
      </c>
      <c r="S75">
        <f t="shared" si="48"/>
        <v>0</v>
      </c>
      <c r="T75">
        <f t="shared" si="49"/>
        <v>2917.4112173082258</v>
      </c>
      <c r="U75">
        <f t="shared" si="50"/>
        <v>0</v>
      </c>
      <c r="V75">
        <f t="shared" si="51"/>
        <v>2917.4112173082258</v>
      </c>
      <c r="W75">
        <f t="shared" si="52"/>
        <v>55078.093055422803</v>
      </c>
      <c r="X75">
        <f t="shared" si="53"/>
        <v>0</v>
      </c>
      <c r="Y75">
        <f t="shared" si="54"/>
        <v>0</v>
      </c>
      <c r="Z75">
        <f t="shared" si="55"/>
        <v>0</v>
      </c>
      <c r="AA75">
        <f t="shared" si="56"/>
        <v>0</v>
      </c>
      <c r="AB75">
        <f t="shared" si="57"/>
        <v>0</v>
      </c>
      <c r="AC75">
        <f t="shared" si="58"/>
        <v>55078.093055422803</v>
      </c>
      <c r="AD75">
        <f t="shared" si="59"/>
        <v>0</v>
      </c>
      <c r="AE75">
        <f t="shared" si="60"/>
        <v>55078.093055422803</v>
      </c>
      <c r="AF75">
        <f t="shared" si="61"/>
        <v>0</v>
      </c>
      <c r="AG75">
        <f t="shared" si="62"/>
        <v>55078.093055422803</v>
      </c>
      <c r="AH75">
        <f t="shared" si="63"/>
        <v>55078.093055422803</v>
      </c>
      <c r="AI75">
        <f t="shared" si="64"/>
        <v>0</v>
      </c>
      <c r="AJ75">
        <f t="shared" si="65"/>
        <v>0</v>
      </c>
      <c r="AK75">
        <f t="shared" si="66"/>
        <v>55078.093055422803</v>
      </c>
      <c r="AL75">
        <f t="shared" si="67"/>
        <v>0</v>
      </c>
      <c r="AM75">
        <f t="shared" si="68"/>
        <v>0</v>
      </c>
      <c r="AN75">
        <f t="shared" si="69"/>
        <v>55078.093055422803</v>
      </c>
      <c r="AO75">
        <f t="shared" si="70"/>
        <v>0</v>
      </c>
      <c r="AP75">
        <f t="shared" si="71"/>
        <v>0</v>
      </c>
      <c r="AQ75">
        <f t="shared" si="72"/>
        <v>0</v>
      </c>
      <c r="AR75">
        <f t="shared" si="73"/>
        <v>632764.1727087606</v>
      </c>
      <c r="AS75">
        <f t="shared" si="74"/>
        <v>0</v>
      </c>
      <c r="AT75">
        <f t="shared" si="75"/>
        <v>0</v>
      </c>
      <c r="AU75">
        <f t="shared" si="76"/>
        <v>0</v>
      </c>
    </row>
    <row r="76" spans="1:47" x14ac:dyDescent="0.2">
      <c r="A76">
        <v>75</v>
      </c>
      <c r="B76">
        <f>PoolStates_V2!B76</f>
        <v>0</v>
      </c>
      <c r="C76">
        <f>PoolStates_V2!S76</f>
        <v>2683.6420865245082</v>
      </c>
      <c r="D76">
        <f>PoolStates_V2!T76</f>
        <v>50674.943754031803</v>
      </c>
      <c r="E76">
        <f>PoolStates_V2!Q76</f>
        <v>24.77539576617729</v>
      </c>
      <c r="F76">
        <f t="shared" si="77"/>
        <v>0</v>
      </c>
      <c r="G76">
        <f t="shared" si="78"/>
        <v>0</v>
      </c>
      <c r="H76">
        <f t="shared" si="79"/>
        <v>632764.1727087606</v>
      </c>
      <c r="I76">
        <f t="shared" si="40"/>
        <v>24.77539576617729</v>
      </c>
      <c r="J76">
        <f t="shared" si="41"/>
        <v>0</v>
      </c>
      <c r="K76">
        <f t="shared" si="42"/>
        <v>0</v>
      </c>
      <c r="L76">
        <f t="shared" si="43"/>
        <v>0</v>
      </c>
      <c r="M76">
        <f t="shared" si="44"/>
        <v>0</v>
      </c>
      <c r="N76">
        <f t="shared" si="45"/>
        <v>0</v>
      </c>
      <c r="O76">
        <f t="shared" si="46"/>
        <v>632739.39731299446</v>
      </c>
      <c r="P76">
        <f>M76*Inputs!B6/12</f>
        <v>0</v>
      </c>
      <c r="Q76">
        <f t="shared" si="47"/>
        <v>0</v>
      </c>
      <c r="R76">
        <f>N76*Inputs!B6/12</f>
        <v>0</v>
      </c>
      <c r="S76">
        <f t="shared" si="48"/>
        <v>0</v>
      </c>
      <c r="T76">
        <f t="shared" si="49"/>
        <v>2683.6420865245082</v>
      </c>
      <c r="U76">
        <f t="shared" si="50"/>
        <v>0</v>
      </c>
      <c r="V76">
        <f t="shared" si="51"/>
        <v>2683.6420865245082</v>
      </c>
      <c r="W76">
        <f t="shared" si="52"/>
        <v>50674.943754031803</v>
      </c>
      <c r="X76">
        <f t="shared" si="53"/>
        <v>0</v>
      </c>
      <c r="Y76">
        <f t="shared" si="54"/>
        <v>0</v>
      </c>
      <c r="Z76">
        <f t="shared" si="55"/>
        <v>0</v>
      </c>
      <c r="AA76">
        <f t="shared" si="56"/>
        <v>0</v>
      </c>
      <c r="AB76">
        <f t="shared" si="57"/>
        <v>0</v>
      </c>
      <c r="AC76">
        <f t="shared" si="58"/>
        <v>50674.943754031803</v>
      </c>
      <c r="AD76">
        <f t="shared" si="59"/>
        <v>0</v>
      </c>
      <c r="AE76">
        <f t="shared" si="60"/>
        <v>50674.943754031803</v>
      </c>
      <c r="AF76">
        <f t="shared" si="61"/>
        <v>0</v>
      </c>
      <c r="AG76">
        <f t="shared" si="62"/>
        <v>50674.943754031803</v>
      </c>
      <c r="AH76">
        <f t="shared" si="63"/>
        <v>50674.943754031803</v>
      </c>
      <c r="AI76">
        <f t="shared" si="64"/>
        <v>0</v>
      </c>
      <c r="AJ76">
        <f t="shared" si="65"/>
        <v>0</v>
      </c>
      <c r="AK76">
        <f t="shared" si="66"/>
        <v>50674.943754031803</v>
      </c>
      <c r="AL76">
        <f t="shared" si="67"/>
        <v>0</v>
      </c>
      <c r="AM76">
        <f t="shared" si="68"/>
        <v>0</v>
      </c>
      <c r="AN76">
        <f t="shared" si="69"/>
        <v>50674.943754031803</v>
      </c>
      <c r="AO76">
        <f t="shared" si="70"/>
        <v>0</v>
      </c>
      <c r="AP76">
        <f t="shared" si="71"/>
        <v>0</v>
      </c>
      <c r="AQ76">
        <f t="shared" si="72"/>
        <v>0</v>
      </c>
      <c r="AR76">
        <f t="shared" si="73"/>
        <v>582064.45355896268</v>
      </c>
      <c r="AS76">
        <f t="shared" si="74"/>
        <v>0</v>
      </c>
      <c r="AT76">
        <f t="shared" si="75"/>
        <v>0</v>
      </c>
      <c r="AU76">
        <f t="shared" si="76"/>
        <v>0</v>
      </c>
    </row>
    <row r="77" spans="1:47" x14ac:dyDescent="0.2">
      <c r="A77">
        <v>76</v>
      </c>
      <c r="B77">
        <f>PoolStates_V2!B77</f>
        <v>0</v>
      </c>
      <c r="C77">
        <f>PoolStates_V2!S77</f>
        <v>2468.5675366825326</v>
      </c>
      <c r="D77">
        <f>PoolStates_V2!T77</f>
        <v>46623.180988645501</v>
      </c>
      <c r="E77">
        <f>PoolStates_V2!Q77</f>
        <v>22.810328671636753</v>
      </c>
      <c r="F77">
        <f t="shared" si="77"/>
        <v>0</v>
      </c>
      <c r="G77">
        <f t="shared" si="78"/>
        <v>0</v>
      </c>
      <c r="H77">
        <f t="shared" si="79"/>
        <v>582064.45355896268</v>
      </c>
      <c r="I77">
        <f t="shared" si="40"/>
        <v>22.810328671636753</v>
      </c>
      <c r="J77">
        <f t="shared" si="41"/>
        <v>0</v>
      </c>
      <c r="K77">
        <f t="shared" si="42"/>
        <v>0</v>
      </c>
      <c r="L77">
        <f t="shared" si="43"/>
        <v>0</v>
      </c>
      <c r="M77">
        <f t="shared" si="44"/>
        <v>0</v>
      </c>
      <c r="N77">
        <f t="shared" si="45"/>
        <v>0</v>
      </c>
      <c r="O77">
        <f t="shared" si="46"/>
        <v>582041.64323029108</v>
      </c>
      <c r="P77">
        <f>M77*Inputs!B6/12</f>
        <v>0</v>
      </c>
      <c r="Q77">
        <f t="shared" si="47"/>
        <v>0</v>
      </c>
      <c r="R77">
        <f>N77*Inputs!B6/12</f>
        <v>0</v>
      </c>
      <c r="S77">
        <f t="shared" si="48"/>
        <v>0</v>
      </c>
      <c r="T77">
        <f t="shared" si="49"/>
        <v>2468.5675366825326</v>
      </c>
      <c r="U77">
        <f t="shared" si="50"/>
        <v>0</v>
      </c>
      <c r="V77">
        <f t="shared" si="51"/>
        <v>2468.5675366825326</v>
      </c>
      <c r="W77">
        <f t="shared" si="52"/>
        <v>46623.180988645501</v>
      </c>
      <c r="X77">
        <f t="shared" si="53"/>
        <v>0</v>
      </c>
      <c r="Y77">
        <f t="shared" si="54"/>
        <v>0</v>
      </c>
      <c r="Z77">
        <f t="shared" si="55"/>
        <v>0</v>
      </c>
      <c r="AA77">
        <f t="shared" si="56"/>
        <v>0</v>
      </c>
      <c r="AB77">
        <f t="shared" si="57"/>
        <v>0</v>
      </c>
      <c r="AC77">
        <f t="shared" si="58"/>
        <v>46623.180988645501</v>
      </c>
      <c r="AD77">
        <f t="shared" si="59"/>
        <v>0</v>
      </c>
      <c r="AE77">
        <f t="shared" si="60"/>
        <v>46623.180988645501</v>
      </c>
      <c r="AF77">
        <f t="shared" si="61"/>
        <v>0</v>
      </c>
      <c r="AG77">
        <f t="shared" si="62"/>
        <v>46623.180988645501</v>
      </c>
      <c r="AH77">
        <f t="shared" si="63"/>
        <v>46623.180988645501</v>
      </c>
      <c r="AI77">
        <f t="shared" si="64"/>
        <v>0</v>
      </c>
      <c r="AJ77">
        <f t="shared" si="65"/>
        <v>0</v>
      </c>
      <c r="AK77">
        <f t="shared" si="66"/>
        <v>46623.180988645501</v>
      </c>
      <c r="AL77">
        <f t="shared" si="67"/>
        <v>0</v>
      </c>
      <c r="AM77">
        <f t="shared" si="68"/>
        <v>0</v>
      </c>
      <c r="AN77">
        <f t="shared" si="69"/>
        <v>46623.180988645501</v>
      </c>
      <c r="AO77">
        <f t="shared" si="70"/>
        <v>0</v>
      </c>
      <c r="AP77">
        <f t="shared" si="71"/>
        <v>0</v>
      </c>
      <c r="AQ77">
        <f t="shared" si="72"/>
        <v>0</v>
      </c>
      <c r="AR77">
        <f t="shared" si="73"/>
        <v>535418.46224164555</v>
      </c>
      <c r="AS77">
        <f t="shared" si="74"/>
        <v>0</v>
      </c>
      <c r="AT77">
        <f t="shared" si="75"/>
        <v>0</v>
      </c>
      <c r="AU77">
        <f t="shared" si="76"/>
        <v>0</v>
      </c>
    </row>
    <row r="78" spans="1:47" x14ac:dyDescent="0.2">
      <c r="A78">
        <v>77</v>
      </c>
      <c r="B78">
        <f>PoolStates_V2!B78</f>
        <v>0</v>
      </c>
      <c r="C78">
        <f>PoolStates_V2!S78</f>
        <v>2270.6949400728818</v>
      </c>
      <c r="D78">
        <f>PoolStates_V2!T78</f>
        <v>42894.802475423268</v>
      </c>
      <c r="E78">
        <f>PoolStates_V2!Q78</f>
        <v>21.000149579697059</v>
      </c>
      <c r="F78">
        <f t="shared" si="77"/>
        <v>0</v>
      </c>
      <c r="G78">
        <f t="shared" si="78"/>
        <v>0</v>
      </c>
      <c r="H78">
        <f t="shared" si="79"/>
        <v>535418.46224164555</v>
      </c>
      <c r="I78">
        <f t="shared" si="40"/>
        <v>21.000149579697059</v>
      </c>
      <c r="J78">
        <f t="shared" si="41"/>
        <v>0</v>
      </c>
      <c r="K78">
        <f t="shared" si="42"/>
        <v>0</v>
      </c>
      <c r="L78">
        <f t="shared" si="43"/>
        <v>0</v>
      </c>
      <c r="M78">
        <f t="shared" si="44"/>
        <v>0</v>
      </c>
      <c r="N78">
        <f t="shared" si="45"/>
        <v>0</v>
      </c>
      <c r="O78">
        <f t="shared" si="46"/>
        <v>535397.46209206583</v>
      </c>
      <c r="P78">
        <f>M78*Inputs!B6/12</f>
        <v>0</v>
      </c>
      <c r="Q78">
        <f t="shared" si="47"/>
        <v>0</v>
      </c>
      <c r="R78">
        <f>N78*Inputs!B6/12</f>
        <v>0</v>
      </c>
      <c r="S78">
        <f t="shared" si="48"/>
        <v>0</v>
      </c>
      <c r="T78">
        <f t="shared" si="49"/>
        <v>2270.6949400728818</v>
      </c>
      <c r="U78">
        <f t="shared" si="50"/>
        <v>0</v>
      </c>
      <c r="V78">
        <f t="shared" si="51"/>
        <v>2270.6949400728818</v>
      </c>
      <c r="W78">
        <f t="shared" si="52"/>
        <v>42894.802475423268</v>
      </c>
      <c r="X78">
        <f t="shared" si="53"/>
        <v>0</v>
      </c>
      <c r="Y78">
        <f t="shared" si="54"/>
        <v>0</v>
      </c>
      <c r="Z78">
        <f t="shared" si="55"/>
        <v>0</v>
      </c>
      <c r="AA78">
        <f t="shared" si="56"/>
        <v>0</v>
      </c>
      <c r="AB78">
        <f t="shared" si="57"/>
        <v>0</v>
      </c>
      <c r="AC78">
        <f t="shared" si="58"/>
        <v>42894.802475423268</v>
      </c>
      <c r="AD78">
        <f t="shared" si="59"/>
        <v>0</v>
      </c>
      <c r="AE78">
        <f t="shared" si="60"/>
        <v>42894.802475423268</v>
      </c>
      <c r="AF78">
        <f t="shared" si="61"/>
        <v>0</v>
      </c>
      <c r="AG78">
        <f t="shared" si="62"/>
        <v>42894.802475423268</v>
      </c>
      <c r="AH78">
        <f t="shared" si="63"/>
        <v>42894.802475423268</v>
      </c>
      <c r="AI78">
        <f t="shared" si="64"/>
        <v>0</v>
      </c>
      <c r="AJ78">
        <f t="shared" si="65"/>
        <v>0</v>
      </c>
      <c r="AK78">
        <f t="shared" si="66"/>
        <v>42894.802475423268</v>
      </c>
      <c r="AL78">
        <f t="shared" si="67"/>
        <v>0</v>
      </c>
      <c r="AM78">
        <f t="shared" si="68"/>
        <v>0</v>
      </c>
      <c r="AN78">
        <f t="shared" si="69"/>
        <v>42894.802475423268</v>
      </c>
      <c r="AO78">
        <f t="shared" si="70"/>
        <v>0</v>
      </c>
      <c r="AP78">
        <f t="shared" si="71"/>
        <v>0</v>
      </c>
      <c r="AQ78">
        <f t="shared" si="72"/>
        <v>0</v>
      </c>
      <c r="AR78">
        <f t="shared" si="73"/>
        <v>492502.65961664257</v>
      </c>
      <c r="AS78">
        <f t="shared" si="74"/>
        <v>0</v>
      </c>
      <c r="AT78">
        <f t="shared" si="75"/>
        <v>0</v>
      </c>
      <c r="AU78">
        <f t="shared" si="76"/>
        <v>0</v>
      </c>
    </row>
    <row r="79" spans="1:47" x14ac:dyDescent="0.2">
      <c r="A79">
        <v>78</v>
      </c>
      <c r="B79">
        <f>PoolStates_V2!B79</f>
        <v>0</v>
      </c>
      <c r="C79">
        <f>PoolStates_V2!S79</f>
        <v>2088.6507085280978</v>
      </c>
      <c r="D79">
        <f>PoolStates_V2!T79</f>
        <v>39464.035219528181</v>
      </c>
      <c r="E79">
        <f>PoolStates_V2!Q79</f>
        <v>19.332760344153161</v>
      </c>
      <c r="F79">
        <f t="shared" si="77"/>
        <v>0</v>
      </c>
      <c r="G79">
        <f t="shared" si="78"/>
        <v>0</v>
      </c>
      <c r="H79">
        <f t="shared" si="79"/>
        <v>492502.65961664257</v>
      </c>
      <c r="I79">
        <f t="shared" si="40"/>
        <v>19.332760344153161</v>
      </c>
      <c r="J79">
        <f t="shared" si="41"/>
        <v>0</v>
      </c>
      <c r="K79">
        <f t="shared" si="42"/>
        <v>0</v>
      </c>
      <c r="L79">
        <f t="shared" si="43"/>
        <v>0</v>
      </c>
      <c r="M79">
        <f t="shared" si="44"/>
        <v>0</v>
      </c>
      <c r="N79">
        <f t="shared" si="45"/>
        <v>0</v>
      </c>
      <c r="O79">
        <f t="shared" si="46"/>
        <v>492483.32685629843</v>
      </c>
      <c r="P79">
        <f>M79*Inputs!B6/12</f>
        <v>0</v>
      </c>
      <c r="Q79">
        <f t="shared" si="47"/>
        <v>0</v>
      </c>
      <c r="R79">
        <f>N79*Inputs!B6/12</f>
        <v>0</v>
      </c>
      <c r="S79">
        <f t="shared" si="48"/>
        <v>0</v>
      </c>
      <c r="T79">
        <f t="shared" si="49"/>
        <v>2088.6507085280978</v>
      </c>
      <c r="U79">
        <f t="shared" si="50"/>
        <v>0</v>
      </c>
      <c r="V79">
        <f t="shared" si="51"/>
        <v>2088.6507085280978</v>
      </c>
      <c r="W79">
        <f t="shared" si="52"/>
        <v>39464.035219528181</v>
      </c>
      <c r="X79">
        <f t="shared" si="53"/>
        <v>0</v>
      </c>
      <c r="Y79">
        <f t="shared" si="54"/>
        <v>0</v>
      </c>
      <c r="Z79">
        <f t="shared" si="55"/>
        <v>0</v>
      </c>
      <c r="AA79">
        <f t="shared" si="56"/>
        <v>0</v>
      </c>
      <c r="AB79">
        <f t="shared" si="57"/>
        <v>0</v>
      </c>
      <c r="AC79">
        <f t="shared" si="58"/>
        <v>39464.035219528181</v>
      </c>
      <c r="AD79">
        <f t="shared" si="59"/>
        <v>0</v>
      </c>
      <c r="AE79">
        <f t="shared" si="60"/>
        <v>39464.035219528181</v>
      </c>
      <c r="AF79">
        <f t="shared" si="61"/>
        <v>0</v>
      </c>
      <c r="AG79">
        <f t="shared" si="62"/>
        <v>39464.035219528181</v>
      </c>
      <c r="AH79">
        <f t="shared" si="63"/>
        <v>39464.035219528181</v>
      </c>
      <c r="AI79">
        <f t="shared" si="64"/>
        <v>0</v>
      </c>
      <c r="AJ79">
        <f t="shared" si="65"/>
        <v>0</v>
      </c>
      <c r="AK79">
        <f t="shared" si="66"/>
        <v>39464.035219528181</v>
      </c>
      <c r="AL79">
        <f t="shared" si="67"/>
        <v>0</v>
      </c>
      <c r="AM79">
        <f t="shared" si="68"/>
        <v>0</v>
      </c>
      <c r="AN79">
        <f t="shared" si="69"/>
        <v>39464.035219528181</v>
      </c>
      <c r="AO79">
        <f t="shared" si="70"/>
        <v>0</v>
      </c>
      <c r="AP79">
        <f t="shared" si="71"/>
        <v>0</v>
      </c>
      <c r="AQ79">
        <f t="shared" si="72"/>
        <v>0</v>
      </c>
      <c r="AR79">
        <f t="shared" si="73"/>
        <v>453019.29163677024</v>
      </c>
      <c r="AS79">
        <f t="shared" si="74"/>
        <v>0</v>
      </c>
      <c r="AT79">
        <f t="shared" si="75"/>
        <v>0</v>
      </c>
      <c r="AU79">
        <f t="shared" si="76"/>
        <v>0</v>
      </c>
    </row>
    <row r="80" spans="1:47" x14ac:dyDescent="0.2">
      <c r="A80">
        <v>79</v>
      </c>
      <c r="B80">
        <f>PoolStates_V2!B80</f>
        <v>0</v>
      </c>
      <c r="C80">
        <f>PoolStates_V2!S80</f>
        <v>1921.1708050847478</v>
      </c>
      <c r="D80">
        <f>PoolStates_V2!T80</f>
        <v>36307.158121565546</v>
      </c>
      <c r="E80">
        <f>PoolStates_V2!Q80</f>
        <v>17.796994477822718</v>
      </c>
      <c r="F80">
        <f t="shared" si="77"/>
        <v>0</v>
      </c>
      <c r="G80">
        <f t="shared" si="78"/>
        <v>0</v>
      </c>
      <c r="H80">
        <f t="shared" si="79"/>
        <v>453019.29163677024</v>
      </c>
      <c r="I80">
        <f t="shared" si="40"/>
        <v>17.796994477822718</v>
      </c>
      <c r="J80">
        <f t="shared" si="41"/>
        <v>0</v>
      </c>
      <c r="K80">
        <f t="shared" si="42"/>
        <v>0</v>
      </c>
      <c r="L80">
        <f t="shared" si="43"/>
        <v>0</v>
      </c>
      <c r="M80">
        <f t="shared" si="44"/>
        <v>0</v>
      </c>
      <c r="N80">
        <f t="shared" si="45"/>
        <v>0</v>
      </c>
      <c r="O80">
        <f t="shared" si="46"/>
        <v>453001.49464229244</v>
      </c>
      <c r="P80">
        <f>M80*Inputs!B6/12</f>
        <v>0</v>
      </c>
      <c r="Q80">
        <f t="shared" si="47"/>
        <v>0</v>
      </c>
      <c r="R80">
        <f>N80*Inputs!B6/12</f>
        <v>0</v>
      </c>
      <c r="S80">
        <f t="shared" si="48"/>
        <v>0</v>
      </c>
      <c r="T80">
        <f t="shared" si="49"/>
        <v>1921.1708050847478</v>
      </c>
      <c r="U80">
        <f t="shared" si="50"/>
        <v>0</v>
      </c>
      <c r="V80">
        <f t="shared" si="51"/>
        <v>1921.1708050847478</v>
      </c>
      <c r="W80">
        <f t="shared" si="52"/>
        <v>36307.158121565546</v>
      </c>
      <c r="X80">
        <f t="shared" si="53"/>
        <v>0</v>
      </c>
      <c r="Y80">
        <f t="shared" si="54"/>
        <v>0</v>
      </c>
      <c r="Z80">
        <f t="shared" si="55"/>
        <v>0</v>
      </c>
      <c r="AA80">
        <f t="shared" si="56"/>
        <v>0</v>
      </c>
      <c r="AB80">
        <f t="shared" si="57"/>
        <v>0</v>
      </c>
      <c r="AC80">
        <f t="shared" si="58"/>
        <v>36307.158121565546</v>
      </c>
      <c r="AD80">
        <f t="shared" si="59"/>
        <v>0</v>
      </c>
      <c r="AE80">
        <f t="shared" si="60"/>
        <v>36307.158121565546</v>
      </c>
      <c r="AF80">
        <f t="shared" si="61"/>
        <v>0</v>
      </c>
      <c r="AG80">
        <f t="shared" si="62"/>
        <v>36307.158121565546</v>
      </c>
      <c r="AH80">
        <f t="shared" si="63"/>
        <v>36307.158121565546</v>
      </c>
      <c r="AI80">
        <f t="shared" si="64"/>
        <v>0</v>
      </c>
      <c r="AJ80">
        <f t="shared" si="65"/>
        <v>0</v>
      </c>
      <c r="AK80">
        <f t="shared" si="66"/>
        <v>36307.158121565546</v>
      </c>
      <c r="AL80">
        <f t="shared" si="67"/>
        <v>0</v>
      </c>
      <c r="AM80">
        <f t="shared" si="68"/>
        <v>0</v>
      </c>
      <c r="AN80">
        <f t="shared" si="69"/>
        <v>36307.158121565546</v>
      </c>
      <c r="AO80">
        <f t="shared" si="70"/>
        <v>0</v>
      </c>
      <c r="AP80">
        <f t="shared" si="71"/>
        <v>0</v>
      </c>
      <c r="AQ80">
        <f t="shared" si="72"/>
        <v>0</v>
      </c>
      <c r="AR80">
        <f t="shared" si="73"/>
        <v>416694.33652072691</v>
      </c>
      <c r="AS80">
        <f t="shared" si="74"/>
        <v>0</v>
      </c>
      <c r="AT80">
        <f t="shared" si="75"/>
        <v>0</v>
      </c>
      <c r="AU80">
        <f t="shared" si="76"/>
        <v>0</v>
      </c>
    </row>
    <row r="81" spans="1:47" x14ac:dyDescent="0.2">
      <c r="A81">
        <v>80</v>
      </c>
      <c r="B81">
        <f>PoolStates_V2!B81</f>
        <v>0</v>
      </c>
      <c r="C81">
        <f>PoolStates_V2!S81</f>
        <v>1767.0920121434449</v>
      </c>
      <c r="D81">
        <f>PoolStates_V2!T81</f>
        <v>33402.338704221758</v>
      </c>
      <c r="E81">
        <f>PoolStates_V2!Q81</f>
        <v>16.38254709049766</v>
      </c>
      <c r="F81">
        <f t="shared" si="77"/>
        <v>0</v>
      </c>
      <c r="G81">
        <f t="shared" si="78"/>
        <v>0</v>
      </c>
      <c r="H81">
        <f t="shared" si="79"/>
        <v>416694.33652072691</v>
      </c>
      <c r="I81">
        <f t="shared" si="40"/>
        <v>16.38254709049766</v>
      </c>
      <c r="J81">
        <f t="shared" si="41"/>
        <v>0</v>
      </c>
      <c r="K81">
        <f t="shared" si="42"/>
        <v>0</v>
      </c>
      <c r="L81">
        <f t="shared" si="43"/>
        <v>0</v>
      </c>
      <c r="M81">
        <f t="shared" si="44"/>
        <v>0</v>
      </c>
      <c r="N81">
        <f t="shared" si="45"/>
        <v>0</v>
      </c>
      <c r="O81">
        <f t="shared" si="46"/>
        <v>416677.95397363644</v>
      </c>
      <c r="P81">
        <f>M81*Inputs!B6/12</f>
        <v>0</v>
      </c>
      <c r="Q81">
        <f t="shared" si="47"/>
        <v>0</v>
      </c>
      <c r="R81">
        <f>N81*Inputs!B6/12</f>
        <v>0</v>
      </c>
      <c r="S81">
        <f t="shared" si="48"/>
        <v>0</v>
      </c>
      <c r="T81">
        <f t="shared" si="49"/>
        <v>1767.0920121434449</v>
      </c>
      <c r="U81">
        <f t="shared" si="50"/>
        <v>0</v>
      </c>
      <c r="V81">
        <f t="shared" si="51"/>
        <v>1767.0920121434449</v>
      </c>
      <c r="W81">
        <f t="shared" si="52"/>
        <v>33402.338704221758</v>
      </c>
      <c r="X81">
        <f t="shared" si="53"/>
        <v>0</v>
      </c>
      <c r="Y81">
        <f t="shared" si="54"/>
        <v>0</v>
      </c>
      <c r="Z81">
        <f t="shared" si="55"/>
        <v>0</v>
      </c>
      <c r="AA81">
        <f t="shared" si="56"/>
        <v>0</v>
      </c>
      <c r="AB81">
        <f t="shared" si="57"/>
        <v>0</v>
      </c>
      <c r="AC81">
        <f t="shared" si="58"/>
        <v>33402.338704221758</v>
      </c>
      <c r="AD81">
        <f t="shared" si="59"/>
        <v>0</v>
      </c>
      <c r="AE81">
        <f t="shared" si="60"/>
        <v>33402.338704221758</v>
      </c>
      <c r="AF81">
        <f t="shared" si="61"/>
        <v>0</v>
      </c>
      <c r="AG81">
        <f t="shared" si="62"/>
        <v>33402.338704221758</v>
      </c>
      <c r="AH81">
        <f t="shared" si="63"/>
        <v>33402.338704221758</v>
      </c>
      <c r="AI81">
        <f t="shared" si="64"/>
        <v>0</v>
      </c>
      <c r="AJ81">
        <f t="shared" si="65"/>
        <v>0</v>
      </c>
      <c r="AK81">
        <f t="shared" si="66"/>
        <v>33402.338704221758</v>
      </c>
      <c r="AL81">
        <f t="shared" si="67"/>
        <v>0</v>
      </c>
      <c r="AM81">
        <f t="shared" si="68"/>
        <v>0</v>
      </c>
      <c r="AN81">
        <f t="shared" si="69"/>
        <v>33402.338704221758</v>
      </c>
      <c r="AO81">
        <f t="shared" si="70"/>
        <v>0</v>
      </c>
      <c r="AP81">
        <f t="shared" si="71"/>
        <v>0</v>
      </c>
      <c r="AQ81">
        <f t="shared" si="72"/>
        <v>0</v>
      </c>
      <c r="AR81">
        <f t="shared" si="73"/>
        <v>383275.61526941467</v>
      </c>
      <c r="AS81">
        <f t="shared" si="74"/>
        <v>0</v>
      </c>
      <c r="AT81">
        <f t="shared" si="75"/>
        <v>0</v>
      </c>
      <c r="AU81">
        <f t="shared" si="76"/>
        <v>0</v>
      </c>
    </row>
    <row r="82" spans="1:47" x14ac:dyDescent="0.2">
      <c r="A82">
        <v>81</v>
      </c>
      <c r="B82">
        <f>PoolStates_V2!B82</f>
        <v>0</v>
      </c>
      <c r="C82">
        <f>PoolStates_V2!S82</f>
        <v>1625.3438957208605</v>
      </c>
      <c r="D82">
        <f>PoolStates_V2!T82</f>
        <v>30729.482833527964</v>
      </c>
      <c r="E82">
        <f>PoolStates_V2!Q82</f>
        <v>15.07990987500494</v>
      </c>
      <c r="F82">
        <f t="shared" si="77"/>
        <v>0</v>
      </c>
      <c r="G82">
        <f t="shared" si="78"/>
        <v>0</v>
      </c>
      <c r="H82">
        <f t="shared" si="79"/>
        <v>383275.61526941467</v>
      </c>
      <c r="I82">
        <f t="shared" si="40"/>
        <v>15.07990987500494</v>
      </c>
      <c r="J82">
        <f t="shared" si="41"/>
        <v>0</v>
      </c>
      <c r="K82">
        <f t="shared" si="42"/>
        <v>0</v>
      </c>
      <c r="L82">
        <f t="shared" si="43"/>
        <v>0</v>
      </c>
      <c r="M82">
        <f t="shared" si="44"/>
        <v>0</v>
      </c>
      <c r="N82">
        <f t="shared" si="45"/>
        <v>0</v>
      </c>
      <c r="O82">
        <f t="shared" si="46"/>
        <v>383260.53535953967</v>
      </c>
      <c r="P82">
        <f>M82*Inputs!B6/12</f>
        <v>0</v>
      </c>
      <c r="Q82">
        <f t="shared" si="47"/>
        <v>0</v>
      </c>
      <c r="R82">
        <f>N82*Inputs!B6/12</f>
        <v>0</v>
      </c>
      <c r="S82">
        <f t="shared" si="48"/>
        <v>0</v>
      </c>
      <c r="T82">
        <f t="shared" si="49"/>
        <v>1625.3438957208605</v>
      </c>
      <c r="U82">
        <f t="shared" si="50"/>
        <v>0</v>
      </c>
      <c r="V82">
        <f t="shared" si="51"/>
        <v>1625.3438957208605</v>
      </c>
      <c r="W82">
        <f t="shared" si="52"/>
        <v>30729.482833527964</v>
      </c>
      <c r="X82">
        <f t="shared" si="53"/>
        <v>0</v>
      </c>
      <c r="Y82">
        <f t="shared" si="54"/>
        <v>0</v>
      </c>
      <c r="Z82">
        <f t="shared" si="55"/>
        <v>0</v>
      </c>
      <c r="AA82">
        <f t="shared" si="56"/>
        <v>0</v>
      </c>
      <c r="AB82">
        <f t="shared" si="57"/>
        <v>0</v>
      </c>
      <c r="AC82">
        <f t="shared" si="58"/>
        <v>30729.482833527964</v>
      </c>
      <c r="AD82">
        <f t="shared" si="59"/>
        <v>0</v>
      </c>
      <c r="AE82">
        <f t="shared" si="60"/>
        <v>30729.482833527964</v>
      </c>
      <c r="AF82">
        <f t="shared" si="61"/>
        <v>0</v>
      </c>
      <c r="AG82">
        <f t="shared" si="62"/>
        <v>30729.482833527964</v>
      </c>
      <c r="AH82">
        <f t="shared" si="63"/>
        <v>30729.482833527964</v>
      </c>
      <c r="AI82">
        <f t="shared" si="64"/>
        <v>0</v>
      </c>
      <c r="AJ82">
        <f t="shared" si="65"/>
        <v>0</v>
      </c>
      <c r="AK82">
        <f t="shared" si="66"/>
        <v>30729.482833527964</v>
      </c>
      <c r="AL82">
        <f t="shared" si="67"/>
        <v>0</v>
      </c>
      <c r="AM82">
        <f t="shared" si="68"/>
        <v>0</v>
      </c>
      <c r="AN82">
        <f t="shared" si="69"/>
        <v>30729.482833527964</v>
      </c>
      <c r="AO82">
        <f t="shared" si="70"/>
        <v>0</v>
      </c>
      <c r="AP82">
        <f t="shared" si="71"/>
        <v>0</v>
      </c>
      <c r="AQ82">
        <f t="shared" si="72"/>
        <v>0</v>
      </c>
      <c r="AR82">
        <f t="shared" si="73"/>
        <v>352531.05252601171</v>
      </c>
      <c r="AS82">
        <f t="shared" si="74"/>
        <v>0</v>
      </c>
      <c r="AT82">
        <f t="shared" si="75"/>
        <v>0</v>
      </c>
      <c r="AU82">
        <f t="shared" si="76"/>
        <v>0</v>
      </c>
    </row>
    <row r="83" spans="1:47" x14ac:dyDescent="0.2">
      <c r="A83">
        <v>82</v>
      </c>
      <c r="B83">
        <f>PoolStates_V2!B83</f>
        <v>0</v>
      </c>
      <c r="C83">
        <f>PoolStates_V2!S83</f>
        <v>1494.9414102275714</v>
      </c>
      <c r="D83">
        <f>PoolStates_V2!T83</f>
        <v>28270.096399186252</v>
      </c>
      <c r="E83">
        <f>PoolStates_V2!Q83</f>
        <v>13.880310807623859</v>
      </c>
      <c r="F83">
        <f t="shared" si="77"/>
        <v>0</v>
      </c>
      <c r="G83">
        <f t="shared" si="78"/>
        <v>0</v>
      </c>
      <c r="H83">
        <f t="shared" si="79"/>
        <v>352531.05252601171</v>
      </c>
      <c r="I83">
        <f t="shared" si="40"/>
        <v>13.880310807623859</v>
      </c>
      <c r="J83">
        <f t="shared" si="41"/>
        <v>0</v>
      </c>
      <c r="K83">
        <f t="shared" si="42"/>
        <v>0</v>
      </c>
      <c r="L83">
        <f t="shared" si="43"/>
        <v>0</v>
      </c>
      <c r="M83">
        <f t="shared" si="44"/>
        <v>0</v>
      </c>
      <c r="N83">
        <f t="shared" si="45"/>
        <v>0</v>
      </c>
      <c r="O83">
        <f t="shared" si="46"/>
        <v>352517.1722152041</v>
      </c>
      <c r="P83">
        <f>M83*Inputs!B6/12</f>
        <v>0</v>
      </c>
      <c r="Q83">
        <f t="shared" si="47"/>
        <v>0</v>
      </c>
      <c r="R83">
        <f>N83*Inputs!B6/12</f>
        <v>0</v>
      </c>
      <c r="S83">
        <f t="shared" si="48"/>
        <v>0</v>
      </c>
      <c r="T83">
        <f t="shared" si="49"/>
        <v>1494.9414102275714</v>
      </c>
      <c r="U83">
        <f t="shared" si="50"/>
        <v>0</v>
      </c>
      <c r="V83">
        <f t="shared" si="51"/>
        <v>1494.9414102275714</v>
      </c>
      <c r="W83">
        <f t="shared" si="52"/>
        <v>28270.096399186252</v>
      </c>
      <c r="X83">
        <f t="shared" si="53"/>
        <v>0</v>
      </c>
      <c r="Y83">
        <f t="shared" si="54"/>
        <v>0</v>
      </c>
      <c r="Z83">
        <f t="shared" si="55"/>
        <v>0</v>
      </c>
      <c r="AA83">
        <f t="shared" si="56"/>
        <v>0</v>
      </c>
      <c r="AB83">
        <f t="shared" si="57"/>
        <v>0</v>
      </c>
      <c r="AC83">
        <f t="shared" si="58"/>
        <v>28270.096399186252</v>
      </c>
      <c r="AD83">
        <f t="shared" si="59"/>
        <v>0</v>
      </c>
      <c r="AE83">
        <f t="shared" si="60"/>
        <v>28270.096399186252</v>
      </c>
      <c r="AF83">
        <f t="shared" si="61"/>
        <v>0</v>
      </c>
      <c r="AG83">
        <f t="shared" si="62"/>
        <v>28270.096399186252</v>
      </c>
      <c r="AH83">
        <f t="shared" si="63"/>
        <v>28270.096399186252</v>
      </c>
      <c r="AI83">
        <f t="shared" si="64"/>
        <v>0</v>
      </c>
      <c r="AJ83">
        <f t="shared" si="65"/>
        <v>0</v>
      </c>
      <c r="AK83">
        <f t="shared" si="66"/>
        <v>28270.096399186252</v>
      </c>
      <c r="AL83">
        <f t="shared" si="67"/>
        <v>0</v>
      </c>
      <c r="AM83">
        <f t="shared" si="68"/>
        <v>0</v>
      </c>
      <c r="AN83">
        <f t="shared" si="69"/>
        <v>28270.096399186252</v>
      </c>
      <c r="AO83">
        <f t="shared" si="70"/>
        <v>0</v>
      </c>
      <c r="AP83">
        <f t="shared" si="71"/>
        <v>0</v>
      </c>
      <c r="AQ83">
        <f t="shared" si="72"/>
        <v>0</v>
      </c>
      <c r="AR83">
        <f t="shared" si="73"/>
        <v>324247.07581601787</v>
      </c>
      <c r="AS83">
        <f t="shared" si="74"/>
        <v>0</v>
      </c>
      <c r="AT83">
        <f t="shared" si="75"/>
        <v>0</v>
      </c>
      <c r="AU83">
        <f t="shared" si="76"/>
        <v>0</v>
      </c>
    </row>
    <row r="84" spans="1:47" x14ac:dyDescent="0.2">
      <c r="A84">
        <v>83</v>
      </c>
      <c r="B84">
        <f>PoolStates_V2!B84</f>
        <v>0</v>
      </c>
      <c r="C84">
        <f>PoolStates_V2!S84</f>
        <v>1374.9780926551762</v>
      </c>
      <c r="D84">
        <f>PoolStates_V2!T84</f>
        <v>26007.158001168787</v>
      </c>
      <c r="E84">
        <f>PoolStates_V2!Q84</f>
        <v>12.775658246896995</v>
      </c>
      <c r="F84">
        <f t="shared" si="77"/>
        <v>0</v>
      </c>
      <c r="G84">
        <f t="shared" si="78"/>
        <v>0</v>
      </c>
      <c r="H84">
        <f t="shared" si="79"/>
        <v>324247.07581601787</v>
      </c>
      <c r="I84">
        <f t="shared" si="40"/>
        <v>12.775658246896995</v>
      </c>
      <c r="J84">
        <f t="shared" si="41"/>
        <v>0</v>
      </c>
      <c r="K84">
        <f t="shared" si="42"/>
        <v>0</v>
      </c>
      <c r="L84">
        <f t="shared" si="43"/>
        <v>0</v>
      </c>
      <c r="M84">
        <f t="shared" si="44"/>
        <v>0</v>
      </c>
      <c r="N84">
        <f t="shared" si="45"/>
        <v>0</v>
      </c>
      <c r="O84">
        <f t="shared" si="46"/>
        <v>324234.30015777098</v>
      </c>
      <c r="P84">
        <f>M84*Inputs!B6/12</f>
        <v>0</v>
      </c>
      <c r="Q84">
        <f t="shared" si="47"/>
        <v>0</v>
      </c>
      <c r="R84">
        <f>N84*Inputs!B6/12</f>
        <v>0</v>
      </c>
      <c r="S84">
        <f t="shared" si="48"/>
        <v>0</v>
      </c>
      <c r="T84">
        <f t="shared" si="49"/>
        <v>1374.9780926551762</v>
      </c>
      <c r="U84">
        <f t="shared" si="50"/>
        <v>0</v>
      </c>
      <c r="V84">
        <f t="shared" si="51"/>
        <v>1374.9780926551762</v>
      </c>
      <c r="W84">
        <f t="shared" si="52"/>
        <v>26007.158001168787</v>
      </c>
      <c r="X84">
        <f t="shared" si="53"/>
        <v>0</v>
      </c>
      <c r="Y84">
        <f t="shared" si="54"/>
        <v>0</v>
      </c>
      <c r="Z84">
        <f t="shared" si="55"/>
        <v>0</v>
      </c>
      <c r="AA84">
        <f t="shared" si="56"/>
        <v>0</v>
      </c>
      <c r="AB84">
        <f t="shared" si="57"/>
        <v>0</v>
      </c>
      <c r="AC84">
        <f t="shared" si="58"/>
        <v>26007.158001168787</v>
      </c>
      <c r="AD84">
        <f t="shared" si="59"/>
        <v>0</v>
      </c>
      <c r="AE84">
        <f t="shared" si="60"/>
        <v>26007.158001168787</v>
      </c>
      <c r="AF84">
        <f t="shared" si="61"/>
        <v>0</v>
      </c>
      <c r="AG84">
        <f t="shared" si="62"/>
        <v>26007.158001168787</v>
      </c>
      <c r="AH84">
        <f t="shared" si="63"/>
        <v>26007.158001168787</v>
      </c>
      <c r="AI84">
        <f t="shared" si="64"/>
        <v>0</v>
      </c>
      <c r="AJ84">
        <f t="shared" si="65"/>
        <v>0</v>
      </c>
      <c r="AK84">
        <f t="shared" si="66"/>
        <v>26007.158001168787</v>
      </c>
      <c r="AL84">
        <f t="shared" si="67"/>
        <v>0</v>
      </c>
      <c r="AM84">
        <f t="shared" si="68"/>
        <v>0</v>
      </c>
      <c r="AN84">
        <f t="shared" si="69"/>
        <v>26007.158001168787</v>
      </c>
      <c r="AO84">
        <f t="shared" si="70"/>
        <v>0</v>
      </c>
      <c r="AP84">
        <f t="shared" si="71"/>
        <v>0</v>
      </c>
      <c r="AQ84">
        <f t="shared" si="72"/>
        <v>0</v>
      </c>
      <c r="AR84">
        <f t="shared" si="73"/>
        <v>298227.14215660217</v>
      </c>
      <c r="AS84">
        <f t="shared" si="74"/>
        <v>0</v>
      </c>
      <c r="AT84">
        <f t="shared" si="75"/>
        <v>0</v>
      </c>
      <c r="AU84">
        <f t="shared" si="76"/>
        <v>0</v>
      </c>
    </row>
    <row r="85" spans="1:47" x14ac:dyDescent="0.2">
      <c r="A85">
        <v>84</v>
      </c>
      <c r="B85">
        <f>PoolStates_V2!B85</f>
        <v>0</v>
      </c>
      <c r="C85">
        <f>PoolStates_V2!S85</f>
        <v>1264.6197991472468</v>
      </c>
      <c r="D85">
        <f>PoolStates_V2!T85</f>
        <v>23925.001765918994</v>
      </c>
      <c r="E85">
        <f>PoolStates_V2!Q85</f>
        <v>11.758489132380218</v>
      </c>
      <c r="F85">
        <f t="shared" si="77"/>
        <v>0</v>
      </c>
      <c r="G85">
        <f t="shared" si="78"/>
        <v>0</v>
      </c>
      <c r="H85">
        <f t="shared" si="79"/>
        <v>298227.14215660217</v>
      </c>
      <c r="I85">
        <f t="shared" si="40"/>
        <v>11.758489132380218</v>
      </c>
      <c r="J85">
        <f t="shared" si="41"/>
        <v>0</v>
      </c>
      <c r="K85">
        <f t="shared" si="42"/>
        <v>0</v>
      </c>
      <c r="L85">
        <f t="shared" si="43"/>
        <v>0</v>
      </c>
      <c r="M85">
        <f t="shared" si="44"/>
        <v>0</v>
      </c>
      <c r="N85">
        <f t="shared" si="45"/>
        <v>0</v>
      </c>
      <c r="O85">
        <f t="shared" si="46"/>
        <v>298215.38366746978</v>
      </c>
      <c r="P85">
        <f>M85*Inputs!B6/12</f>
        <v>0</v>
      </c>
      <c r="Q85">
        <f t="shared" si="47"/>
        <v>0</v>
      </c>
      <c r="R85">
        <f>N85*Inputs!B6/12</f>
        <v>0</v>
      </c>
      <c r="S85">
        <f t="shared" si="48"/>
        <v>0</v>
      </c>
      <c r="T85">
        <f t="shared" si="49"/>
        <v>1264.6197991472468</v>
      </c>
      <c r="U85">
        <f t="shared" si="50"/>
        <v>0</v>
      </c>
      <c r="V85">
        <f t="shared" si="51"/>
        <v>1264.6197991472468</v>
      </c>
      <c r="W85">
        <f t="shared" si="52"/>
        <v>23925.001765918994</v>
      </c>
      <c r="X85">
        <f t="shared" si="53"/>
        <v>0</v>
      </c>
      <c r="Y85">
        <f t="shared" si="54"/>
        <v>0</v>
      </c>
      <c r="Z85">
        <f t="shared" si="55"/>
        <v>0</v>
      </c>
      <c r="AA85">
        <f t="shared" si="56"/>
        <v>0</v>
      </c>
      <c r="AB85">
        <f t="shared" si="57"/>
        <v>0</v>
      </c>
      <c r="AC85">
        <f t="shared" si="58"/>
        <v>23925.001765918994</v>
      </c>
      <c r="AD85">
        <f t="shared" si="59"/>
        <v>0</v>
      </c>
      <c r="AE85">
        <f t="shared" si="60"/>
        <v>23925.001765918994</v>
      </c>
      <c r="AF85">
        <f t="shared" si="61"/>
        <v>0</v>
      </c>
      <c r="AG85">
        <f t="shared" si="62"/>
        <v>23925.001765918994</v>
      </c>
      <c r="AH85">
        <f t="shared" si="63"/>
        <v>23925.001765918994</v>
      </c>
      <c r="AI85">
        <f t="shared" si="64"/>
        <v>0</v>
      </c>
      <c r="AJ85">
        <f t="shared" si="65"/>
        <v>0</v>
      </c>
      <c r="AK85">
        <f t="shared" si="66"/>
        <v>23925.001765918994</v>
      </c>
      <c r="AL85">
        <f t="shared" si="67"/>
        <v>0</v>
      </c>
      <c r="AM85">
        <f t="shared" si="68"/>
        <v>0</v>
      </c>
      <c r="AN85">
        <f t="shared" si="69"/>
        <v>23925.001765918994</v>
      </c>
      <c r="AO85">
        <f t="shared" si="70"/>
        <v>0</v>
      </c>
      <c r="AP85">
        <f t="shared" si="71"/>
        <v>0</v>
      </c>
      <c r="AQ85">
        <f t="shared" si="72"/>
        <v>0</v>
      </c>
      <c r="AR85">
        <f t="shared" si="73"/>
        <v>274290.38190155081</v>
      </c>
      <c r="AS85">
        <f t="shared" si="74"/>
        <v>0</v>
      </c>
      <c r="AT85">
        <f t="shared" si="75"/>
        <v>0</v>
      </c>
      <c r="AU85">
        <f t="shared" si="76"/>
        <v>0</v>
      </c>
    </row>
    <row r="86" spans="1:47" x14ac:dyDescent="0.2">
      <c r="A86">
        <v>85</v>
      </c>
      <c r="B86">
        <f>PoolStates_V2!B86</f>
        <v>0</v>
      </c>
      <c r="C86">
        <f>PoolStates_V2!S86</f>
        <v>1163.0989406905865</v>
      </c>
      <c r="D86">
        <f>PoolStates_V2!T86</f>
        <v>22009.209485489908</v>
      </c>
      <c r="E86">
        <f>PoolStates_V2!Q86</f>
        <v>10.821921001979378</v>
      </c>
      <c r="F86">
        <f t="shared" si="77"/>
        <v>0</v>
      </c>
      <c r="G86">
        <f t="shared" si="78"/>
        <v>0</v>
      </c>
      <c r="H86">
        <f t="shared" si="79"/>
        <v>274290.38190155081</v>
      </c>
      <c r="I86">
        <f t="shared" si="40"/>
        <v>10.821921001979378</v>
      </c>
      <c r="J86">
        <f t="shared" si="41"/>
        <v>0</v>
      </c>
      <c r="K86">
        <f t="shared" si="42"/>
        <v>0</v>
      </c>
      <c r="L86">
        <f t="shared" si="43"/>
        <v>0</v>
      </c>
      <c r="M86">
        <f t="shared" si="44"/>
        <v>0</v>
      </c>
      <c r="N86">
        <f t="shared" si="45"/>
        <v>0</v>
      </c>
      <c r="O86">
        <f t="shared" si="46"/>
        <v>274279.5599805488</v>
      </c>
      <c r="P86">
        <f>M86*Inputs!B6/12</f>
        <v>0</v>
      </c>
      <c r="Q86">
        <f t="shared" si="47"/>
        <v>0</v>
      </c>
      <c r="R86">
        <f>N86*Inputs!B6/12</f>
        <v>0</v>
      </c>
      <c r="S86">
        <f t="shared" si="48"/>
        <v>0</v>
      </c>
      <c r="T86">
        <f t="shared" si="49"/>
        <v>1163.0989406905865</v>
      </c>
      <c r="U86">
        <f t="shared" si="50"/>
        <v>0</v>
      </c>
      <c r="V86">
        <f t="shared" si="51"/>
        <v>1163.0989406905865</v>
      </c>
      <c r="W86">
        <f t="shared" si="52"/>
        <v>22009.209485489908</v>
      </c>
      <c r="X86">
        <f t="shared" si="53"/>
        <v>0</v>
      </c>
      <c r="Y86">
        <f t="shared" si="54"/>
        <v>0</v>
      </c>
      <c r="Z86">
        <f t="shared" si="55"/>
        <v>0</v>
      </c>
      <c r="AA86">
        <f t="shared" si="56"/>
        <v>0</v>
      </c>
      <c r="AB86">
        <f t="shared" si="57"/>
        <v>0</v>
      </c>
      <c r="AC86">
        <f t="shared" si="58"/>
        <v>22009.209485489908</v>
      </c>
      <c r="AD86">
        <f t="shared" si="59"/>
        <v>0</v>
      </c>
      <c r="AE86">
        <f t="shared" si="60"/>
        <v>22009.209485489908</v>
      </c>
      <c r="AF86">
        <f t="shared" si="61"/>
        <v>0</v>
      </c>
      <c r="AG86">
        <f t="shared" si="62"/>
        <v>22009.209485489908</v>
      </c>
      <c r="AH86">
        <f t="shared" si="63"/>
        <v>22009.209485489908</v>
      </c>
      <c r="AI86">
        <f t="shared" si="64"/>
        <v>0</v>
      </c>
      <c r="AJ86">
        <f t="shared" si="65"/>
        <v>0</v>
      </c>
      <c r="AK86">
        <f t="shared" si="66"/>
        <v>22009.209485489908</v>
      </c>
      <c r="AL86">
        <f t="shared" si="67"/>
        <v>0</v>
      </c>
      <c r="AM86">
        <f t="shared" si="68"/>
        <v>0</v>
      </c>
      <c r="AN86">
        <f t="shared" si="69"/>
        <v>22009.209485489908</v>
      </c>
      <c r="AO86">
        <f t="shared" si="70"/>
        <v>0</v>
      </c>
      <c r="AP86">
        <f t="shared" si="71"/>
        <v>0</v>
      </c>
      <c r="AQ86">
        <f t="shared" si="72"/>
        <v>0</v>
      </c>
      <c r="AR86">
        <f t="shared" si="73"/>
        <v>252270.3504950589</v>
      </c>
      <c r="AS86">
        <f t="shared" si="74"/>
        <v>0</v>
      </c>
      <c r="AT86">
        <f t="shared" si="75"/>
        <v>0</v>
      </c>
      <c r="AU86">
        <f t="shared" si="76"/>
        <v>0</v>
      </c>
    </row>
    <row r="87" spans="1:47" x14ac:dyDescent="0.2">
      <c r="A87">
        <v>86</v>
      </c>
      <c r="B87">
        <f>PoolStates_V2!B87</f>
        <v>0</v>
      </c>
      <c r="C87">
        <f>PoolStates_V2!S87</f>
        <v>1069.7091781226413</v>
      </c>
      <c r="D87">
        <f>PoolStates_V2!T87</f>
        <v>20246.511337343076</v>
      </c>
      <c r="E87">
        <f>PoolStates_V2!Q87</f>
        <v>9.9596075631217058</v>
      </c>
      <c r="F87">
        <f t="shared" si="77"/>
        <v>0</v>
      </c>
      <c r="G87">
        <f t="shared" si="78"/>
        <v>0</v>
      </c>
      <c r="H87">
        <f t="shared" si="79"/>
        <v>252270.3504950589</v>
      </c>
      <c r="I87">
        <f t="shared" si="40"/>
        <v>9.9596075631217058</v>
      </c>
      <c r="J87">
        <f t="shared" si="41"/>
        <v>0</v>
      </c>
      <c r="K87">
        <f t="shared" si="42"/>
        <v>0</v>
      </c>
      <c r="L87">
        <f t="shared" si="43"/>
        <v>0</v>
      </c>
      <c r="M87">
        <f t="shared" si="44"/>
        <v>0</v>
      </c>
      <c r="N87">
        <f t="shared" si="45"/>
        <v>0</v>
      </c>
      <c r="O87">
        <f t="shared" si="46"/>
        <v>252260.39088749577</v>
      </c>
      <c r="P87">
        <f>M87*Inputs!B6/12</f>
        <v>0</v>
      </c>
      <c r="Q87">
        <f t="shared" si="47"/>
        <v>0</v>
      </c>
      <c r="R87">
        <f>N87*Inputs!B6/12</f>
        <v>0</v>
      </c>
      <c r="S87">
        <f t="shared" si="48"/>
        <v>0</v>
      </c>
      <c r="T87">
        <f t="shared" si="49"/>
        <v>1069.7091781226413</v>
      </c>
      <c r="U87">
        <f t="shared" si="50"/>
        <v>0</v>
      </c>
      <c r="V87">
        <f t="shared" si="51"/>
        <v>1069.7091781226413</v>
      </c>
      <c r="W87">
        <f t="shared" si="52"/>
        <v>20246.511337343076</v>
      </c>
      <c r="X87">
        <f t="shared" si="53"/>
        <v>0</v>
      </c>
      <c r="Y87">
        <f t="shared" si="54"/>
        <v>0</v>
      </c>
      <c r="Z87">
        <f t="shared" si="55"/>
        <v>0</v>
      </c>
      <c r="AA87">
        <f t="shared" si="56"/>
        <v>0</v>
      </c>
      <c r="AB87">
        <f t="shared" si="57"/>
        <v>0</v>
      </c>
      <c r="AC87">
        <f t="shared" si="58"/>
        <v>20246.511337343076</v>
      </c>
      <c r="AD87">
        <f t="shared" si="59"/>
        <v>0</v>
      </c>
      <c r="AE87">
        <f t="shared" si="60"/>
        <v>20246.511337343076</v>
      </c>
      <c r="AF87">
        <f t="shared" si="61"/>
        <v>0</v>
      </c>
      <c r="AG87">
        <f t="shared" si="62"/>
        <v>20246.511337343076</v>
      </c>
      <c r="AH87">
        <f t="shared" si="63"/>
        <v>20246.511337343076</v>
      </c>
      <c r="AI87">
        <f t="shared" si="64"/>
        <v>0</v>
      </c>
      <c r="AJ87">
        <f t="shared" si="65"/>
        <v>0</v>
      </c>
      <c r="AK87">
        <f t="shared" si="66"/>
        <v>20246.511337343076</v>
      </c>
      <c r="AL87">
        <f t="shared" si="67"/>
        <v>0</v>
      </c>
      <c r="AM87">
        <f t="shared" si="68"/>
        <v>0</v>
      </c>
      <c r="AN87">
        <f t="shared" si="69"/>
        <v>20246.511337343076</v>
      </c>
      <c r="AO87">
        <f t="shared" si="70"/>
        <v>0</v>
      </c>
      <c r="AP87">
        <f t="shared" si="71"/>
        <v>0</v>
      </c>
      <c r="AQ87">
        <f t="shared" si="72"/>
        <v>0</v>
      </c>
      <c r="AR87">
        <f t="shared" si="73"/>
        <v>232013.87955015269</v>
      </c>
      <c r="AS87">
        <f t="shared" si="74"/>
        <v>0</v>
      </c>
      <c r="AT87">
        <f t="shared" si="75"/>
        <v>0</v>
      </c>
      <c r="AU87">
        <f t="shared" si="76"/>
        <v>0</v>
      </c>
    </row>
    <row r="88" spans="1:47" x14ac:dyDescent="0.2">
      <c r="A88">
        <v>87</v>
      </c>
      <c r="B88">
        <f>PoolStates_V2!B88</f>
        <v>0</v>
      </c>
      <c r="C88">
        <f>PoolStates_V2!S88</f>
        <v>983.80053983235416</v>
      </c>
      <c r="D88">
        <f>PoolStates_V2!T88</f>
        <v>18624.694501756218</v>
      </c>
      <c r="E88">
        <f>PoolStates_V2!Q88</f>
        <v>9.1656975690372793</v>
      </c>
      <c r="F88">
        <f t="shared" si="77"/>
        <v>0</v>
      </c>
      <c r="G88">
        <f t="shared" si="78"/>
        <v>0</v>
      </c>
      <c r="H88">
        <f t="shared" si="79"/>
        <v>232013.87955015269</v>
      </c>
      <c r="I88">
        <f t="shared" si="40"/>
        <v>9.1656975690372793</v>
      </c>
      <c r="J88">
        <f t="shared" si="41"/>
        <v>0</v>
      </c>
      <c r="K88">
        <f t="shared" si="42"/>
        <v>0</v>
      </c>
      <c r="L88">
        <f t="shared" si="43"/>
        <v>0</v>
      </c>
      <c r="M88">
        <f t="shared" si="44"/>
        <v>0</v>
      </c>
      <c r="N88">
        <f t="shared" si="45"/>
        <v>0</v>
      </c>
      <c r="O88">
        <f t="shared" si="46"/>
        <v>232004.71385258366</v>
      </c>
      <c r="P88">
        <f>M88*Inputs!B6/12</f>
        <v>0</v>
      </c>
      <c r="Q88">
        <f t="shared" si="47"/>
        <v>0</v>
      </c>
      <c r="R88">
        <f>N88*Inputs!B6/12</f>
        <v>0</v>
      </c>
      <c r="S88">
        <f t="shared" si="48"/>
        <v>0</v>
      </c>
      <c r="T88">
        <f t="shared" si="49"/>
        <v>983.80053983235416</v>
      </c>
      <c r="U88">
        <f t="shared" si="50"/>
        <v>0</v>
      </c>
      <c r="V88">
        <f t="shared" si="51"/>
        <v>983.80053983235416</v>
      </c>
      <c r="W88">
        <f t="shared" si="52"/>
        <v>18624.694501756218</v>
      </c>
      <c r="X88">
        <f t="shared" si="53"/>
        <v>0</v>
      </c>
      <c r="Y88">
        <f t="shared" si="54"/>
        <v>0</v>
      </c>
      <c r="Z88">
        <f t="shared" si="55"/>
        <v>0</v>
      </c>
      <c r="AA88">
        <f t="shared" si="56"/>
        <v>0</v>
      </c>
      <c r="AB88">
        <f t="shared" si="57"/>
        <v>0</v>
      </c>
      <c r="AC88">
        <f t="shared" si="58"/>
        <v>18624.694501756218</v>
      </c>
      <c r="AD88">
        <f t="shared" si="59"/>
        <v>0</v>
      </c>
      <c r="AE88">
        <f t="shared" si="60"/>
        <v>18624.694501756218</v>
      </c>
      <c r="AF88">
        <f t="shared" si="61"/>
        <v>0</v>
      </c>
      <c r="AG88">
        <f t="shared" si="62"/>
        <v>18624.694501756218</v>
      </c>
      <c r="AH88">
        <f t="shared" si="63"/>
        <v>18624.694501756218</v>
      </c>
      <c r="AI88">
        <f t="shared" si="64"/>
        <v>0</v>
      </c>
      <c r="AJ88">
        <f t="shared" si="65"/>
        <v>0</v>
      </c>
      <c r="AK88">
        <f t="shared" si="66"/>
        <v>18624.694501756218</v>
      </c>
      <c r="AL88">
        <f t="shared" si="67"/>
        <v>0</v>
      </c>
      <c r="AM88">
        <f t="shared" si="68"/>
        <v>0</v>
      </c>
      <c r="AN88">
        <f t="shared" si="69"/>
        <v>18624.694501756218</v>
      </c>
      <c r="AO88">
        <f t="shared" si="70"/>
        <v>0</v>
      </c>
      <c r="AP88">
        <f t="shared" si="71"/>
        <v>0</v>
      </c>
      <c r="AQ88">
        <f t="shared" si="72"/>
        <v>0</v>
      </c>
      <c r="AR88">
        <f t="shared" si="73"/>
        <v>213380.01935082744</v>
      </c>
      <c r="AS88">
        <f t="shared" si="74"/>
        <v>0</v>
      </c>
      <c r="AT88">
        <f t="shared" si="75"/>
        <v>0</v>
      </c>
      <c r="AU88">
        <f t="shared" si="76"/>
        <v>0</v>
      </c>
    </row>
    <row r="89" spans="1:47" x14ac:dyDescent="0.2">
      <c r="A89">
        <v>88</v>
      </c>
      <c r="B89">
        <f>PoolStates_V2!B89</f>
        <v>0</v>
      </c>
      <c r="C89">
        <f>PoolStates_V2!S89</f>
        <v>904.77492845772929</v>
      </c>
      <c r="D89">
        <f>PoolStates_V2!T89</f>
        <v>17132.519048267492</v>
      </c>
      <c r="E89">
        <f>PoolStates_V2!Q89</f>
        <v>8.4347967668286898</v>
      </c>
      <c r="F89">
        <f t="shared" si="77"/>
        <v>0</v>
      </c>
      <c r="G89">
        <f t="shared" si="78"/>
        <v>0</v>
      </c>
      <c r="H89">
        <f t="shared" si="79"/>
        <v>213380.01935082744</v>
      </c>
      <c r="I89">
        <f t="shared" si="40"/>
        <v>8.4347967668286898</v>
      </c>
      <c r="J89">
        <f t="shared" si="41"/>
        <v>0</v>
      </c>
      <c r="K89">
        <f t="shared" si="42"/>
        <v>0</v>
      </c>
      <c r="L89">
        <f t="shared" si="43"/>
        <v>0</v>
      </c>
      <c r="M89">
        <f t="shared" si="44"/>
        <v>0</v>
      </c>
      <c r="N89">
        <f t="shared" si="45"/>
        <v>0</v>
      </c>
      <c r="O89">
        <f t="shared" si="46"/>
        <v>213371.58455406062</v>
      </c>
      <c r="P89">
        <f>M89*Inputs!B6/12</f>
        <v>0</v>
      </c>
      <c r="Q89">
        <f t="shared" si="47"/>
        <v>0</v>
      </c>
      <c r="R89">
        <f>N89*Inputs!B6/12</f>
        <v>0</v>
      </c>
      <c r="S89">
        <f t="shared" si="48"/>
        <v>0</v>
      </c>
      <c r="T89">
        <f t="shared" si="49"/>
        <v>904.77492845772929</v>
      </c>
      <c r="U89">
        <f t="shared" si="50"/>
        <v>0</v>
      </c>
      <c r="V89">
        <f t="shared" si="51"/>
        <v>904.77492845772929</v>
      </c>
      <c r="W89">
        <f t="shared" si="52"/>
        <v>17132.519048267492</v>
      </c>
      <c r="X89">
        <f t="shared" si="53"/>
        <v>0</v>
      </c>
      <c r="Y89">
        <f t="shared" si="54"/>
        <v>0</v>
      </c>
      <c r="Z89">
        <f t="shared" si="55"/>
        <v>0</v>
      </c>
      <c r="AA89">
        <f t="shared" si="56"/>
        <v>0</v>
      </c>
      <c r="AB89">
        <f t="shared" si="57"/>
        <v>0</v>
      </c>
      <c r="AC89">
        <f t="shared" si="58"/>
        <v>17132.519048267492</v>
      </c>
      <c r="AD89">
        <f t="shared" si="59"/>
        <v>0</v>
      </c>
      <c r="AE89">
        <f t="shared" si="60"/>
        <v>17132.519048267492</v>
      </c>
      <c r="AF89">
        <f t="shared" si="61"/>
        <v>0</v>
      </c>
      <c r="AG89">
        <f t="shared" si="62"/>
        <v>17132.519048267492</v>
      </c>
      <c r="AH89">
        <f t="shared" si="63"/>
        <v>17132.519048267492</v>
      </c>
      <c r="AI89">
        <f t="shared" si="64"/>
        <v>0</v>
      </c>
      <c r="AJ89">
        <f t="shared" si="65"/>
        <v>0</v>
      </c>
      <c r="AK89">
        <f t="shared" si="66"/>
        <v>17132.519048267492</v>
      </c>
      <c r="AL89">
        <f t="shared" si="67"/>
        <v>0</v>
      </c>
      <c r="AM89">
        <f t="shared" si="68"/>
        <v>0</v>
      </c>
      <c r="AN89">
        <f t="shared" si="69"/>
        <v>17132.519048267492</v>
      </c>
      <c r="AO89">
        <f t="shared" si="70"/>
        <v>0</v>
      </c>
      <c r="AP89">
        <f t="shared" si="71"/>
        <v>0</v>
      </c>
      <c r="AQ89">
        <f t="shared" si="72"/>
        <v>0</v>
      </c>
      <c r="AR89">
        <f t="shared" si="73"/>
        <v>196239.06550579314</v>
      </c>
      <c r="AS89">
        <f t="shared" si="74"/>
        <v>0</v>
      </c>
      <c r="AT89">
        <f t="shared" si="75"/>
        <v>0</v>
      </c>
      <c r="AU89">
        <f t="shared" si="76"/>
        <v>0</v>
      </c>
    </row>
    <row r="90" spans="1:47" x14ac:dyDescent="0.2">
      <c r="A90">
        <v>89</v>
      </c>
      <c r="B90">
        <f>PoolStates_V2!B90</f>
        <v>0</v>
      </c>
      <c r="C90">
        <f>PoolStates_V2!S90</f>
        <v>832.08198557462958</v>
      </c>
      <c r="D90">
        <f>PoolStates_V2!T90</f>
        <v>15759.640512700818</v>
      </c>
      <c r="E90">
        <f>PoolStates_V2!Q90</f>
        <v>7.7619326987510444</v>
      </c>
      <c r="F90">
        <f t="shared" si="77"/>
        <v>0</v>
      </c>
      <c r="G90">
        <f t="shared" si="78"/>
        <v>0</v>
      </c>
      <c r="H90">
        <f t="shared" si="79"/>
        <v>196239.06550579314</v>
      </c>
      <c r="I90">
        <f t="shared" si="40"/>
        <v>7.7619326987510444</v>
      </c>
      <c r="J90">
        <f t="shared" si="41"/>
        <v>0</v>
      </c>
      <c r="K90">
        <f t="shared" si="42"/>
        <v>0</v>
      </c>
      <c r="L90">
        <f t="shared" si="43"/>
        <v>0</v>
      </c>
      <c r="M90">
        <f t="shared" si="44"/>
        <v>0</v>
      </c>
      <c r="N90">
        <f t="shared" si="45"/>
        <v>0</v>
      </c>
      <c r="O90">
        <f t="shared" si="46"/>
        <v>196231.3035730944</v>
      </c>
      <c r="P90">
        <f>M90*Inputs!B6/12</f>
        <v>0</v>
      </c>
      <c r="Q90">
        <f t="shared" si="47"/>
        <v>0</v>
      </c>
      <c r="R90">
        <f>N90*Inputs!B6/12</f>
        <v>0</v>
      </c>
      <c r="S90">
        <f t="shared" si="48"/>
        <v>0</v>
      </c>
      <c r="T90">
        <f t="shared" si="49"/>
        <v>832.08198557462958</v>
      </c>
      <c r="U90">
        <f t="shared" si="50"/>
        <v>0</v>
      </c>
      <c r="V90">
        <f t="shared" si="51"/>
        <v>832.08198557462958</v>
      </c>
      <c r="W90">
        <f t="shared" si="52"/>
        <v>15759.640512700818</v>
      </c>
      <c r="X90">
        <f t="shared" si="53"/>
        <v>0</v>
      </c>
      <c r="Y90">
        <f t="shared" si="54"/>
        <v>0</v>
      </c>
      <c r="Z90">
        <f t="shared" si="55"/>
        <v>0</v>
      </c>
      <c r="AA90">
        <f t="shared" si="56"/>
        <v>0</v>
      </c>
      <c r="AB90">
        <f t="shared" si="57"/>
        <v>0</v>
      </c>
      <c r="AC90">
        <f t="shared" si="58"/>
        <v>15759.640512700818</v>
      </c>
      <c r="AD90">
        <f t="shared" si="59"/>
        <v>0</v>
      </c>
      <c r="AE90">
        <f t="shared" si="60"/>
        <v>15759.640512700818</v>
      </c>
      <c r="AF90">
        <f t="shared" si="61"/>
        <v>0</v>
      </c>
      <c r="AG90">
        <f t="shared" si="62"/>
        <v>15759.640512700818</v>
      </c>
      <c r="AH90">
        <f t="shared" si="63"/>
        <v>15759.640512700818</v>
      </c>
      <c r="AI90">
        <f t="shared" si="64"/>
        <v>0</v>
      </c>
      <c r="AJ90">
        <f t="shared" si="65"/>
        <v>0</v>
      </c>
      <c r="AK90">
        <f t="shared" si="66"/>
        <v>15759.640512700818</v>
      </c>
      <c r="AL90">
        <f t="shared" si="67"/>
        <v>0</v>
      </c>
      <c r="AM90">
        <f t="shared" si="68"/>
        <v>0</v>
      </c>
      <c r="AN90">
        <f t="shared" si="69"/>
        <v>15759.640512700818</v>
      </c>
      <c r="AO90">
        <f t="shared" si="70"/>
        <v>0</v>
      </c>
      <c r="AP90">
        <f t="shared" si="71"/>
        <v>0</v>
      </c>
      <c r="AQ90">
        <f t="shared" si="72"/>
        <v>0</v>
      </c>
      <c r="AR90">
        <f t="shared" si="73"/>
        <v>180471.66306039359</v>
      </c>
      <c r="AS90">
        <f t="shared" si="74"/>
        <v>0</v>
      </c>
      <c r="AT90">
        <f t="shared" si="75"/>
        <v>0</v>
      </c>
      <c r="AU90">
        <f t="shared" si="76"/>
        <v>0</v>
      </c>
    </row>
    <row r="91" spans="1:47" x14ac:dyDescent="0.2">
      <c r="A91">
        <v>90</v>
      </c>
      <c r="B91">
        <f>PoolStates_V2!B91</f>
        <v>0</v>
      </c>
      <c r="C91">
        <f>PoolStates_V2!S91</f>
        <v>765.21528584677071</v>
      </c>
      <c r="D91">
        <f>PoolStates_V2!T91</f>
        <v>14496.538632423037</v>
      </c>
      <c r="E91">
        <f>PoolStates_V2!Q91</f>
        <v>7.14252215218829</v>
      </c>
      <c r="F91">
        <f t="shared" si="77"/>
        <v>0</v>
      </c>
      <c r="G91">
        <f t="shared" si="78"/>
        <v>0</v>
      </c>
      <c r="H91">
        <f t="shared" si="79"/>
        <v>180471.66306039359</v>
      </c>
      <c r="I91">
        <f t="shared" si="40"/>
        <v>7.14252215218829</v>
      </c>
      <c r="J91">
        <f t="shared" si="41"/>
        <v>0</v>
      </c>
      <c r="K91">
        <f t="shared" si="42"/>
        <v>0</v>
      </c>
      <c r="L91">
        <f t="shared" si="43"/>
        <v>0</v>
      </c>
      <c r="M91">
        <f t="shared" si="44"/>
        <v>0</v>
      </c>
      <c r="N91">
        <f t="shared" si="45"/>
        <v>0</v>
      </c>
      <c r="O91">
        <f t="shared" si="46"/>
        <v>180464.5205382414</v>
      </c>
      <c r="P91">
        <f>M91*Inputs!B6/12</f>
        <v>0</v>
      </c>
      <c r="Q91">
        <f t="shared" si="47"/>
        <v>0</v>
      </c>
      <c r="R91">
        <f>N91*Inputs!B6/12</f>
        <v>0</v>
      </c>
      <c r="S91">
        <f t="shared" si="48"/>
        <v>0</v>
      </c>
      <c r="T91">
        <f t="shared" si="49"/>
        <v>765.21528584677071</v>
      </c>
      <c r="U91">
        <f t="shared" si="50"/>
        <v>0</v>
      </c>
      <c r="V91">
        <f t="shared" si="51"/>
        <v>765.21528584677071</v>
      </c>
      <c r="W91">
        <f t="shared" si="52"/>
        <v>14496.538632423037</v>
      </c>
      <c r="X91">
        <f t="shared" si="53"/>
        <v>0</v>
      </c>
      <c r="Y91">
        <f t="shared" si="54"/>
        <v>0</v>
      </c>
      <c r="Z91">
        <f t="shared" si="55"/>
        <v>0</v>
      </c>
      <c r="AA91">
        <f t="shared" si="56"/>
        <v>0</v>
      </c>
      <c r="AB91">
        <f t="shared" si="57"/>
        <v>0</v>
      </c>
      <c r="AC91">
        <f t="shared" si="58"/>
        <v>14496.538632423037</v>
      </c>
      <c r="AD91">
        <f t="shared" si="59"/>
        <v>0</v>
      </c>
      <c r="AE91">
        <f t="shared" si="60"/>
        <v>14496.538632423037</v>
      </c>
      <c r="AF91">
        <f t="shared" si="61"/>
        <v>0</v>
      </c>
      <c r="AG91">
        <f t="shared" si="62"/>
        <v>14496.538632423037</v>
      </c>
      <c r="AH91">
        <f t="shared" si="63"/>
        <v>14496.538632423037</v>
      </c>
      <c r="AI91">
        <f t="shared" si="64"/>
        <v>0</v>
      </c>
      <c r="AJ91">
        <f t="shared" si="65"/>
        <v>0</v>
      </c>
      <c r="AK91">
        <f t="shared" si="66"/>
        <v>14496.538632423037</v>
      </c>
      <c r="AL91">
        <f t="shared" si="67"/>
        <v>0</v>
      </c>
      <c r="AM91">
        <f t="shared" si="68"/>
        <v>0</v>
      </c>
      <c r="AN91">
        <f t="shared" si="69"/>
        <v>14496.538632423037</v>
      </c>
      <c r="AO91">
        <f t="shared" si="70"/>
        <v>0</v>
      </c>
      <c r="AP91">
        <f t="shared" si="71"/>
        <v>0</v>
      </c>
      <c r="AQ91">
        <f t="shared" si="72"/>
        <v>0</v>
      </c>
      <c r="AR91">
        <f t="shared" si="73"/>
        <v>165967.98190581836</v>
      </c>
      <c r="AS91">
        <f t="shared" si="74"/>
        <v>0</v>
      </c>
      <c r="AT91">
        <f t="shared" si="75"/>
        <v>0</v>
      </c>
      <c r="AU91">
        <f t="shared" si="76"/>
        <v>0</v>
      </c>
    </row>
    <row r="92" spans="1:47" x14ac:dyDescent="0.2">
      <c r="A92">
        <v>91</v>
      </c>
      <c r="B92">
        <f>PoolStates_V2!B92</f>
        <v>0</v>
      </c>
      <c r="C92">
        <f>PoolStates_V2!S92</f>
        <v>703.70883438398607</v>
      </c>
      <c r="D92">
        <f>PoolStates_V2!T92</f>
        <v>13334.451749902046</v>
      </c>
      <c r="E92">
        <f>PoolStates_V2!Q92</f>
        <v>6.5723410671862146</v>
      </c>
      <c r="F92">
        <f t="shared" si="77"/>
        <v>0</v>
      </c>
      <c r="G92">
        <f t="shared" si="78"/>
        <v>0</v>
      </c>
      <c r="H92">
        <f t="shared" si="79"/>
        <v>165967.98190581836</v>
      </c>
      <c r="I92">
        <f t="shared" si="40"/>
        <v>6.5723410671862146</v>
      </c>
      <c r="J92">
        <f t="shared" si="41"/>
        <v>0</v>
      </c>
      <c r="K92">
        <f t="shared" si="42"/>
        <v>0</v>
      </c>
      <c r="L92">
        <f t="shared" si="43"/>
        <v>0</v>
      </c>
      <c r="M92">
        <f t="shared" si="44"/>
        <v>0</v>
      </c>
      <c r="N92">
        <f t="shared" si="45"/>
        <v>0</v>
      </c>
      <c r="O92">
        <f t="shared" si="46"/>
        <v>165961.40956475117</v>
      </c>
      <c r="P92">
        <f>M92*Inputs!B6/12</f>
        <v>0</v>
      </c>
      <c r="Q92">
        <f t="shared" si="47"/>
        <v>0</v>
      </c>
      <c r="R92">
        <f>N92*Inputs!B6/12</f>
        <v>0</v>
      </c>
      <c r="S92">
        <f t="shared" si="48"/>
        <v>0</v>
      </c>
      <c r="T92">
        <f t="shared" si="49"/>
        <v>703.70883438398607</v>
      </c>
      <c r="U92">
        <f t="shared" si="50"/>
        <v>0</v>
      </c>
      <c r="V92">
        <f t="shared" si="51"/>
        <v>703.70883438398607</v>
      </c>
      <c r="W92">
        <f t="shared" si="52"/>
        <v>13334.451749902046</v>
      </c>
      <c r="X92">
        <f t="shared" si="53"/>
        <v>0</v>
      </c>
      <c r="Y92">
        <f t="shared" si="54"/>
        <v>0</v>
      </c>
      <c r="Z92">
        <f t="shared" si="55"/>
        <v>0</v>
      </c>
      <c r="AA92">
        <f t="shared" si="56"/>
        <v>0</v>
      </c>
      <c r="AB92">
        <f t="shared" si="57"/>
        <v>0</v>
      </c>
      <c r="AC92">
        <f t="shared" si="58"/>
        <v>13334.451749902046</v>
      </c>
      <c r="AD92">
        <f t="shared" si="59"/>
        <v>0</v>
      </c>
      <c r="AE92">
        <f t="shared" si="60"/>
        <v>13334.451749902046</v>
      </c>
      <c r="AF92">
        <f t="shared" si="61"/>
        <v>0</v>
      </c>
      <c r="AG92">
        <f t="shared" si="62"/>
        <v>13334.451749902046</v>
      </c>
      <c r="AH92">
        <f t="shared" si="63"/>
        <v>13334.451749902046</v>
      </c>
      <c r="AI92">
        <f t="shared" si="64"/>
        <v>0</v>
      </c>
      <c r="AJ92">
        <f t="shared" si="65"/>
        <v>0</v>
      </c>
      <c r="AK92">
        <f t="shared" si="66"/>
        <v>13334.451749902046</v>
      </c>
      <c r="AL92">
        <f t="shared" si="67"/>
        <v>0</v>
      </c>
      <c r="AM92">
        <f t="shared" si="68"/>
        <v>0</v>
      </c>
      <c r="AN92">
        <f t="shared" si="69"/>
        <v>13334.451749902046</v>
      </c>
      <c r="AO92">
        <f t="shared" si="70"/>
        <v>0</v>
      </c>
      <c r="AP92">
        <f t="shared" si="71"/>
        <v>0</v>
      </c>
      <c r="AQ92">
        <f t="shared" si="72"/>
        <v>0</v>
      </c>
      <c r="AR92">
        <f t="shared" si="73"/>
        <v>152626.95781484913</v>
      </c>
      <c r="AS92">
        <f t="shared" si="74"/>
        <v>0</v>
      </c>
      <c r="AT92">
        <f t="shared" si="75"/>
        <v>0</v>
      </c>
      <c r="AU92">
        <f t="shared" si="76"/>
        <v>0</v>
      </c>
    </row>
    <row r="93" spans="1:47" x14ac:dyDescent="0.2">
      <c r="A93">
        <v>92</v>
      </c>
      <c r="B93">
        <f>PoolStates_V2!B93</f>
        <v>0</v>
      </c>
      <c r="C93">
        <f>PoolStates_V2!S93</f>
        <v>647.13384315057306</v>
      </c>
      <c r="D93">
        <f>PoolStates_V2!T93</f>
        <v>12265.316433663014</v>
      </c>
      <c r="E93">
        <f>PoolStates_V2!Q93</f>
        <v>6.0474967230864412</v>
      </c>
      <c r="F93">
        <f t="shared" si="77"/>
        <v>0</v>
      </c>
      <c r="G93">
        <f t="shared" si="78"/>
        <v>0</v>
      </c>
      <c r="H93">
        <f t="shared" si="79"/>
        <v>152626.95781484913</v>
      </c>
      <c r="I93">
        <f t="shared" si="40"/>
        <v>6.0474967230864412</v>
      </c>
      <c r="J93">
        <f t="shared" si="41"/>
        <v>0</v>
      </c>
      <c r="K93">
        <f t="shared" si="42"/>
        <v>0</v>
      </c>
      <c r="L93">
        <f t="shared" si="43"/>
        <v>0</v>
      </c>
      <c r="M93">
        <f t="shared" si="44"/>
        <v>0</v>
      </c>
      <c r="N93">
        <f t="shared" si="45"/>
        <v>0</v>
      </c>
      <c r="O93">
        <f t="shared" si="46"/>
        <v>152620.91031812603</v>
      </c>
      <c r="P93">
        <f>M93*Inputs!B6/12</f>
        <v>0</v>
      </c>
      <c r="Q93">
        <f t="shared" si="47"/>
        <v>0</v>
      </c>
      <c r="R93">
        <f>N93*Inputs!B6/12</f>
        <v>0</v>
      </c>
      <c r="S93">
        <f t="shared" si="48"/>
        <v>0</v>
      </c>
      <c r="T93">
        <f t="shared" si="49"/>
        <v>647.13384315057306</v>
      </c>
      <c r="U93">
        <f t="shared" si="50"/>
        <v>0</v>
      </c>
      <c r="V93">
        <f t="shared" si="51"/>
        <v>647.13384315057306</v>
      </c>
      <c r="W93">
        <f t="shared" si="52"/>
        <v>12265.316433663014</v>
      </c>
      <c r="X93">
        <f t="shared" si="53"/>
        <v>0</v>
      </c>
      <c r="Y93">
        <f t="shared" si="54"/>
        <v>0</v>
      </c>
      <c r="Z93">
        <f t="shared" si="55"/>
        <v>0</v>
      </c>
      <c r="AA93">
        <f t="shared" si="56"/>
        <v>0</v>
      </c>
      <c r="AB93">
        <f t="shared" si="57"/>
        <v>0</v>
      </c>
      <c r="AC93">
        <f t="shared" si="58"/>
        <v>12265.316433663014</v>
      </c>
      <c r="AD93">
        <f t="shared" si="59"/>
        <v>0</v>
      </c>
      <c r="AE93">
        <f t="shared" si="60"/>
        <v>12265.316433663014</v>
      </c>
      <c r="AF93">
        <f t="shared" si="61"/>
        <v>0</v>
      </c>
      <c r="AG93">
        <f t="shared" si="62"/>
        <v>12265.316433663014</v>
      </c>
      <c r="AH93">
        <f t="shared" si="63"/>
        <v>12265.316433663014</v>
      </c>
      <c r="AI93">
        <f t="shared" si="64"/>
        <v>0</v>
      </c>
      <c r="AJ93">
        <f t="shared" si="65"/>
        <v>0</v>
      </c>
      <c r="AK93">
        <f t="shared" si="66"/>
        <v>12265.316433663014</v>
      </c>
      <c r="AL93">
        <f t="shared" si="67"/>
        <v>0</v>
      </c>
      <c r="AM93">
        <f t="shared" si="68"/>
        <v>0</v>
      </c>
      <c r="AN93">
        <f t="shared" si="69"/>
        <v>12265.316433663014</v>
      </c>
      <c r="AO93">
        <f t="shared" si="70"/>
        <v>0</v>
      </c>
      <c r="AP93">
        <f t="shared" si="71"/>
        <v>0</v>
      </c>
      <c r="AQ93">
        <f t="shared" si="72"/>
        <v>0</v>
      </c>
      <c r="AR93">
        <f t="shared" si="73"/>
        <v>140355.59388446301</v>
      </c>
      <c r="AS93">
        <f t="shared" si="74"/>
        <v>0</v>
      </c>
      <c r="AT93">
        <f t="shared" si="75"/>
        <v>0</v>
      </c>
      <c r="AU93">
        <f t="shared" si="76"/>
        <v>0</v>
      </c>
    </row>
    <row r="94" spans="1:47" x14ac:dyDescent="0.2">
      <c r="A94">
        <v>93</v>
      </c>
      <c r="B94">
        <f>PoolStates_V2!B94</f>
        <v>0</v>
      </c>
      <c r="C94">
        <f>PoolStates_V2!S94</f>
        <v>595.09576419261202</v>
      </c>
      <c r="D94">
        <f>PoolStates_V2!T94</f>
        <v>11281.711901649302</v>
      </c>
      <c r="E94">
        <f>PoolStates_V2!Q94</f>
        <v>5.5644020378059977</v>
      </c>
      <c r="F94">
        <f t="shared" si="77"/>
        <v>0</v>
      </c>
      <c r="G94">
        <f t="shared" si="78"/>
        <v>0</v>
      </c>
      <c r="H94">
        <f t="shared" si="79"/>
        <v>140355.59388446301</v>
      </c>
      <c r="I94">
        <f t="shared" si="40"/>
        <v>5.5644020378059977</v>
      </c>
      <c r="J94">
        <f t="shared" si="41"/>
        <v>0</v>
      </c>
      <c r="K94">
        <f t="shared" si="42"/>
        <v>0</v>
      </c>
      <c r="L94">
        <f t="shared" si="43"/>
        <v>0</v>
      </c>
      <c r="M94">
        <f t="shared" si="44"/>
        <v>0</v>
      </c>
      <c r="N94">
        <f t="shared" si="45"/>
        <v>0</v>
      </c>
      <c r="O94">
        <f t="shared" si="46"/>
        <v>140350.02948242522</v>
      </c>
      <c r="P94">
        <f>M94*Inputs!B6/12</f>
        <v>0</v>
      </c>
      <c r="Q94">
        <f t="shared" si="47"/>
        <v>0</v>
      </c>
      <c r="R94">
        <f>N94*Inputs!B6/12</f>
        <v>0</v>
      </c>
      <c r="S94">
        <f t="shared" si="48"/>
        <v>0</v>
      </c>
      <c r="T94">
        <f t="shared" si="49"/>
        <v>595.09576419261202</v>
      </c>
      <c r="U94">
        <f t="shared" si="50"/>
        <v>0</v>
      </c>
      <c r="V94">
        <f t="shared" si="51"/>
        <v>595.09576419261202</v>
      </c>
      <c r="W94">
        <f t="shared" si="52"/>
        <v>11281.711901649302</v>
      </c>
      <c r="X94">
        <f t="shared" si="53"/>
        <v>0</v>
      </c>
      <c r="Y94">
        <f t="shared" si="54"/>
        <v>0</v>
      </c>
      <c r="Z94">
        <f t="shared" si="55"/>
        <v>0</v>
      </c>
      <c r="AA94">
        <f t="shared" si="56"/>
        <v>0</v>
      </c>
      <c r="AB94">
        <f t="shared" si="57"/>
        <v>0</v>
      </c>
      <c r="AC94">
        <f t="shared" si="58"/>
        <v>11281.711901649302</v>
      </c>
      <c r="AD94">
        <f t="shared" si="59"/>
        <v>0</v>
      </c>
      <c r="AE94">
        <f t="shared" si="60"/>
        <v>11281.711901649302</v>
      </c>
      <c r="AF94">
        <f t="shared" si="61"/>
        <v>0</v>
      </c>
      <c r="AG94">
        <f t="shared" si="62"/>
        <v>11281.711901649302</v>
      </c>
      <c r="AH94">
        <f t="shared" si="63"/>
        <v>11281.711901649302</v>
      </c>
      <c r="AI94">
        <f t="shared" si="64"/>
        <v>0</v>
      </c>
      <c r="AJ94">
        <f t="shared" si="65"/>
        <v>0</v>
      </c>
      <c r="AK94">
        <f t="shared" si="66"/>
        <v>11281.711901649302</v>
      </c>
      <c r="AL94">
        <f t="shared" si="67"/>
        <v>0</v>
      </c>
      <c r="AM94">
        <f t="shared" si="68"/>
        <v>0</v>
      </c>
      <c r="AN94">
        <f t="shared" si="69"/>
        <v>11281.711901649302</v>
      </c>
      <c r="AO94">
        <f t="shared" si="70"/>
        <v>0</v>
      </c>
      <c r="AP94">
        <f t="shared" si="71"/>
        <v>0</v>
      </c>
      <c r="AQ94">
        <f t="shared" si="72"/>
        <v>0</v>
      </c>
      <c r="AR94">
        <f t="shared" si="73"/>
        <v>129068.31758077591</v>
      </c>
      <c r="AS94">
        <f t="shared" si="74"/>
        <v>0</v>
      </c>
      <c r="AT94">
        <f t="shared" si="75"/>
        <v>0</v>
      </c>
      <c r="AU94">
        <f t="shared" si="76"/>
        <v>0</v>
      </c>
    </row>
    <row r="95" spans="1:47" x14ac:dyDescent="0.2">
      <c r="A95">
        <v>94</v>
      </c>
      <c r="B95">
        <f>PoolStates_V2!B95</f>
        <v>0</v>
      </c>
      <c r="C95">
        <f>PoolStates_V2!S95</f>
        <v>547.23155922607418</v>
      </c>
      <c r="D95">
        <f>PoolStates_V2!T95</f>
        <v>10376.808865036763</v>
      </c>
      <c r="E95">
        <f>PoolStates_V2!Q95</f>
        <v>5.1197518246358547</v>
      </c>
      <c r="F95">
        <f t="shared" si="77"/>
        <v>0</v>
      </c>
      <c r="G95">
        <f t="shared" si="78"/>
        <v>0</v>
      </c>
      <c r="H95">
        <f t="shared" si="79"/>
        <v>129068.31758077591</v>
      </c>
      <c r="I95">
        <f t="shared" si="40"/>
        <v>5.1197518246358547</v>
      </c>
      <c r="J95">
        <f t="shared" si="41"/>
        <v>0</v>
      </c>
      <c r="K95">
        <f t="shared" si="42"/>
        <v>0</v>
      </c>
      <c r="L95">
        <f t="shared" si="43"/>
        <v>0</v>
      </c>
      <c r="M95">
        <f t="shared" si="44"/>
        <v>0</v>
      </c>
      <c r="N95">
        <f t="shared" si="45"/>
        <v>0</v>
      </c>
      <c r="O95">
        <f t="shared" si="46"/>
        <v>129063.19782895128</v>
      </c>
      <c r="P95">
        <f>M95*Inputs!B6/12</f>
        <v>0</v>
      </c>
      <c r="Q95">
        <f t="shared" si="47"/>
        <v>0</v>
      </c>
      <c r="R95">
        <f>N95*Inputs!B6/12</f>
        <v>0</v>
      </c>
      <c r="S95">
        <f t="shared" si="48"/>
        <v>0</v>
      </c>
      <c r="T95">
        <f t="shared" si="49"/>
        <v>547.23155922607418</v>
      </c>
      <c r="U95">
        <f t="shared" si="50"/>
        <v>0</v>
      </c>
      <c r="V95">
        <f t="shared" si="51"/>
        <v>547.23155922607418</v>
      </c>
      <c r="W95">
        <f t="shared" si="52"/>
        <v>10376.808865036763</v>
      </c>
      <c r="X95">
        <f t="shared" si="53"/>
        <v>0</v>
      </c>
      <c r="Y95">
        <f t="shared" si="54"/>
        <v>0</v>
      </c>
      <c r="Z95">
        <f t="shared" si="55"/>
        <v>0</v>
      </c>
      <c r="AA95">
        <f t="shared" si="56"/>
        <v>0</v>
      </c>
      <c r="AB95">
        <f t="shared" si="57"/>
        <v>0</v>
      </c>
      <c r="AC95">
        <f t="shared" si="58"/>
        <v>10376.808865036763</v>
      </c>
      <c r="AD95">
        <f t="shared" si="59"/>
        <v>0</v>
      </c>
      <c r="AE95">
        <f t="shared" si="60"/>
        <v>10376.808865036763</v>
      </c>
      <c r="AF95">
        <f t="shared" si="61"/>
        <v>0</v>
      </c>
      <c r="AG95">
        <f t="shared" si="62"/>
        <v>10376.808865036763</v>
      </c>
      <c r="AH95">
        <f t="shared" si="63"/>
        <v>10376.808865036763</v>
      </c>
      <c r="AI95">
        <f t="shared" si="64"/>
        <v>0</v>
      </c>
      <c r="AJ95">
        <f t="shared" si="65"/>
        <v>0</v>
      </c>
      <c r="AK95">
        <f t="shared" si="66"/>
        <v>10376.808865036763</v>
      </c>
      <c r="AL95">
        <f t="shared" si="67"/>
        <v>0</v>
      </c>
      <c r="AM95">
        <f t="shared" si="68"/>
        <v>0</v>
      </c>
      <c r="AN95">
        <f t="shared" si="69"/>
        <v>10376.808865036763</v>
      </c>
      <c r="AO95">
        <f t="shared" si="70"/>
        <v>0</v>
      </c>
      <c r="AP95">
        <f t="shared" si="71"/>
        <v>0</v>
      </c>
      <c r="AQ95">
        <f t="shared" si="72"/>
        <v>0</v>
      </c>
      <c r="AR95">
        <f t="shared" si="73"/>
        <v>118686.38896391452</v>
      </c>
      <c r="AS95">
        <f t="shared" si="74"/>
        <v>0</v>
      </c>
      <c r="AT95">
        <f t="shared" si="75"/>
        <v>0</v>
      </c>
      <c r="AU95">
        <f t="shared" si="76"/>
        <v>0</v>
      </c>
    </row>
    <row r="96" spans="1:47" x14ac:dyDescent="0.2">
      <c r="A96">
        <v>95</v>
      </c>
      <c r="B96">
        <f>PoolStates_V2!B96</f>
        <v>0</v>
      </c>
      <c r="C96">
        <f>PoolStates_V2!S96</f>
        <v>503.20718675868295</v>
      </c>
      <c r="D96">
        <f>PoolStates_V2!T96</f>
        <v>9544.3224409547147</v>
      </c>
      <c r="E96">
        <f>PoolStates_V2!Q96</f>
        <v>4.7105008621060618</v>
      </c>
      <c r="F96">
        <f t="shared" si="77"/>
        <v>0</v>
      </c>
      <c r="G96">
        <f t="shared" si="78"/>
        <v>0</v>
      </c>
      <c r="H96">
        <f t="shared" si="79"/>
        <v>118686.38896391452</v>
      </c>
      <c r="I96">
        <f t="shared" si="40"/>
        <v>4.7105008621060618</v>
      </c>
      <c r="J96">
        <f t="shared" si="41"/>
        <v>0</v>
      </c>
      <c r="K96">
        <f t="shared" si="42"/>
        <v>0</v>
      </c>
      <c r="L96">
        <f t="shared" si="43"/>
        <v>0</v>
      </c>
      <c r="M96">
        <f t="shared" si="44"/>
        <v>0</v>
      </c>
      <c r="N96">
        <f t="shared" si="45"/>
        <v>0</v>
      </c>
      <c r="O96">
        <f t="shared" si="46"/>
        <v>118681.67846305242</v>
      </c>
      <c r="P96">
        <f>M96*Inputs!B6/12</f>
        <v>0</v>
      </c>
      <c r="Q96">
        <f t="shared" si="47"/>
        <v>0</v>
      </c>
      <c r="R96">
        <f>N96*Inputs!B6/12</f>
        <v>0</v>
      </c>
      <c r="S96">
        <f t="shared" si="48"/>
        <v>0</v>
      </c>
      <c r="T96">
        <f t="shared" si="49"/>
        <v>503.20718675868295</v>
      </c>
      <c r="U96">
        <f t="shared" si="50"/>
        <v>0</v>
      </c>
      <c r="V96">
        <f t="shared" si="51"/>
        <v>503.20718675868295</v>
      </c>
      <c r="W96">
        <f t="shared" si="52"/>
        <v>9544.3224409547147</v>
      </c>
      <c r="X96">
        <f t="shared" si="53"/>
        <v>0</v>
      </c>
      <c r="Y96">
        <f t="shared" si="54"/>
        <v>0</v>
      </c>
      <c r="Z96">
        <f t="shared" si="55"/>
        <v>0</v>
      </c>
      <c r="AA96">
        <f t="shared" si="56"/>
        <v>0</v>
      </c>
      <c r="AB96">
        <f t="shared" si="57"/>
        <v>0</v>
      </c>
      <c r="AC96">
        <f t="shared" si="58"/>
        <v>9544.3224409547147</v>
      </c>
      <c r="AD96">
        <f t="shared" si="59"/>
        <v>0</v>
      </c>
      <c r="AE96">
        <f t="shared" si="60"/>
        <v>9544.3224409547147</v>
      </c>
      <c r="AF96">
        <f t="shared" si="61"/>
        <v>0</v>
      </c>
      <c r="AG96">
        <f t="shared" si="62"/>
        <v>9544.3224409547147</v>
      </c>
      <c r="AH96">
        <f t="shared" si="63"/>
        <v>9544.3224409547147</v>
      </c>
      <c r="AI96">
        <f t="shared" si="64"/>
        <v>0</v>
      </c>
      <c r="AJ96">
        <f t="shared" si="65"/>
        <v>0</v>
      </c>
      <c r="AK96">
        <f t="shared" si="66"/>
        <v>9544.3224409547147</v>
      </c>
      <c r="AL96">
        <f t="shared" si="67"/>
        <v>0</v>
      </c>
      <c r="AM96">
        <f t="shared" si="68"/>
        <v>0</v>
      </c>
      <c r="AN96">
        <f t="shared" si="69"/>
        <v>9544.3224409547147</v>
      </c>
      <c r="AO96">
        <f t="shared" si="70"/>
        <v>0</v>
      </c>
      <c r="AP96">
        <f t="shared" si="71"/>
        <v>0</v>
      </c>
      <c r="AQ96">
        <f t="shared" si="72"/>
        <v>0</v>
      </c>
      <c r="AR96">
        <f t="shared" si="73"/>
        <v>109137.35602209771</v>
      </c>
      <c r="AS96">
        <f t="shared" si="74"/>
        <v>0</v>
      </c>
      <c r="AT96">
        <f t="shared" si="75"/>
        <v>0</v>
      </c>
      <c r="AU96">
        <f t="shared" si="76"/>
        <v>0</v>
      </c>
    </row>
    <row r="97" spans="1:47" x14ac:dyDescent="0.2">
      <c r="A97">
        <v>96</v>
      </c>
      <c r="B97">
        <f>PoolStates_V2!B97</f>
        <v>0</v>
      </c>
      <c r="C97">
        <f>PoolStates_V2!S97</f>
        <v>462.71528941928403</v>
      </c>
      <c r="D97">
        <f>PoolStates_V2!T97</f>
        <v>8778.4688105454989</v>
      </c>
      <c r="E97">
        <f>PoolStates_V2!Q97</f>
        <v>4.3338436425048972</v>
      </c>
      <c r="F97">
        <f t="shared" si="77"/>
        <v>0</v>
      </c>
      <c r="G97">
        <f t="shared" si="78"/>
        <v>0</v>
      </c>
      <c r="H97">
        <f t="shared" si="79"/>
        <v>109137.35602209771</v>
      </c>
      <c r="I97">
        <f t="shared" si="40"/>
        <v>4.3338436425048972</v>
      </c>
      <c r="J97">
        <f t="shared" si="41"/>
        <v>0</v>
      </c>
      <c r="K97">
        <f t="shared" si="42"/>
        <v>0</v>
      </c>
      <c r="L97">
        <f t="shared" si="43"/>
        <v>0</v>
      </c>
      <c r="M97">
        <f t="shared" si="44"/>
        <v>0</v>
      </c>
      <c r="N97">
        <f t="shared" si="45"/>
        <v>0</v>
      </c>
      <c r="O97">
        <f t="shared" si="46"/>
        <v>109133.0221784552</v>
      </c>
      <c r="P97">
        <f>M97*Inputs!B6/12</f>
        <v>0</v>
      </c>
      <c r="Q97">
        <f t="shared" si="47"/>
        <v>0</v>
      </c>
      <c r="R97">
        <f>N97*Inputs!B6/12</f>
        <v>0</v>
      </c>
      <c r="S97">
        <f t="shared" si="48"/>
        <v>0</v>
      </c>
      <c r="T97">
        <f t="shared" si="49"/>
        <v>462.71528941928403</v>
      </c>
      <c r="U97">
        <f t="shared" si="50"/>
        <v>0</v>
      </c>
      <c r="V97">
        <f t="shared" si="51"/>
        <v>462.71528941928403</v>
      </c>
      <c r="W97">
        <f t="shared" si="52"/>
        <v>8778.4688105454989</v>
      </c>
      <c r="X97">
        <f t="shared" si="53"/>
        <v>0</v>
      </c>
      <c r="Y97">
        <f t="shared" si="54"/>
        <v>0</v>
      </c>
      <c r="Z97">
        <f t="shared" si="55"/>
        <v>0</v>
      </c>
      <c r="AA97">
        <f t="shared" si="56"/>
        <v>0</v>
      </c>
      <c r="AB97">
        <f t="shared" si="57"/>
        <v>0</v>
      </c>
      <c r="AC97">
        <f t="shared" si="58"/>
        <v>8778.4688105454989</v>
      </c>
      <c r="AD97">
        <f t="shared" si="59"/>
        <v>0</v>
      </c>
      <c r="AE97">
        <f t="shared" si="60"/>
        <v>8778.4688105454989</v>
      </c>
      <c r="AF97">
        <f t="shared" si="61"/>
        <v>0</v>
      </c>
      <c r="AG97">
        <f t="shared" si="62"/>
        <v>8778.4688105454989</v>
      </c>
      <c r="AH97">
        <f t="shared" si="63"/>
        <v>8778.4688105454989</v>
      </c>
      <c r="AI97">
        <f t="shared" si="64"/>
        <v>0</v>
      </c>
      <c r="AJ97">
        <f t="shared" si="65"/>
        <v>0</v>
      </c>
      <c r="AK97">
        <f t="shared" si="66"/>
        <v>8778.4688105454989</v>
      </c>
      <c r="AL97">
        <f t="shared" si="67"/>
        <v>0</v>
      </c>
      <c r="AM97">
        <f t="shared" si="68"/>
        <v>0</v>
      </c>
      <c r="AN97">
        <f t="shared" si="69"/>
        <v>8778.4688105454989</v>
      </c>
      <c r="AO97">
        <f t="shared" si="70"/>
        <v>0</v>
      </c>
      <c r="AP97">
        <f t="shared" si="71"/>
        <v>0</v>
      </c>
      <c r="AQ97">
        <f t="shared" si="72"/>
        <v>0</v>
      </c>
      <c r="AR97">
        <f t="shared" si="73"/>
        <v>100354.5533679097</v>
      </c>
      <c r="AS97">
        <f t="shared" si="74"/>
        <v>0</v>
      </c>
      <c r="AT97">
        <f t="shared" si="75"/>
        <v>0</v>
      </c>
      <c r="AU97">
        <f t="shared" si="76"/>
        <v>0</v>
      </c>
    </row>
    <row r="98" spans="1:47" x14ac:dyDescent="0.2">
      <c r="A98">
        <v>97</v>
      </c>
      <c r="B98">
        <f>PoolStates_V2!B98</f>
        <v>0</v>
      </c>
      <c r="C98">
        <f>PoolStates_V2!S98</f>
        <v>425.47306554936438</v>
      </c>
      <c r="D98">
        <f>PoolStates_V2!T98</f>
        <v>8073.9253245418549</v>
      </c>
      <c r="E98">
        <f>PoolStates_V2!Q98</f>
        <v>3.9871956740675962</v>
      </c>
      <c r="F98">
        <f t="shared" si="77"/>
        <v>0</v>
      </c>
      <c r="G98">
        <f t="shared" si="78"/>
        <v>0</v>
      </c>
      <c r="H98">
        <f t="shared" si="79"/>
        <v>100354.5533679097</v>
      </c>
      <c r="I98">
        <f t="shared" si="40"/>
        <v>3.9871956740675962</v>
      </c>
      <c r="J98">
        <f t="shared" si="41"/>
        <v>0</v>
      </c>
      <c r="K98">
        <f t="shared" si="42"/>
        <v>0</v>
      </c>
      <c r="L98">
        <f t="shared" si="43"/>
        <v>0</v>
      </c>
      <c r="M98">
        <f t="shared" si="44"/>
        <v>0</v>
      </c>
      <c r="N98">
        <f t="shared" si="45"/>
        <v>0</v>
      </c>
      <c r="O98">
        <f t="shared" si="46"/>
        <v>100350.56617223563</v>
      </c>
      <c r="P98">
        <f>M98*Inputs!B6/12</f>
        <v>0</v>
      </c>
      <c r="Q98">
        <f t="shared" si="47"/>
        <v>0</v>
      </c>
      <c r="R98">
        <f>N98*Inputs!B6/12</f>
        <v>0</v>
      </c>
      <c r="S98">
        <f t="shared" si="48"/>
        <v>0</v>
      </c>
      <c r="T98">
        <f t="shared" si="49"/>
        <v>425.47306554936438</v>
      </c>
      <c r="U98">
        <f t="shared" si="50"/>
        <v>0</v>
      </c>
      <c r="V98">
        <f t="shared" si="51"/>
        <v>425.47306554936438</v>
      </c>
      <c r="W98">
        <f t="shared" si="52"/>
        <v>8073.9253245418549</v>
      </c>
      <c r="X98">
        <f t="shared" si="53"/>
        <v>0</v>
      </c>
      <c r="Y98">
        <f t="shared" si="54"/>
        <v>0</v>
      </c>
      <c r="Z98">
        <f t="shared" si="55"/>
        <v>0</v>
      </c>
      <c r="AA98">
        <f t="shared" si="56"/>
        <v>0</v>
      </c>
      <c r="AB98">
        <f t="shared" si="57"/>
        <v>0</v>
      </c>
      <c r="AC98">
        <f t="shared" si="58"/>
        <v>8073.9253245418549</v>
      </c>
      <c r="AD98">
        <f t="shared" si="59"/>
        <v>0</v>
      </c>
      <c r="AE98">
        <f t="shared" si="60"/>
        <v>8073.9253245418549</v>
      </c>
      <c r="AF98">
        <f t="shared" si="61"/>
        <v>0</v>
      </c>
      <c r="AG98">
        <f t="shared" si="62"/>
        <v>8073.9253245418549</v>
      </c>
      <c r="AH98">
        <f t="shared" si="63"/>
        <v>8073.9253245418549</v>
      </c>
      <c r="AI98">
        <f t="shared" si="64"/>
        <v>0</v>
      </c>
      <c r="AJ98">
        <f t="shared" si="65"/>
        <v>0</v>
      </c>
      <c r="AK98">
        <f t="shared" si="66"/>
        <v>8073.9253245418549</v>
      </c>
      <c r="AL98">
        <f t="shared" si="67"/>
        <v>0</v>
      </c>
      <c r="AM98">
        <f t="shared" si="68"/>
        <v>0</v>
      </c>
      <c r="AN98">
        <f t="shared" si="69"/>
        <v>8073.9253245418549</v>
      </c>
      <c r="AO98">
        <f t="shared" si="70"/>
        <v>0</v>
      </c>
      <c r="AP98">
        <f t="shared" si="71"/>
        <v>0</v>
      </c>
      <c r="AQ98">
        <f t="shared" si="72"/>
        <v>0</v>
      </c>
      <c r="AR98">
        <f t="shared" si="73"/>
        <v>92276.64084769378</v>
      </c>
      <c r="AS98">
        <f t="shared" si="74"/>
        <v>0</v>
      </c>
      <c r="AT98">
        <f t="shared" si="75"/>
        <v>0</v>
      </c>
      <c r="AU98">
        <f t="shared" si="76"/>
        <v>0</v>
      </c>
    </row>
    <row r="99" spans="1:47" x14ac:dyDescent="0.2">
      <c r="A99">
        <v>98</v>
      </c>
      <c r="B99">
        <f>PoolStates_V2!B99</f>
        <v>0</v>
      </c>
      <c r="C99">
        <f>PoolStates_V2!S99</f>
        <v>391.22031038197372</v>
      </c>
      <c r="D99">
        <f>PoolStates_V2!T99</f>
        <v>7425.7937822357017</v>
      </c>
      <c r="E99">
        <f>PoolStates_V2!Q99</f>
        <v>3.6681762206911617</v>
      </c>
      <c r="F99">
        <f t="shared" si="77"/>
        <v>0</v>
      </c>
      <c r="G99">
        <f t="shared" si="78"/>
        <v>0</v>
      </c>
      <c r="H99">
        <f t="shared" si="79"/>
        <v>92276.64084769378</v>
      </c>
      <c r="I99">
        <f t="shared" si="40"/>
        <v>3.6681762206911617</v>
      </c>
      <c r="J99">
        <f t="shared" si="41"/>
        <v>0</v>
      </c>
      <c r="K99">
        <f t="shared" si="42"/>
        <v>0</v>
      </c>
      <c r="L99">
        <f t="shared" si="43"/>
        <v>0</v>
      </c>
      <c r="M99">
        <f t="shared" si="44"/>
        <v>0</v>
      </c>
      <c r="N99">
        <f t="shared" si="45"/>
        <v>0</v>
      </c>
      <c r="O99">
        <f t="shared" si="46"/>
        <v>92272.972671473093</v>
      </c>
      <c r="P99">
        <f>M99*Inputs!B6/12</f>
        <v>0</v>
      </c>
      <c r="Q99">
        <f t="shared" si="47"/>
        <v>0</v>
      </c>
      <c r="R99">
        <f>N99*Inputs!B6/12</f>
        <v>0</v>
      </c>
      <c r="S99">
        <f t="shared" si="48"/>
        <v>0</v>
      </c>
      <c r="T99">
        <f t="shared" si="49"/>
        <v>391.22031038197372</v>
      </c>
      <c r="U99">
        <f t="shared" si="50"/>
        <v>0</v>
      </c>
      <c r="V99">
        <f t="shared" si="51"/>
        <v>391.22031038197372</v>
      </c>
      <c r="W99">
        <f t="shared" si="52"/>
        <v>7425.7937822357017</v>
      </c>
      <c r="X99">
        <f t="shared" si="53"/>
        <v>0</v>
      </c>
      <c r="Y99">
        <f t="shared" si="54"/>
        <v>0</v>
      </c>
      <c r="Z99">
        <f t="shared" si="55"/>
        <v>0</v>
      </c>
      <c r="AA99">
        <f t="shared" si="56"/>
        <v>0</v>
      </c>
      <c r="AB99">
        <f t="shared" si="57"/>
        <v>0</v>
      </c>
      <c r="AC99">
        <f t="shared" si="58"/>
        <v>7425.7937822357017</v>
      </c>
      <c r="AD99">
        <f t="shared" si="59"/>
        <v>0</v>
      </c>
      <c r="AE99">
        <f t="shared" si="60"/>
        <v>7425.7937822357017</v>
      </c>
      <c r="AF99">
        <f t="shared" si="61"/>
        <v>0</v>
      </c>
      <c r="AG99">
        <f t="shared" si="62"/>
        <v>7425.7937822357017</v>
      </c>
      <c r="AH99">
        <f t="shared" si="63"/>
        <v>7425.7937822357017</v>
      </c>
      <c r="AI99">
        <f t="shared" si="64"/>
        <v>0</v>
      </c>
      <c r="AJ99">
        <f t="shared" si="65"/>
        <v>0</v>
      </c>
      <c r="AK99">
        <f t="shared" si="66"/>
        <v>7425.7937822357017</v>
      </c>
      <c r="AL99">
        <f t="shared" si="67"/>
        <v>0</v>
      </c>
      <c r="AM99">
        <f t="shared" si="68"/>
        <v>0</v>
      </c>
      <c r="AN99">
        <f t="shared" si="69"/>
        <v>7425.7937822357017</v>
      </c>
      <c r="AO99">
        <f t="shared" si="70"/>
        <v>0</v>
      </c>
      <c r="AP99">
        <f t="shared" si="71"/>
        <v>0</v>
      </c>
      <c r="AQ99">
        <f t="shared" si="72"/>
        <v>0</v>
      </c>
      <c r="AR99">
        <f t="shared" si="73"/>
        <v>84847.178889237388</v>
      </c>
      <c r="AS99">
        <f t="shared" si="74"/>
        <v>0</v>
      </c>
      <c r="AT99">
        <f t="shared" si="75"/>
        <v>0</v>
      </c>
      <c r="AU99">
        <f t="shared" si="76"/>
        <v>0</v>
      </c>
    </row>
    <row r="100" spans="1:47" x14ac:dyDescent="0.2">
      <c r="A100">
        <v>99</v>
      </c>
      <c r="B100">
        <f>PoolStates_V2!B100</f>
        <v>0</v>
      </c>
      <c r="C100">
        <f>PoolStates_V2!S100</f>
        <v>359.71761330247193</v>
      </c>
      <c r="D100">
        <f>PoolStates_V2!T100</f>
        <v>6829.5666315181688</v>
      </c>
      <c r="E100">
        <f>PoolStates_V2!Q100</f>
        <v>3.3745923713112536</v>
      </c>
      <c r="F100">
        <f t="shared" si="77"/>
        <v>0</v>
      </c>
      <c r="G100">
        <f t="shared" si="78"/>
        <v>0</v>
      </c>
      <c r="H100">
        <f t="shared" si="79"/>
        <v>84847.178889237388</v>
      </c>
      <c r="I100">
        <f t="shared" si="40"/>
        <v>3.3745923713112536</v>
      </c>
      <c r="J100">
        <f t="shared" si="41"/>
        <v>0</v>
      </c>
      <c r="K100">
        <f t="shared" si="42"/>
        <v>0</v>
      </c>
      <c r="L100">
        <f t="shared" si="43"/>
        <v>0</v>
      </c>
      <c r="M100">
        <f t="shared" si="44"/>
        <v>0</v>
      </c>
      <c r="N100">
        <f t="shared" si="45"/>
        <v>0</v>
      </c>
      <c r="O100">
        <f t="shared" si="46"/>
        <v>84843.804296866074</v>
      </c>
      <c r="P100">
        <f>M100*Inputs!B6/12</f>
        <v>0</v>
      </c>
      <c r="Q100">
        <f t="shared" si="47"/>
        <v>0</v>
      </c>
      <c r="R100">
        <f>N100*Inputs!B6/12</f>
        <v>0</v>
      </c>
      <c r="S100">
        <f t="shared" si="48"/>
        <v>0</v>
      </c>
      <c r="T100">
        <f t="shared" si="49"/>
        <v>359.71761330247193</v>
      </c>
      <c r="U100">
        <f t="shared" si="50"/>
        <v>0</v>
      </c>
      <c r="V100">
        <f t="shared" si="51"/>
        <v>359.71761330247193</v>
      </c>
      <c r="W100">
        <f t="shared" si="52"/>
        <v>6829.5666315181688</v>
      </c>
      <c r="X100">
        <f t="shared" si="53"/>
        <v>0</v>
      </c>
      <c r="Y100">
        <f t="shared" si="54"/>
        <v>0</v>
      </c>
      <c r="Z100">
        <f t="shared" si="55"/>
        <v>0</v>
      </c>
      <c r="AA100">
        <f t="shared" si="56"/>
        <v>0</v>
      </c>
      <c r="AB100">
        <f t="shared" si="57"/>
        <v>0</v>
      </c>
      <c r="AC100">
        <f t="shared" si="58"/>
        <v>6829.5666315181688</v>
      </c>
      <c r="AD100">
        <f t="shared" si="59"/>
        <v>0</v>
      </c>
      <c r="AE100">
        <f t="shared" si="60"/>
        <v>6829.5666315181688</v>
      </c>
      <c r="AF100">
        <f t="shared" si="61"/>
        <v>0</v>
      </c>
      <c r="AG100">
        <f t="shared" si="62"/>
        <v>6829.5666315181688</v>
      </c>
      <c r="AH100">
        <f t="shared" si="63"/>
        <v>6829.5666315181688</v>
      </c>
      <c r="AI100">
        <f t="shared" si="64"/>
        <v>0</v>
      </c>
      <c r="AJ100">
        <f t="shared" si="65"/>
        <v>0</v>
      </c>
      <c r="AK100">
        <f t="shared" si="66"/>
        <v>6829.5666315181688</v>
      </c>
      <c r="AL100">
        <f t="shared" si="67"/>
        <v>0</v>
      </c>
      <c r="AM100">
        <f t="shared" si="68"/>
        <v>0</v>
      </c>
      <c r="AN100">
        <f t="shared" si="69"/>
        <v>6829.5666315181688</v>
      </c>
      <c r="AO100">
        <f t="shared" si="70"/>
        <v>0</v>
      </c>
      <c r="AP100">
        <f t="shared" si="71"/>
        <v>0</v>
      </c>
      <c r="AQ100">
        <f t="shared" si="72"/>
        <v>0</v>
      </c>
      <c r="AR100">
        <f t="shared" si="73"/>
        <v>78014.2376653479</v>
      </c>
      <c r="AS100">
        <f t="shared" si="74"/>
        <v>0</v>
      </c>
      <c r="AT100">
        <f t="shared" si="75"/>
        <v>0</v>
      </c>
      <c r="AU100">
        <f t="shared" si="76"/>
        <v>0</v>
      </c>
    </row>
    <row r="101" spans="1:47" x14ac:dyDescent="0.2">
      <c r="A101">
        <v>100</v>
      </c>
      <c r="B101">
        <f>PoolStates_V2!B101</f>
        <v>0</v>
      </c>
      <c r="C101">
        <f>PoolStates_V2!S101</f>
        <v>330.74469876139943</v>
      </c>
      <c r="D101">
        <f>PoolStates_V2!T101</f>
        <v>6281.0958577391839</v>
      </c>
      <c r="E101">
        <f>PoolStates_V2!Q101</f>
        <v>3.1044243388215285</v>
      </c>
      <c r="F101">
        <f t="shared" si="77"/>
        <v>0</v>
      </c>
      <c r="G101">
        <f t="shared" si="78"/>
        <v>0</v>
      </c>
      <c r="H101">
        <f t="shared" si="79"/>
        <v>78014.2376653479</v>
      </c>
      <c r="I101">
        <f t="shared" si="40"/>
        <v>3.1044243388215285</v>
      </c>
      <c r="J101">
        <f t="shared" si="41"/>
        <v>0</v>
      </c>
      <c r="K101">
        <f t="shared" si="42"/>
        <v>0</v>
      </c>
      <c r="L101">
        <f t="shared" si="43"/>
        <v>0</v>
      </c>
      <c r="M101">
        <f t="shared" si="44"/>
        <v>0</v>
      </c>
      <c r="N101">
        <f t="shared" si="45"/>
        <v>0</v>
      </c>
      <c r="O101">
        <f t="shared" si="46"/>
        <v>78011.133241009084</v>
      </c>
      <c r="P101">
        <f>M101*Inputs!B6/12</f>
        <v>0</v>
      </c>
      <c r="Q101">
        <f t="shared" si="47"/>
        <v>0</v>
      </c>
      <c r="R101">
        <f>N101*Inputs!B6/12</f>
        <v>0</v>
      </c>
      <c r="S101">
        <f t="shared" si="48"/>
        <v>0</v>
      </c>
      <c r="T101">
        <f t="shared" si="49"/>
        <v>330.74469876139943</v>
      </c>
      <c r="U101">
        <f t="shared" si="50"/>
        <v>0</v>
      </c>
      <c r="V101">
        <f t="shared" si="51"/>
        <v>330.74469876139943</v>
      </c>
      <c r="W101">
        <f t="shared" si="52"/>
        <v>6281.0958577391839</v>
      </c>
      <c r="X101">
        <f t="shared" si="53"/>
        <v>0</v>
      </c>
      <c r="Y101">
        <f t="shared" si="54"/>
        <v>0</v>
      </c>
      <c r="Z101">
        <f t="shared" si="55"/>
        <v>0</v>
      </c>
      <c r="AA101">
        <f t="shared" si="56"/>
        <v>0</v>
      </c>
      <c r="AB101">
        <f t="shared" si="57"/>
        <v>0</v>
      </c>
      <c r="AC101">
        <f t="shared" si="58"/>
        <v>6281.0958577391839</v>
      </c>
      <c r="AD101">
        <f t="shared" si="59"/>
        <v>0</v>
      </c>
      <c r="AE101">
        <f t="shared" si="60"/>
        <v>6281.0958577391839</v>
      </c>
      <c r="AF101">
        <f t="shared" si="61"/>
        <v>0</v>
      </c>
      <c r="AG101">
        <f t="shared" si="62"/>
        <v>6281.0958577391839</v>
      </c>
      <c r="AH101">
        <f t="shared" si="63"/>
        <v>6281.0958577391839</v>
      </c>
      <c r="AI101">
        <f t="shared" si="64"/>
        <v>0</v>
      </c>
      <c r="AJ101">
        <f t="shared" si="65"/>
        <v>0</v>
      </c>
      <c r="AK101">
        <f t="shared" si="66"/>
        <v>6281.0958577391839</v>
      </c>
      <c r="AL101">
        <f t="shared" si="67"/>
        <v>0</v>
      </c>
      <c r="AM101">
        <f t="shared" si="68"/>
        <v>0</v>
      </c>
      <c r="AN101">
        <f t="shared" si="69"/>
        <v>6281.0958577391839</v>
      </c>
      <c r="AO101">
        <f t="shared" si="70"/>
        <v>0</v>
      </c>
      <c r="AP101">
        <f t="shared" si="71"/>
        <v>0</v>
      </c>
      <c r="AQ101">
        <f t="shared" si="72"/>
        <v>0</v>
      </c>
      <c r="AR101">
        <f t="shared" si="73"/>
        <v>71730.037383269897</v>
      </c>
      <c r="AS101">
        <f t="shared" si="74"/>
        <v>0</v>
      </c>
      <c r="AT101">
        <f t="shared" si="75"/>
        <v>0</v>
      </c>
      <c r="AU101">
        <f t="shared" si="76"/>
        <v>0</v>
      </c>
    </row>
    <row r="102" spans="1:47" x14ac:dyDescent="0.2">
      <c r="A102">
        <v>101</v>
      </c>
      <c r="B102">
        <f>PoolStates_V2!B102</f>
        <v>0</v>
      </c>
      <c r="C102">
        <f>PoolStates_V2!S102</f>
        <v>304.09889939980241</v>
      </c>
      <c r="D102">
        <f>PoolStates_V2!T102</f>
        <v>5776.5643476053001</v>
      </c>
      <c r="E102">
        <f>PoolStates_V2!Q102</f>
        <v>2.8558118956516769</v>
      </c>
      <c r="F102">
        <f t="shared" si="77"/>
        <v>0</v>
      </c>
      <c r="G102">
        <f t="shared" si="78"/>
        <v>0</v>
      </c>
      <c r="H102">
        <f t="shared" si="79"/>
        <v>71730.037383269897</v>
      </c>
      <c r="I102">
        <f t="shared" si="40"/>
        <v>2.8558118956516769</v>
      </c>
      <c r="J102">
        <f t="shared" si="41"/>
        <v>0</v>
      </c>
      <c r="K102">
        <f t="shared" si="42"/>
        <v>0</v>
      </c>
      <c r="L102">
        <f t="shared" si="43"/>
        <v>0</v>
      </c>
      <c r="M102">
        <f t="shared" si="44"/>
        <v>0</v>
      </c>
      <c r="N102">
        <f t="shared" si="45"/>
        <v>0</v>
      </c>
      <c r="O102">
        <f t="shared" si="46"/>
        <v>71727.18157137424</v>
      </c>
      <c r="P102">
        <f>M102*Inputs!B6/12</f>
        <v>0</v>
      </c>
      <c r="Q102">
        <f t="shared" si="47"/>
        <v>0</v>
      </c>
      <c r="R102">
        <f>N102*Inputs!B6/12</f>
        <v>0</v>
      </c>
      <c r="S102">
        <f t="shared" si="48"/>
        <v>0</v>
      </c>
      <c r="T102">
        <f t="shared" si="49"/>
        <v>304.09889939980241</v>
      </c>
      <c r="U102">
        <f t="shared" si="50"/>
        <v>0</v>
      </c>
      <c r="V102">
        <f t="shared" si="51"/>
        <v>304.09889939980241</v>
      </c>
      <c r="W102">
        <f t="shared" si="52"/>
        <v>5776.5643476053001</v>
      </c>
      <c r="X102">
        <f t="shared" si="53"/>
        <v>0</v>
      </c>
      <c r="Y102">
        <f t="shared" si="54"/>
        <v>0</v>
      </c>
      <c r="Z102">
        <f t="shared" si="55"/>
        <v>0</v>
      </c>
      <c r="AA102">
        <f t="shared" si="56"/>
        <v>0</v>
      </c>
      <c r="AB102">
        <f t="shared" si="57"/>
        <v>0</v>
      </c>
      <c r="AC102">
        <f t="shared" si="58"/>
        <v>5776.5643476053001</v>
      </c>
      <c r="AD102">
        <f t="shared" si="59"/>
        <v>0</v>
      </c>
      <c r="AE102">
        <f t="shared" si="60"/>
        <v>5776.5643476053001</v>
      </c>
      <c r="AF102">
        <f t="shared" si="61"/>
        <v>0</v>
      </c>
      <c r="AG102">
        <f t="shared" si="62"/>
        <v>5776.5643476053001</v>
      </c>
      <c r="AH102">
        <f t="shared" si="63"/>
        <v>5776.5643476053001</v>
      </c>
      <c r="AI102">
        <f t="shared" si="64"/>
        <v>0</v>
      </c>
      <c r="AJ102">
        <f t="shared" si="65"/>
        <v>0</v>
      </c>
      <c r="AK102">
        <f t="shared" si="66"/>
        <v>5776.5643476053001</v>
      </c>
      <c r="AL102">
        <f t="shared" si="67"/>
        <v>0</v>
      </c>
      <c r="AM102">
        <f t="shared" si="68"/>
        <v>0</v>
      </c>
      <c r="AN102">
        <f t="shared" si="69"/>
        <v>5776.5643476053001</v>
      </c>
      <c r="AO102">
        <f t="shared" si="70"/>
        <v>0</v>
      </c>
      <c r="AP102">
        <f t="shared" si="71"/>
        <v>0</v>
      </c>
      <c r="AQ102">
        <f t="shared" si="72"/>
        <v>0</v>
      </c>
      <c r="AR102">
        <f t="shared" si="73"/>
        <v>65950.617223768946</v>
      </c>
      <c r="AS102">
        <f t="shared" si="74"/>
        <v>0</v>
      </c>
      <c r="AT102">
        <f t="shared" si="75"/>
        <v>0</v>
      </c>
      <c r="AU102">
        <f t="shared" si="76"/>
        <v>0</v>
      </c>
    </row>
    <row r="103" spans="1:47" x14ac:dyDescent="0.2">
      <c r="A103">
        <v>102</v>
      </c>
      <c r="B103">
        <f>PoolStates_V2!B103</f>
        <v>0</v>
      </c>
      <c r="C103">
        <f>PoolStates_V2!S103</f>
        <v>279.59375085842288</v>
      </c>
      <c r="D103">
        <f>PoolStates_V2!T103</f>
        <v>5312.4595313337859</v>
      </c>
      <c r="E103">
        <f>PoolStates_V2!Q103</f>
        <v>2.6270418598744301</v>
      </c>
      <c r="F103">
        <f t="shared" si="77"/>
        <v>0</v>
      </c>
      <c r="G103">
        <f t="shared" si="78"/>
        <v>0</v>
      </c>
      <c r="H103">
        <f t="shared" si="79"/>
        <v>65950.617223768946</v>
      </c>
      <c r="I103">
        <f t="shared" si="40"/>
        <v>2.6270418598744301</v>
      </c>
      <c r="J103">
        <f t="shared" si="41"/>
        <v>0</v>
      </c>
      <c r="K103">
        <f t="shared" si="42"/>
        <v>0</v>
      </c>
      <c r="L103">
        <f t="shared" si="43"/>
        <v>0</v>
      </c>
      <c r="M103">
        <f t="shared" si="44"/>
        <v>0</v>
      </c>
      <c r="N103">
        <f t="shared" si="45"/>
        <v>0</v>
      </c>
      <c r="O103">
        <f t="shared" si="46"/>
        <v>65947.990181909074</v>
      </c>
      <c r="P103">
        <f>M103*Inputs!B6/12</f>
        <v>0</v>
      </c>
      <c r="Q103">
        <f t="shared" si="47"/>
        <v>0</v>
      </c>
      <c r="R103">
        <f>N103*Inputs!B6/12</f>
        <v>0</v>
      </c>
      <c r="S103">
        <f t="shared" si="48"/>
        <v>0</v>
      </c>
      <c r="T103">
        <f t="shared" si="49"/>
        <v>279.59375085842288</v>
      </c>
      <c r="U103">
        <f t="shared" si="50"/>
        <v>0</v>
      </c>
      <c r="V103">
        <f t="shared" si="51"/>
        <v>279.59375085842288</v>
      </c>
      <c r="W103">
        <f t="shared" si="52"/>
        <v>5312.4595313337859</v>
      </c>
      <c r="X103">
        <f t="shared" si="53"/>
        <v>0</v>
      </c>
      <c r="Y103">
        <f t="shared" si="54"/>
        <v>0</v>
      </c>
      <c r="Z103">
        <f t="shared" si="55"/>
        <v>0</v>
      </c>
      <c r="AA103">
        <f t="shared" si="56"/>
        <v>0</v>
      </c>
      <c r="AB103">
        <f t="shared" si="57"/>
        <v>0</v>
      </c>
      <c r="AC103">
        <f t="shared" si="58"/>
        <v>5312.4595313337859</v>
      </c>
      <c r="AD103">
        <f t="shared" si="59"/>
        <v>0</v>
      </c>
      <c r="AE103">
        <f t="shared" si="60"/>
        <v>5312.4595313337859</v>
      </c>
      <c r="AF103">
        <f t="shared" si="61"/>
        <v>0</v>
      </c>
      <c r="AG103">
        <f t="shared" si="62"/>
        <v>5312.4595313337859</v>
      </c>
      <c r="AH103">
        <f t="shared" si="63"/>
        <v>5312.4595313337859</v>
      </c>
      <c r="AI103">
        <f t="shared" si="64"/>
        <v>0</v>
      </c>
      <c r="AJ103">
        <f t="shared" si="65"/>
        <v>0</v>
      </c>
      <c r="AK103">
        <f t="shared" si="66"/>
        <v>5312.4595313337859</v>
      </c>
      <c r="AL103">
        <f t="shared" si="67"/>
        <v>0</v>
      </c>
      <c r="AM103">
        <f t="shared" si="68"/>
        <v>0</v>
      </c>
      <c r="AN103">
        <f t="shared" si="69"/>
        <v>5312.4595313337859</v>
      </c>
      <c r="AO103">
        <f t="shared" si="70"/>
        <v>0</v>
      </c>
      <c r="AP103">
        <f t="shared" si="71"/>
        <v>0</v>
      </c>
      <c r="AQ103">
        <f t="shared" si="72"/>
        <v>0</v>
      </c>
      <c r="AR103">
        <f t="shared" si="73"/>
        <v>60635.530650575289</v>
      </c>
      <c r="AS103">
        <f t="shared" si="74"/>
        <v>0</v>
      </c>
      <c r="AT103">
        <f t="shared" si="75"/>
        <v>0</v>
      </c>
      <c r="AU103">
        <f t="shared" si="76"/>
        <v>0</v>
      </c>
    </row>
    <row r="104" spans="1:47" x14ac:dyDescent="0.2">
      <c r="A104">
        <v>103</v>
      </c>
      <c r="B104">
        <f>PoolStates_V2!B104</f>
        <v>0</v>
      </c>
      <c r="C104">
        <f>PoolStates_V2!S104</f>
        <v>257.05769858058989</v>
      </c>
      <c r="D104">
        <f>PoolStates_V2!T104</f>
        <v>4885.549121927198</v>
      </c>
      <c r="E104">
        <f>PoolStates_V2!Q104</f>
        <v>2.4165365520101503</v>
      </c>
      <c r="F104">
        <f t="shared" si="77"/>
        <v>0</v>
      </c>
      <c r="G104">
        <f t="shared" si="78"/>
        <v>0</v>
      </c>
      <c r="H104">
        <f t="shared" si="79"/>
        <v>60635.530650575289</v>
      </c>
      <c r="I104">
        <f t="shared" si="40"/>
        <v>2.4165365520101503</v>
      </c>
      <c r="J104">
        <f t="shared" si="41"/>
        <v>0</v>
      </c>
      <c r="K104">
        <f t="shared" si="42"/>
        <v>0</v>
      </c>
      <c r="L104">
        <f t="shared" si="43"/>
        <v>0</v>
      </c>
      <c r="M104">
        <f t="shared" si="44"/>
        <v>0</v>
      </c>
      <c r="N104">
        <f t="shared" si="45"/>
        <v>0</v>
      </c>
      <c r="O104">
        <f t="shared" si="46"/>
        <v>60633.114114023279</v>
      </c>
      <c r="P104">
        <f>M104*Inputs!B6/12</f>
        <v>0</v>
      </c>
      <c r="Q104">
        <f t="shared" si="47"/>
        <v>0</v>
      </c>
      <c r="R104">
        <f>N104*Inputs!B6/12</f>
        <v>0</v>
      </c>
      <c r="S104">
        <f t="shared" si="48"/>
        <v>0</v>
      </c>
      <c r="T104">
        <f t="shared" si="49"/>
        <v>257.05769858058989</v>
      </c>
      <c r="U104">
        <f t="shared" si="50"/>
        <v>0</v>
      </c>
      <c r="V104">
        <f t="shared" si="51"/>
        <v>257.05769858058989</v>
      </c>
      <c r="W104">
        <f t="shared" si="52"/>
        <v>4885.549121927198</v>
      </c>
      <c r="X104">
        <f t="shared" si="53"/>
        <v>0</v>
      </c>
      <c r="Y104">
        <f t="shared" si="54"/>
        <v>0</v>
      </c>
      <c r="Z104">
        <f t="shared" si="55"/>
        <v>0</v>
      </c>
      <c r="AA104">
        <f t="shared" si="56"/>
        <v>0</v>
      </c>
      <c r="AB104">
        <f t="shared" si="57"/>
        <v>0</v>
      </c>
      <c r="AC104">
        <f t="shared" si="58"/>
        <v>4885.549121927198</v>
      </c>
      <c r="AD104">
        <f t="shared" si="59"/>
        <v>0</v>
      </c>
      <c r="AE104">
        <f t="shared" si="60"/>
        <v>4885.549121927198</v>
      </c>
      <c r="AF104">
        <f t="shared" si="61"/>
        <v>0</v>
      </c>
      <c r="AG104">
        <f t="shared" si="62"/>
        <v>4885.549121927198</v>
      </c>
      <c r="AH104">
        <f t="shared" si="63"/>
        <v>4885.549121927198</v>
      </c>
      <c r="AI104">
        <f t="shared" si="64"/>
        <v>0</v>
      </c>
      <c r="AJ104">
        <f t="shared" si="65"/>
        <v>0</v>
      </c>
      <c r="AK104">
        <f t="shared" si="66"/>
        <v>4885.549121927198</v>
      </c>
      <c r="AL104">
        <f t="shared" si="67"/>
        <v>0</v>
      </c>
      <c r="AM104">
        <f t="shared" si="68"/>
        <v>0</v>
      </c>
      <c r="AN104">
        <f t="shared" si="69"/>
        <v>4885.549121927198</v>
      </c>
      <c r="AO104">
        <f t="shared" si="70"/>
        <v>0</v>
      </c>
      <c r="AP104">
        <f t="shared" si="71"/>
        <v>0</v>
      </c>
      <c r="AQ104">
        <f t="shared" si="72"/>
        <v>0</v>
      </c>
      <c r="AR104">
        <f t="shared" si="73"/>
        <v>55747.564992096079</v>
      </c>
      <c r="AS104">
        <f t="shared" si="74"/>
        <v>0</v>
      </c>
      <c r="AT104">
        <f t="shared" si="75"/>
        <v>0</v>
      </c>
      <c r="AU104">
        <f t="shared" si="76"/>
        <v>0</v>
      </c>
    </row>
    <row r="105" spans="1:47" x14ac:dyDescent="0.2">
      <c r="A105">
        <v>104</v>
      </c>
      <c r="B105">
        <f>PoolStates_V2!B105</f>
        <v>0</v>
      </c>
      <c r="C105">
        <f>PoolStates_V2!S105</f>
        <v>236.33290769024686</v>
      </c>
      <c r="D105">
        <f>PoolStates_V2!T105</f>
        <v>4492.8587848335028</v>
      </c>
      <c r="E105">
        <f>PoolStates_V2!Q105</f>
        <v>2.2228431485660698</v>
      </c>
      <c r="F105">
        <f t="shared" si="77"/>
        <v>0</v>
      </c>
      <c r="G105">
        <f t="shared" si="78"/>
        <v>0</v>
      </c>
      <c r="H105">
        <f t="shared" si="79"/>
        <v>55747.564992096079</v>
      </c>
      <c r="I105">
        <f t="shared" si="40"/>
        <v>2.2228431485660698</v>
      </c>
      <c r="J105">
        <f t="shared" si="41"/>
        <v>0</v>
      </c>
      <c r="K105">
        <f t="shared" si="42"/>
        <v>0</v>
      </c>
      <c r="L105">
        <f t="shared" si="43"/>
        <v>0</v>
      </c>
      <c r="M105">
        <f t="shared" si="44"/>
        <v>0</v>
      </c>
      <c r="N105">
        <f t="shared" si="45"/>
        <v>0</v>
      </c>
      <c r="O105">
        <f t="shared" si="46"/>
        <v>55745.342148947515</v>
      </c>
      <c r="P105">
        <f>M105*Inputs!B6/12</f>
        <v>0</v>
      </c>
      <c r="Q105">
        <f t="shared" si="47"/>
        <v>0</v>
      </c>
      <c r="R105">
        <f>N105*Inputs!B6/12</f>
        <v>0</v>
      </c>
      <c r="S105">
        <f t="shared" si="48"/>
        <v>0</v>
      </c>
      <c r="T105">
        <f t="shared" si="49"/>
        <v>236.33290769024686</v>
      </c>
      <c r="U105">
        <f t="shared" si="50"/>
        <v>0</v>
      </c>
      <c r="V105">
        <f t="shared" si="51"/>
        <v>236.33290769024686</v>
      </c>
      <c r="W105">
        <f t="shared" si="52"/>
        <v>4492.8587848335028</v>
      </c>
      <c r="X105">
        <f t="shared" si="53"/>
        <v>0</v>
      </c>
      <c r="Y105">
        <f t="shared" si="54"/>
        <v>0</v>
      </c>
      <c r="Z105">
        <f t="shared" si="55"/>
        <v>0</v>
      </c>
      <c r="AA105">
        <f t="shared" si="56"/>
        <v>0</v>
      </c>
      <c r="AB105">
        <f t="shared" si="57"/>
        <v>0</v>
      </c>
      <c r="AC105">
        <f t="shared" si="58"/>
        <v>4492.8587848335028</v>
      </c>
      <c r="AD105">
        <f t="shared" si="59"/>
        <v>0</v>
      </c>
      <c r="AE105">
        <f t="shared" si="60"/>
        <v>4492.8587848335028</v>
      </c>
      <c r="AF105">
        <f t="shared" si="61"/>
        <v>0</v>
      </c>
      <c r="AG105">
        <f t="shared" si="62"/>
        <v>4492.8587848335028</v>
      </c>
      <c r="AH105">
        <f t="shared" si="63"/>
        <v>4492.8587848335028</v>
      </c>
      <c r="AI105">
        <f t="shared" si="64"/>
        <v>0</v>
      </c>
      <c r="AJ105">
        <f t="shared" si="65"/>
        <v>0</v>
      </c>
      <c r="AK105">
        <f t="shared" si="66"/>
        <v>4492.8587848335028</v>
      </c>
      <c r="AL105">
        <f t="shared" si="67"/>
        <v>0</v>
      </c>
      <c r="AM105">
        <f t="shared" si="68"/>
        <v>0</v>
      </c>
      <c r="AN105">
        <f t="shared" si="69"/>
        <v>4492.8587848335028</v>
      </c>
      <c r="AO105">
        <f t="shared" si="70"/>
        <v>0</v>
      </c>
      <c r="AP105">
        <f t="shared" si="71"/>
        <v>0</v>
      </c>
      <c r="AQ105">
        <f t="shared" si="72"/>
        <v>0</v>
      </c>
      <c r="AR105">
        <f t="shared" si="73"/>
        <v>51252.483364114014</v>
      </c>
      <c r="AS105">
        <f t="shared" si="74"/>
        <v>0</v>
      </c>
      <c r="AT105">
        <f t="shared" si="75"/>
        <v>0</v>
      </c>
      <c r="AU105">
        <f t="shared" si="76"/>
        <v>0</v>
      </c>
    </row>
    <row r="106" spans="1:47" x14ac:dyDescent="0.2">
      <c r="A106">
        <v>105</v>
      </c>
      <c r="B106">
        <f>PoolStates_V2!B106</f>
        <v>0</v>
      </c>
      <c r="C106">
        <f>PoolStates_V2!S106</f>
        <v>217.27416773664623</v>
      </c>
      <c r="D106">
        <f>PoolStates_V2!T106</f>
        <v>4131.6515845117601</v>
      </c>
      <c r="E106">
        <f>PoolStates_V2!Q106</f>
        <v>2.044623863810838</v>
      </c>
      <c r="F106">
        <f t="shared" si="77"/>
        <v>0</v>
      </c>
      <c r="G106">
        <f t="shared" si="78"/>
        <v>0</v>
      </c>
      <c r="H106">
        <f t="shared" si="79"/>
        <v>51252.483364114014</v>
      </c>
      <c r="I106">
        <f t="shared" si="40"/>
        <v>2.044623863810838</v>
      </c>
      <c r="J106">
        <f t="shared" si="41"/>
        <v>0</v>
      </c>
      <c r="K106">
        <f t="shared" si="42"/>
        <v>0</v>
      </c>
      <c r="L106">
        <f t="shared" si="43"/>
        <v>0</v>
      </c>
      <c r="M106">
        <f t="shared" si="44"/>
        <v>0</v>
      </c>
      <c r="N106">
        <f t="shared" si="45"/>
        <v>0</v>
      </c>
      <c r="O106">
        <f t="shared" si="46"/>
        <v>51250.438740250203</v>
      </c>
      <c r="P106">
        <f>M106*Inputs!B6/12</f>
        <v>0</v>
      </c>
      <c r="Q106">
        <f t="shared" si="47"/>
        <v>0</v>
      </c>
      <c r="R106">
        <f>N106*Inputs!B6/12</f>
        <v>0</v>
      </c>
      <c r="S106">
        <f t="shared" si="48"/>
        <v>0</v>
      </c>
      <c r="T106">
        <f t="shared" si="49"/>
        <v>217.27416773664623</v>
      </c>
      <c r="U106">
        <f t="shared" si="50"/>
        <v>0</v>
      </c>
      <c r="V106">
        <f t="shared" si="51"/>
        <v>217.27416773664623</v>
      </c>
      <c r="W106">
        <f t="shared" si="52"/>
        <v>4131.6515845117601</v>
      </c>
      <c r="X106">
        <f t="shared" si="53"/>
        <v>0</v>
      </c>
      <c r="Y106">
        <f t="shared" si="54"/>
        <v>0</v>
      </c>
      <c r="Z106">
        <f t="shared" si="55"/>
        <v>0</v>
      </c>
      <c r="AA106">
        <f t="shared" si="56"/>
        <v>0</v>
      </c>
      <c r="AB106">
        <f t="shared" si="57"/>
        <v>0</v>
      </c>
      <c r="AC106">
        <f t="shared" si="58"/>
        <v>4131.6515845117601</v>
      </c>
      <c r="AD106">
        <f t="shared" si="59"/>
        <v>0</v>
      </c>
      <c r="AE106">
        <f t="shared" si="60"/>
        <v>4131.6515845117601</v>
      </c>
      <c r="AF106">
        <f t="shared" si="61"/>
        <v>0</v>
      </c>
      <c r="AG106">
        <f t="shared" si="62"/>
        <v>4131.6515845117601</v>
      </c>
      <c r="AH106">
        <f t="shared" si="63"/>
        <v>4131.6515845117601</v>
      </c>
      <c r="AI106">
        <f t="shared" si="64"/>
        <v>0</v>
      </c>
      <c r="AJ106">
        <f t="shared" si="65"/>
        <v>0</v>
      </c>
      <c r="AK106">
        <f t="shared" si="66"/>
        <v>4131.6515845117601</v>
      </c>
      <c r="AL106">
        <f t="shared" si="67"/>
        <v>0</v>
      </c>
      <c r="AM106">
        <f t="shared" si="68"/>
        <v>0</v>
      </c>
      <c r="AN106">
        <f t="shared" si="69"/>
        <v>4131.6515845117601</v>
      </c>
      <c r="AO106">
        <f t="shared" si="70"/>
        <v>0</v>
      </c>
      <c r="AP106">
        <f t="shared" si="71"/>
        <v>0</v>
      </c>
      <c r="AQ106">
        <f t="shared" si="72"/>
        <v>0</v>
      </c>
      <c r="AR106">
        <f t="shared" si="73"/>
        <v>47118.787155738442</v>
      </c>
      <c r="AS106">
        <f t="shared" si="74"/>
        <v>0</v>
      </c>
      <c r="AT106">
        <f t="shared" si="75"/>
        <v>0</v>
      </c>
      <c r="AU106">
        <f t="shared" si="76"/>
        <v>0</v>
      </c>
    </row>
    <row r="107" spans="1:47" x14ac:dyDescent="0.2">
      <c r="A107">
        <v>106</v>
      </c>
      <c r="B107">
        <f>PoolStates_V2!B107</f>
        <v>0</v>
      </c>
      <c r="C107">
        <f>PoolStates_V2!S107</f>
        <v>199.74788475076463</v>
      </c>
      <c r="D107">
        <f>PoolStates_V2!T107</f>
        <v>3799.4090666237812</v>
      </c>
      <c r="E107">
        <f>PoolStates_V2!Q107</f>
        <v>1.8806468963679632</v>
      </c>
      <c r="F107">
        <f t="shared" si="77"/>
        <v>0</v>
      </c>
      <c r="G107">
        <f t="shared" si="78"/>
        <v>0</v>
      </c>
      <c r="H107">
        <f t="shared" si="79"/>
        <v>47118.787155738442</v>
      </c>
      <c r="I107">
        <f t="shared" si="40"/>
        <v>1.8806468963679632</v>
      </c>
      <c r="J107">
        <f t="shared" si="41"/>
        <v>0</v>
      </c>
      <c r="K107">
        <f t="shared" si="42"/>
        <v>0</v>
      </c>
      <c r="L107">
        <f t="shared" si="43"/>
        <v>0</v>
      </c>
      <c r="M107">
        <f t="shared" si="44"/>
        <v>0</v>
      </c>
      <c r="N107">
        <f t="shared" si="45"/>
        <v>0</v>
      </c>
      <c r="O107">
        <f t="shared" si="46"/>
        <v>47116.906508842076</v>
      </c>
      <c r="P107">
        <f>M107*Inputs!B6/12</f>
        <v>0</v>
      </c>
      <c r="Q107">
        <f t="shared" si="47"/>
        <v>0</v>
      </c>
      <c r="R107">
        <f>N107*Inputs!B6/12</f>
        <v>0</v>
      </c>
      <c r="S107">
        <f t="shared" si="48"/>
        <v>0</v>
      </c>
      <c r="T107">
        <f t="shared" si="49"/>
        <v>199.74788475076463</v>
      </c>
      <c r="U107">
        <f t="shared" si="50"/>
        <v>0</v>
      </c>
      <c r="V107">
        <f t="shared" si="51"/>
        <v>199.74788475076463</v>
      </c>
      <c r="W107">
        <f t="shared" si="52"/>
        <v>3799.4090666237812</v>
      </c>
      <c r="X107">
        <f t="shared" si="53"/>
        <v>0</v>
      </c>
      <c r="Y107">
        <f t="shared" si="54"/>
        <v>0</v>
      </c>
      <c r="Z107">
        <f t="shared" si="55"/>
        <v>0</v>
      </c>
      <c r="AA107">
        <f t="shared" si="56"/>
        <v>0</v>
      </c>
      <c r="AB107">
        <f t="shared" si="57"/>
        <v>0</v>
      </c>
      <c r="AC107">
        <f t="shared" si="58"/>
        <v>3799.4090666237812</v>
      </c>
      <c r="AD107">
        <f t="shared" si="59"/>
        <v>0</v>
      </c>
      <c r="AE107">
        <f t="shared" si="60"/>
        <v>3799.4090666237812</v>
      </c>
      <c r="AF107">
        <f t="shared" si="61"/>
        <v>0</v>
      </c>
      <c r="AG107">
        <f t="shared" si="62"/>
        <v>3799.4090666237812</v>
      </c>
      <c r="AH107">
        <f t="shared" si="63"/>
        <v>3799.4090666237812</v>
      </c>
      <c r="AI107">
        <f t="shared" si="64"/>
        <v>0</v>
      </c>
      <c r="AJ107">
        <f t="shared" si="65"/>
        <v>0</v>
      </c>
      <c r="AK107">
        <f t="shared" si="66"/>
        <v>3799.4090666237812</v>
      </c>
      <c r="AL107">
        <f t="shared" si="67"/>
        <v>0</v>
      </c>
      <c r="AM107">
        <f t="shared" si="68"/>
        <v>0</v>
      </c>
      <c r="AN107">
        <f t="shared" si="69"/>
        <v>3799.4090666237812</v>
      </c>
      <c r="AO107">
        <f t="shared" si="70"/>
        <v>0</v>
      </c>
      <c r="AP107">
        <f t="shared" si="71"/>
        <v>0</v>
      </c>
      <c r="AQ107">
        <f t="shared" si="72"/>
        <v>0</v>
      </c>
      <c r="AR107">
        <f t="shared" si="73"/>
        <v>43317.497442218293</v>
      </c>
      <c r="AS107">
        <f t="shared" si="74"/>
        <v>0</v>
      </c>
      <c r="AT107">
        <f t="shared" si="75"/>
        <v>0</v>
      </c>
      <c r="AU107">
        <f t="shared" si="76"/>
        <v>0</v>
      </c>
    </row>
    <row r="108" spans="1:47" x14ac:dyDescent="0.2">
      <c r="A108">
        <v>107</v>
      </c>
      <c r="B108">
        <f>PoolStates_V2!B108</f>
        <v>0</v>
      </c>
      <c r="C108">
        <f>PoolStates_V2!S108</f>
        <v>183.63115365994341</v>
      </c>
      <c r="D108">
        <f>PoolStates_V2!T108</f>
        <v>3493.8138458022131</v>
      </c>
      <c r="E108">
        <f>PoolStates_V2!Q108</f>
        <v>1.7297780819373936</v>
      </c>
      <c r="F108">
        <f t="shared" si="77"/>
        <v>0</v>
      </c>
      <c r="G108">
        <f t="shared" si="78"/>
        <v>0</v>
      </c>
      <c r="H108">
        <f t="shared" si="79"/>
        <v>43317.497442218293</v>
      </c>
      <c r="I108">
        <f t="shared" si="40"/>
        <v>1.7297780819373936</v>
      </c>
      <c r="J108">
        <f t="shared" si="41"/>
        <v>0</v>
      </c>
      <c r="K108">
        <f t="shared" si="42"/>
        <v>0</v>
      </c>
      <c r="L108">
        <f t="shared" si="43"/>
        <v>0</v>
      </c>
      <c r="M108">
        <f t="shared" si="44"/>
        <v>0</v>
      </c>
      <c r="N108">
        <f t="shared" si="45"/>
        <v>0</v>
      </c>
      <c r="O108">
        <f t="shared" si="46"/>
        <v>43315.767664136358</v>
      </c>
      <c r="P108">
        <f>M108*Inputs!B6/12</f>
        <v>0</v>
      </c>
      <c r="Q108">
        <f t="shared" si="47"/>
        <v>0</v>
      </c>
      <c r="R108">
        <f>N108*Inputs!B6/12</f>
        <v>0</v>
      </c>
      <c r="S108">
        <f t="shared" si="48"/>
        <v>0</v>
      </c>
      <c r="T108">
        <f t="shared" si="49"/>
        <v>183.63115365994341</v>
      </c>
      <c r="U108">
        <f t="shared" si="50"/>
        <v>0</v>
      </c>
      <c r="V108">
        <f t="shared" si="51"/>
        <v>183.63115365994341</v>
      </c>
      <c r="W108">
        <f t="shared" si="52"/>
        <v>3493.8138458022131</v>
      </c>
      <c r="X108">
        <f t="shared" si="53"/>
        <v>0</v>
      </c>
      <c r="Y108">
        <f t="shared" si="54"/>
        <v>0</v>
      </c>
      <c r="Z108">
        <f t="shared" si="55"/>
        <v>0</v>
      </c>
      <c r="AA108">
        <f t="shared" si="56"/>
        <v>0</v>
      </c>
      <c r="AB108">
        <f t="shared" si="57"/>
        <v>0</v>
      </c>
      <c r="AC108">
        <f t="shared" si="58"/>
        <v>3493.8138458022131</v>
      </c>
      <c r="AD108">
        <f t="shared" si="59"/>
        <v>0</v>
      </c>
      <c r="AE108">
        <f t="shared" si="60"/>
        <v>3493.8138458022131</v>
      </c>
      <c r="AF108">
        <f t="shared" si="61"/>
        <v>0</v>
      </c>
      <c r="AG108">
        <f t="shared" si="62"/>
        <v>3493.8138458022131</v>
      </c>
      <c r="AH108">
        <f t="shared" si="63"/>
        <v>3493.8138458022131</v>
      </c>
      <c r="AI108">
        <f t="shared" si="64"/>
        <v>0</v>
      </c>
      <c r="AJ108">
        <f t="shared" si="65"/>
        <v>0</v>
      </c>
      <c r="AK108">
        <f t="shared" si="66"/>
        <v>3493.8138458022131</v>
      </c>
      <c r="AL108">
        <f t="shared" si="67"/>
        <v>0</v>
      </c>
      <c r="AM108">
        <f t="shared" si="68"/>
        <v>0</v>
      </c>
      <c r="AN108">
        <f t="shared" si="69"/>
        <v>3493.8138458022131</v>
      </c>
      <c r="AO108">
        <f t="shared" si="70"/>
        <v>0</v>
      </c>
      <c r="AP108">
        <f t="shared" si="71"/>
        <v>0</v>
      </c>
      <c r="AQ108">
        <f t="shared" si="72"/>
        <v>0</v>
      </c>
      <c r="AR108">
        <f t="shared" si="73"/>
        <v>39821.953818334143</v>
      </c>
      <c r="AS108">
        <f t="shared" si="74"/>
        <v>0</v>
      </c>
      <c r="AT108">
        <f t="shared" si="75"/>
        <v>0</v>
      </c>
      <c r="AU108">
        <f t="shared" si="76"/>
        <v>0</v>
      </c>
    </row>
    <row r="109" spans="1:47" x14ac:dyDescent="0.2">
      <c r="A109">
        <v>108</v>
      </c>
      <c r="B109">
        <f>PoolStates_V2!B109</f>
        <v>0</v>
      </c>
      <c r="C109">
        <f>PoolStates_V2!S109</f>
        <v>168.81090466081031</v>
      </c>
      <c r="D109">
        <f>PoolStates_V2!T109</f>
        <v>3212.7335792822378</v>
      </c>
      <c r="E109">
        <f>PoolStates_V2!Q109</f>
        <v>1.5909731978451775</v>
      </c>
      <c r="F109">
        <f t="shared" si="77"/>
        <v>0</v>
      </c>
      <c r="G109">
        <f t="shared" si="78"/>
        <v>0</v>
      </c>
      <c r="H109">
        <f t="shared" si="79"/>
        <v>39821.953818334143</v>
      </c>
      <c r="I109">
        <f t="shared" si="40"/>
        <v>1.5909731978451775</v>
      </c>
      <c r="J109">
        <f t="shared" si="41"/>
        <v>0</v>
      </c>
      <c r="K109">
        <f t="shared" si="42"/>
        <v>0</v>
      </c>
      <c r="L109">
        <f t="shared" si="43"/>
        <v>0</v>
      </c>
      <c r="M109">
        <f t="shared" si="44"/>
        <v>0</v>
      </c>
      <c r="N109">
        <f t="shared" si="45"/>
        <v>0</v>
      </c>
      <c r="O109">
        <f t="shared" si="46"/>
        <v>39820.362845136297</v>
      </c>
      <c r="P109">
        <f>M109*Inputs!B6/12</f>
        <v>0</v>
      </c>
      <c r="Q109">
        <f t="shared" si="47"/>
        <v>0</v>
      </c>
      <c r="R109">
        <f>N109*Inputs!B6/12</f>
        <v>0</v>
      </c>
      <c r="S109">
        <f t="shared" si="48"/>
        <v>0</v>
      </c>
      <c r="T109">
        <f t="shared" si="49"/>
        <v>168.81090466081031</v>
      </c>
      <c r="U109">
        <f t="shared" si="50"/>
        <v>0</v>
      </c>
      <c r="V109">
        <f t="shared" si="51"/>
        <v>168.81090466081031</v>
      </c>
      <c r="W109">
        <f t="shared" si="52"/>
        <v>3212.7335792822378</v>
      </c>
      <c r="X109">
        <f t="shared" si="53"/>
        <v>0</v>
      </c>
      <c r="Y109">
        <f t="shared" si="54"/>
        <v>0</v>
      </c>
      <c r="Z109">
        <f t="shared" si="55"/>
        <v>0</v>
      </c>
      <c r="AA109">
        <f t="shared" si="56"/>
        <v>0</v>
      </c>
      <c r="AB109">
        <f t="shared" si="57"/>
        <v>0</v>
      </c>
      <c r="AC109">
        <f t="shared" si="58"/>
        <v>3212.7335792822378</v>
      </c>
      <c r="AD109">
        <f t="shared" si="59"/>
        <v>0</v>
      </c>
      <c r="AE109">
        <f t="shared" si="60"/>
        <v>3212.7335792822378</v>
      </c>
      <c r="AF109">
        <f t="shared" si="61"/>
        <v>0</v>
      </c>
      <c r="AG109">
        <f t="shared" si="62"/>
        <v>3212.7335792822378</v>
      </c>
      <c r="AH109">
        <f t="shared" si="63"/>
        <v>3212.7335792822378</v>
      </c>
      <c r="AI109">
        <f t="shared" si="64"/>
        <v>0</v>
      </c>
      <c r="AJ109">
        <f t="shared" si="65"/>
        <v>0</v>
      </c>
      <c r="AK109">
        <f t="shared" si="66"/>
        <v>3212.7335792822378</v>
      </c>
      <c r="AL109">
        <f t="shared" si="67"/>
        <v>0</v>
      </c>
      <c r="AM109">
        <f t="shared" si="68"/>
        <v>0</v>
      </c>
      <c r="AN109">
        <f t="shared" si="69"/>
        <v>3212.7335792822378</v>
      </c>
      <c r="AO109">
        <f t="shared" si="70"/>
        <v>0</v>
      </c>
      <c r="AP109">
        <f t="shared" si="71"/>
        <v>0</v>
      </c>
      <c r="AQ109">
        <f t="shared" si="72"/>
        <v>0</v>
      </c>
      <c r="AR109">
        <f t="shared" si="73"/>
        <v>36607.629265854062</v>
      </c>
      <c r="AS109">
        <f t="shared" si="74"/>
        <v>0</v>
      </c>
      <c r="AT109">
        <f t="shared" si="75"/>
        <v>0</v>
      </c>
      <c r="AU109">
        <f t="shared" si="76"/>
        <v>0</v>
      </c>
    </row>
    <row r="110" spans="1:47" x14ac:dyDescent="0.2">
      <c r="A110">
        <v>109</v>
      </c>
      <c r="B110">
        <f>PoolStates_V2!B110</f>
        <v>0</v>
      </c>
      <c r="C110">
        <f>PoolStates_V2!S110</f>
        <v>155.18311766000051</v>
      </c>
      <c r="D110">
        <f>PoolStates_V2!T110</f>
        <v>2954.2062161990766</v>
      </c>
      <c r="E110">
        <f>PoolStates_V2!Q110</f>
        <v>1.4632708691983161</v>
      </c>
      <c r="F110">
        <f t="shared" si="77"/>
        <v>0</v>
      </c>
      <c r="G110">
        <f t="shared" si="78"/>
        <v>0</v>
      </c>
      <c r="H110">
        <f t="shared" si="79"/>
        <v>36607.629265854062</v>
      </c>
      <c r="I110">
        <f t="shared" si="40"/>
        <v>1.4632708691983161</v>
      </c>
      <c r="J110">
        <f t="shared" si="41"/>
        <v>0</v>
      </c>
      <c r="K110">
        <f t="shared" si="42"/>
        <v>0</v>
      </c>
      <c r="L110">
        <f t="shared" si="43"/>
        <v>0</v>
      </c>
      <c r="M110">
        <f t="shared" si="44"/>
        <v>0</v>
      </c>
      <c r="N110">
        <f t="shared" si="45"/>
        <v>0</v>
      </c>
      <c r="O110">
        <f t="shared" si="46"/>
        <v>36606.165994984862</v>
      </c>
      <c r="P110">
        <f>M110*Inputs!B6/12</f>
        <v>0</v>
      </c>
      <c r="Q110">
        <f t="shared" si="47"/>
        <v>0</v>
      </c>
      <c r="R110">
        <f>N110*Inputs!B6/12</f>
        <v>0</v>
      </c>
      <c r="S110">
        <f t="shared" si="48"/>
        <v>0</v>
      </c>
      <c r="T110">
        <f t="shared" si="49"/>
        <v>155.18311766000051</v>
      </c>
      <c r="U110">
        <f t="shared" si="50"/>
        <v>0</v>
      </c>
      <c r="V110">
        <f t="shared" si="51"/>
        <v>155.18311766000051</v>
      </c>
      <c r="W110">
        <f t="shared" si="52"/>
        <v>2954.2062161990766</v>
      </c>
      <c r="X110">
        <f t="shared" si="53"/>
        <v>0</v>
      </c>
      <c r="Y110">
        <f t="shared" si="54"/>
        <v>0</v>
      </c>
      <c r="Z110">
        <f t="shared" si="55"/>
        <v>0</v>
      </c>
      <c r="AA110">
        <f t="shared" si="56"/>
        <v>0</v>
      </c>
      <c r="AB110">
        <f t="shared" si="57"/>
        <v>0</v>
      </c>
      <c r="AC110">
        <f t="shared" si="58"/>
        <v>2954.2062161990766</v>
      </c>
      <c r="AD110">
        <f t="shared" si="59"/>
        <v>0</v>
      </c>
      <c r="AE110">
        <f t="shared" si="60"/>
        <v>2954.2062161990766</v>
      </c>
      <c r="AF110">
        <f t="shared" si="61"/>
        <v>0</v>
      </c>
      <c r="AG110">
        <f t="shared" si="62"/>
        <v>2954.2062161990766</v>
      </c>
      <c r="AH110">
        <f t="shared" si="63"/>
        <v>2954.2062161990766</v>
      </c>
      <c r="AI110">
        <f t="shared" si="64"/>
        <v>0</v>
      </c>
      <c r="AJ110">
        <f t="shared" si="65"/>
        <v>0</v>
      </c>
      <c r="AK110">
        <f t="shared" si="66"/>
        <v>2954.2062161990766</v>
      </c>
      <c r="AL110">
        <f t="shared" si="67"/>
        <v>0</v>
      </c>
      <c r="AM110">
        <f t="shared" si="68"/>
        <v>0</v>
      </c>
      <c r="AN110">
        <f t="shared" si="69"/>
        <v>2954.2062161990766</v>
      </c>
      <c r="AO110">
        <f t="shared" si="70"/>
        <v>0</v>
      </c>
      <c r="AP110">
        <f t="shared" si="71"/>
        <v>0</v>
      </c>
      <c r="AQ110">
        <f t="shared" si="72"/>
        <v>0</v>
      </c>
      <c r="AR110">
        <f t="shared" si="73"/>
        <v>33651.959778785786</v>
      </c>
      <c r="AS110">
        <f t="shared" si="74"/>
        <v>0</v>
      </c>
      <c r="AT110">
        <f t="shared" si="75"/>
        <v>0</v>
      </c>
      <c r="AU110">
        <f t="shared" si="76"/>
        <v>0</v>
      </c>
    </row>
    <row r="111" spans="1:47" x14ac:dyDescent="0.2">
      <c r="A111">
        <v>110</v>
      </c>
      <c r="B111">
        <f>PoolStates_V2!B111</f>
        <v>0</v>
      </c>
      <c r="C111">
        <f>PoolStates_V2!S111</f>
        <v>142.65209936109042</v>
      </c>
      <c r="D111">
        <f>PoolStates_V2!T111</f>
        <v>2716.4264211117952</v>
      </c>
      <c r="E111">
        <f>PoolStates_V2!Q111</f>
        <v>1.3457860302058609</v>
      </c>
      <c r="F111">
        <f t="shared" si="77"/>
        <v>0</v>
      </c>
      <c r="G111">
        <f t="shared" si="78"/>
        <v>0</v>
      </c>
      <c r="H111">
        <f t="shared" si="79"/>
        <v>33651.959778785786</v>
      </c>
      <c r="I111">
        <f t="shared" si="40"/>
        <v>1.3457860302058609</v>
      </c>
      <c r="J111">
        <f t="shared" si="41"/>
        <v>0</v>
      </c>
      <c r="K111">
        <f t="shared" si="42"/>
        <v>0</v>
      </c>
      <c r="L111">
        <f t="shared" si="43"/>
        <v>0</v>
      </c>
      <c r="M111">
        <f t="shared" si="44"/>
        <v>0</v>
      </c>
      <c r="N111">
        <f t="shared" si="45"/>
        <v>0</v>
      </c>
      <c r="O111">
        <f t="shared" si="46"/>
        <v>33650.613992755578</v>
      </c>
      <c r="P111">
        <f>M111*Inputs!B6/12</f>
        <v>0</v>
      </c>
      <c r="Q111">
        <f t="shared" si="47"/>
        <v>0</v>
      </c>
      <c r="R111">
        <f>N111*Inputs!B6/12</f>
        <v>0</v>
      </c>
      <c r="S111">
        <f t="shared" si="48"/>
        <v>0</v>
      </c>
      <c r="T111">
        <f t="shared" si="49"/>
        <v>142.65209936109042</v>
      </c>
      <c r="U111">
        <f t="shared" si="50"/>
        <v>0</v>
      </c>
      <c r="V111">
        <f t="shared" si="51"/>
        <v>142.65209936109042</v>
      </c>
      <c r="W111">
        <f t="shared" si="52"/>
        <v>2716.4264211117952</v>
      </c>
      <c r="X111">
        <f t="shared" si="53"/>
        <v>0</v>
      </c>
      <c r="Y111">
        <f t="shared" si="54"/>
        <v>0</v>
      </c>
      <c r="Z111">
        <f t="shared" si="55"/>
        <v>0</v>
      </c>
      <c r="AA111">
        <f t="shared" si="56"/>
        <v>0</v>
      </c>
      <c r="AB111">
        <f t="shared" si="57"/>
        <v>0</v>
      </c>
      <c r="AC111">
        <f t="shared" si="58"/>
        <v>2716.4264211117952</v>
      </c>
      <c r="AD111">
        <f t="shared" si="59"/>
        <v>0</v>
      </c>
      <c r="AE111">
        <f t="shared" si="60"/>
        <v>2716.4264211117952</v>
      </c>
      <c r="AF111">
        <f t="shared" si="61"/>
        <v>0</v>
      </c>
      <c r="AG111">
        <f t="shared" si="62"/>
        <v>2716.4264211117952</v>
      </c>
      <c r="AH111">
        <f t="shared" si="63"/>
        <v>2716.4264211117952</v>
      </c>
      <c r="AI111">
        <f t="shared" si="64"/>
        <v>0</v>
      </c>
      <c r="AJ111">
        <f t="shared" si="65"/>
        <v>0</v>
      </c>
      <c r="AK111">
        <f t="shared" si="66"/>
        <v>2716.4264211117952</v>
      </c>
      <c r="AL111">
        <f t="shared" si="67"/>
        <v>0</v>
      </c>
      <c r="AM111">
        <f t="shared" si="68"/>
        <v>0</v>
      </c>
      <c r="AN111">
        <f t="shared" si="69"/>
        <v>2716.4264211117952</v>
      </c>
      <c r="AO111">
        <f t="shared" si="70"/>
        <v>0</v>
      </c>
      <c r="AP111">
        <f t="shared" si="71"/>
        <v>0</v>
      </c>
      <c r="AQ111">
        <f t="shared" si="72"/>
        <v>0</v>
      </c>
      <c r="AR111">
        <f t="shared" si="73"/>
        <v>30934.187571643783</v>
      </c>
      <c r="AS111">
        <f t="shared" si="74"/>
        <v>0</v>
      </c>
      <c r="AT111">
        <f t="shared" si="75"/>
        <v>0</v>
      </c>
      <c r="AU111">
        <f t="shared" si="76"/>
        <v>0</v>
      </c>
    </row>
    <row r="112" spans="1:47" x14ac:dyDescent="0.2">
      <c r="A112">
        <v>111</v>
      </c>
      <c r="B112">
        <f>PoolStates_V2!B112</f>
        <v>0</v>
      </c>
      <c r="C112">
        <f>PoolStates_V2!S112</f>
        <v>131.12981800772238</v>
      </c>
      <c r="D112">
        <f>PoolStates_V2!T112</f>
        <v>2497.7330783760758</v>
      </c>
      <c r="E112">
        <f>PoolStates_V2!Q112</f>
        <v>1.2377038977373951</v>
      </c>
      <c r="F112">
        <f t="shared" si="77"/>
        <v>0</v>
      </c>
      <c r="G112">
        <f t="shared" si="78"/>
        <v>0</v>
      </c>
      <c r="H112">
        <f t="shared" si="79"/>
        <v>30934.187571643783</v>
      </c>
      <c r="I112">
        <f t="shared" si="40"/>
        <v>1.2377038977373951</v>
      </c>
      <c r="J112">
        <f t="shared" si="41"/>
        <v>0</v>
      </c>
      <c r="K112">
        <f t="shared" si="42"/>
        <v>0</v>
      </c>
      <c r="L112">
        <f t="shared" si="43"/>
        <v>0</v>
      </c>
      <c r="M112">
        <f t="shared" si="44"/>
        <v>0</v>
      </c>
      <c r="N112">
        <f t="shared" si="45"/>
        <v>0</v>
      </c>
      <c r="O112">
        <f t="shared" si="46"/>
        <v>30932.949867746047</v>
      </c>
      <c r="P112">
        <f>M112*Inputs!B6/12</f>
        <v>0</v>
      </c>
      <c r="Q112">
        <f t="shared" si="47"/>
        <v>0</v>
      </c>
      <c r="R112">
        <f>N112*Inputs!B6/12</f>
        <v>0</v>
      </c>
      <c r="S112">
        <f t="shared" si="48"/>
        <v>0</v>
      </c>
      <c r="T112">
        <f t="shared" si="49"/>
        <v>131.12981800772238</v>
      </c>
      <c r="U112">
        <f t="shared" si="50"/>
        <v>0</v>
      </c>
      <c r="V112">
        <f t="shared" si="51"/>
        <v>131.12981800772238</v>
      </c>
      <c r="W112">
        <f t="shared" si="52"/>
        <v>2497.7330783760758</v>
      </c>
      <c r="X112">
        <f t="shared" si="53"/>
        <v>0</v>
      </c>
      <c r="Y112">
        <f t="shared" si="54"/>
        <v>0</v>
      </c>
      <c r="Z112">
        <f t="shared" si="55"/>
        <v>0</v>
      </c>
      <c r="AA112">
        <f t="shared" si="56"/>
        <v>0</v>
      </c>
      <c r="AB112">
        <f t="shared" si="57"/>
        <v>0</v>
      </c>
      <c r="AC112">
        <f t="shared" si="58"/>
        <v>2497.7330783760758</v>
      </c>
      <c r="AD112">
        <f t="shared" si="59"/>
        <v>0</v>
      </c>
      <c r="AE112">
        <f t="shared" si="60"/>
        <v>2497.7330783760758</v>
      </c>
      <c r="AF112">
        <f t="shared" si="61"/>
        <v>0</v>
      </c>
      <c r="AG112">
        <f t="shared" si="62"/>
        <v>2497.7330783760758</v>
      </c>
      <c r="AH112">
        <f t="shared" si="63"/>
        <v>2497.7330783760758</v>
      </c>
      <c r="AI112">
        <f t="shared" si="64"/>
        <v>0</v>
      </c>
      <c r="AJ112">
        <f t="shared" si="65"/>
        <v>0</v>
      </c>
      <c r="AK112">
        <f t="shared" si="66"/>
        <v>2497.7330783760758</v>
      </c>
      <c r="AL112">
        <f t="shared" si="67"/>
        <v>0</v>
      </c>
      <c r="AM112">
        <f t="shared" si="68"/>
        <v>0</v>
      </c>
      <c r="AN112">
        <f t="shared" si="69"/>
        <v>2497.7330783760758</v>
      </c>
      <c r="AO112">
        <f t="shared" si="70"/>
        <v>0</v>
      </c>
      <c r="AP112">
        <f t="shared" si="71"/>
        <v>0</v>
      </c>
      <c r="AQ112">
        <f t="shared" si="72"/>
        <v>0</v>
      </c>
      <c r="AR112">
        <f t="shared" si="73"/>
        <v>28435.21678936997</v>
      </c>
      <c r="AS112">
        <f t="shared" si="74"/>
        <v>0</v>
      </c>
      <c r="AT112">
        <f t="shared" si="75"/>
        <v>0</v>
      </c>
      <c r="AU112">
        <f t="shared" si="76"/>
        <v>0</v>
      </c>
    </row>
    <row r="113" spans="1:47" x14ac:dyDescent="0.2">
      <c r="A113">
        <v>112</v>
      </c>
      <c r="B113">
        <f>PoolStates_V2!B113</f>
        <v>0</v>
      </c>
      <c r="C113">
        <f>PoolStates_V2!S113</f>
        <v>120.53529119010416</v>
      </c>
      <c r="D113">
        <f>PoolStates_V2!T113</f>
        <v>2296.5977914098771</v>
      </c>
      <c r="E113">
        <f>PoolStates_V2!Q113</f>
        <v>1.1382744174445374</v>
      </c>
      <c r="F113">
        <f t="shared" si="77"/>
        <v>0</v>
      </c>
      <c r="G113">
        <f t="shared" si="78"/>
        <v>0</v>
      </c>
      <c r="H113">
        <f t="shared" si="79"/>
        <v>28435.21678936997</v>
      </c>
      <c r="I113">
        <f t="shared" si="40"/>
        <v>1.1382744174445374</v>
      </c>
      <c r="J113">
        <f t="shared" si="41"/>
        <v>0</v>
      </c>
      <c r="K113">
        <f t="shared" si="42"/>
        <v>0</v>
      </c>
      <c r="L113">
        <f t="shared" si="43"/>
        <v>0</v>
      </c>
      <c r="M113">
        <f t="shared" si="44"/>
        <v>0</v>
      </c>
      <c r="N113">
        <f t="shared" si="45"/>
        <v>0</v>
      </c>
      <c r="O113">
        <f t="shared" si="46"/>
        <v>28434.078514952525</v>
      </c>
      <c r="P113">
        <f>M113*Inputs!B6/12</f>
        <v>0</v>
      </c>
      <c r="Q113">
        <f t="shared" si="47"/>
        <v>0</v>
      </c>
      <c r="R113">
        <f>N113*Inputs!B6/12</f>
        <v>0</v>
      </c>
      <c r="S113">
        <f t="shared" si="48"/>
        <v>0</v>
      </c>
      <c r="T113">
        <f t="shared" si="49"/>
        <v>120.53529119010416</v>
      </c>
      <c r="U113">
        <f t="shared" si="50"/>
        <v>0</v>
      </c>
      <c r="V113">
        <f t="shared" si="51"/>
        <v>120.53529119010416</v>
      </c>
      <c r="W113">
        <f t="shared" si="52"/>
        <v>2296.5977914098771</v>
      </c>
      <c r="X113">
        <f t="shared" si="53"/>
        <v>0</v>
      </c>
      <c r="Y113">
        <f t="shared" si="54"/>
        <v>0</v>
      </c>
      <c r="Z113">
        <f t="shared" si="55"/>
        <v>0</v>
      </c>
      <c r="AA113">
        <f t="shared" si="56"/>
        <v>0</v>
      </c>
      <c r="AB113">
        <f t="shared" si="57"/>
        <v>0</v>
      </c>
      <c r="AC113">
        <f t="shared" si="58"/>
        <v>2296.5977914098771</v>
      </c>
      <c r="AD113">
        <f t="shared" si="59"/>
        <v>0</v>
      </c>
      <c r="AE113">
        <f t="shared" si="60"/>
        <v>2296.5977914098771</v>
      </c>
      <c r="AF113">
        <f t="shared" si="61"/>
        <v>0</v>
      </c>
      <c r="AG113">
        <f t="shared" si="62"/>
        <v>2296.5977914098771</v>
      </c>
      <c r="AH113">
        <f t="shared" si="63"/>
        <v>2296.5977914098771</v>
      </c>
      <c r="AI113">
        <f t="shared" si="64"/>
        <v>0</v>
      </c>
      <c r="AJ113">
        <f t="shared" si="65"/>
        <v>0</v>
      </c>
      <c r="AK113">
        <f t="shared" si="66"/>
        <v>2296.5977914098771</v>
      </c>
      <c r="AL113">
        <f t="shared" si="67"/>
        <v>0</v>
      </c>
      <c r="AM113">
        <f t="shared" si="68"/>
        <v>0</v>
      </c>
      <c r="AN113">
        <f t="shared" si="69"/>
        <v>2296.5977914098771</v>
      </c>
      <c r="AO113">
        <f t="shared" si="70"/>
        <v>0</v>
      </c>
      <c r="AP113">
        <f t="shared" si="71"/>
        <v>0</v>
      </c>
      <c r="AQ113">
        <f t="shared" si="72"/>
        <v>0</v>
      </c>
      <c r="AR113">
        <f t="shared" si="73"/>
        <v>26137.480723542649</v>
      </c>
      <c r="AS113">
        <f t="shared" si="74"/>
        <v>0</v>
      </c>
      <c r="AT113">
        <f t="shared" si="75"/>
        <v>0</v>
      </c>
      <c r="AU113">
        <f t="shared" si="76"/>
        <v>0</v>
      </c>
    </row>
    <row r="114" spans="1:47" x14ac:dyDescent="0.2">
      <c r="A114">
        <v>113</v>
      </c>
      <c r="B114">
        <f>PoolStates_V2!B114</f>
        <v>0</v>
      </c>
      <c r="C114">
        <f>PoolStates_V2!S114</f>
        <v>110.79402248765609</v>
      </c>
      <c r="D114">
        <f>PoolStates_V2!T114</f>
        <v>2111.6142977273521</v>
      </c>
      <c r="E114">
        <f>PoolStates_V2!Q114</f>
        <v>1.0468071457873298</v>
      </c>
      <c r="F114">
        <f t="shared" si="77"/>
        <v>0</v>
      </c>
      <c r="G114">
        <f t="shared" si="78"/>
        <v>0</v>
      </c>
      <c r="H114">
        <f t="shared" si="79"/>
        <v>26137.480723542649</v>
      </c>
      <c r="I114">
        <f t="shared" si="40"/>
        <v>1.0468071457873298</v>
      </c>
      <c r="J114">
        <f t="shared" si="41"/>
        <v>0</v>
      </c>
      <c r="K114">
        <f t="shared" si="42"/>
        <v>0</v>
      </c>
      <c r="L114">
        <f t="shared" si="43"/>
        <v>0</v>
      </c>
      <c r="M114">
        <f t="shared" si="44"/>
        <v>0</v>
      </c>
      <c r="N114">
        <f t="shared" si="45"/>
        <v>0</v>
      </c>
      <c r="O114">
        <f t="shared" si="46"/>
        <v>26136.433916396862</v>
      </c>
      <c r="P114">
        <f>M114*Inputs!B6/12</f>
        <v>0</v>
      </c>
      <c r="Q114">
        <f t="shared" si="47"/>
        <v>0</v>
      </c>
      <c r="R114">
        <f>N114*Inputs!B6/12</f>
        <v>0</v>
      </c>
      <c r="S114">
        <f t="shared" si="48"/>
        <v>0</v>
      </c>
      <c r="T114">
        <f t="shared" si="49"/>
        <v>110.79402248765609</v>
      </c>
      <c r="U114">
        <f t="shared" si="50"/>
        <v>0</v>
      </c>
      <c r="V114">
        <f t="shared" si="51"/>
        <v>110.79402248765609</v>
      </c>
      <c r="W114">
        <f t="shared" si="52"/>
        <v>2111.6142977273521</v>
      </c>
      <c r="X114">
        <f t="shared" si="53"/>
        <v>0</v>
      </c>
      <c r="Y114">
        <f t="shared" si="54"/>
        <v>0</v>
      </c>
      <c r="Z114">
        <f t="shared" si="55"/>
        <v>0</v>
      </c>
      <c r="AA114">
        <f t="shared" si="56"/>
        <v>0</v>
      </c>
      <c r="AB114">
        <f t="shared" si="57"/>
        <v>0</v>
      </c>
      <c r="AC114">
        <f t="shared" si="58"/>
        <v>2111.6142977273521</v>
      </c>
      <c r="AD114">
        <f t="shared" si="59"/>
        <v>0</v>
      </c>
      <c r="AE114">
        <f t="shared" si="60"/>
        <v>2111.6142977273521</v>
      </c>
      <c r="AF114">
        <f t="shared" si="61"/>
        <v>0</v>
      </c>
      <c r="AG114">
        <f t="shared" si="62"/>
        <v>2111.6142977273521</v>
      </c>
      <c r="AH114">
        <f t="shared" si="63"/>
        <v>2111.6142977273521</v>
      </c>
      <c r="AI114">
        <f t="shared" si="64"/>
        <v>0</v>
      </c>
      <c r="AJ114">
        <f t="shared" si="65"/>
        <v>0</v>
      </c>
      <c r="AK114">
        <f t="shared" si="66"/>
        <v>2111.6142977273521</v>
      </c>
      <c r="AL114">
        <f t="shared" si="67"/>
        <v>0</v>
      </c>
      <c r="AM114">
        <f t="shared" si="68"/>
        <v>0</v>
      </c>
      <c r="AN114">
        <f t="shared" si="69"/>
        <v>2111.6142977273521</v>
      </c>
      <c r="AO114">
        <f t="shared" si="70"/>
        <v>0</v>
      </c>
      <c r="AP114">
        <f t="shared" si="71"/>
        <v>0</v>
      </c>
      <c r="AQ114">
        <f t="shared" si="72"/>
        <v>0</v>
      </c>
      <c r="AR114">
        <f t="shared" si="73"/>
        <v>24024.81961866951</v>
      </c>
      <c r="AS114">
        <f t="shared" si="74"/>
        <v>0</v>
      </c>
      <c r="AT114">
        <f t="shared" si="75"/>
        <v>0</v>
      </c>
      <c r="AU114">
        <f t="shared" si="76"/>
        <v>0</v>
      </c>
    </row>
    <row r="115" spans="1:47" x14ac:dyDescent="0.2">
      <c r="A115">
        <v>114</v>
      </c>
      <c r="B115">
        <f>PoolStates_V2!B115</f>
        <v>0</v>
      </c>
      <c r="C115">
        <f>PoolStates_V2!S115</f>
        <v>101.83748305706901</v>
      </c>
      <c r="D115">
        <f>PoolStates_V2!T115</f>
        <v>1941.4887269048836</v>
      </c>
      <c r="E115">
        <f>PoolStates_V2!Q115</f>
        <v>0.96266653410163106</v>
      </c>
      <c r="F115">
        <f t="shared" si="77"/>
        <v>0</v>
      </c>
      <c r="G115">
        <f t="shared" si="78"/>
        <v>0</v>
      </c>
      <c r="H115">
        <f t="shared" si="79"/>
        <v>24024.81961866951</v>
      </c>
      <c r="I115">
        <f t="shared" si="40"/>
        <v>0.96266653410163106</v>
      </c>
      <c r="J115">
        <f t="shared" si="41"/>
        <v>0</v>
      </c>
      <c r="K115">
        <f t="shared" si="42"/>
        <v>0</v>
      </c>
      <c r="L115">
        <f t="shared" si="43"/>
        <v>0</v>
      </c>
      <c r="M115">
        <f t="shared" si="44"/>
        <v>0</v>
      </c>
      <c r="N115">
        <f t="shared" si="45"/>
        <v>0</v>
      </c>
      <c r="O115">
        <f t="shared" si="46"/>
        <v>24023.856952135407</v>
      </c>
      <c r="P115">
        <f>M115*Inputs!B6/12</f>
        <v>0</v>
      </c>
      <c r="Q115">
        <f t="shared" si="47"/>
        <v>0</v>
      </c>
      <c r="R115">
        <f>N115*Inputs!B6/12</f>
        <v>0</v>
      </c>
      <c r="S115">
        <f t="shared" si="48"/>
        <v>0</v>
      </c>
      <c r="T115">
        <f t="shared" si="49"/>
        <v>101.83748305706901</v>
      </c>
      <c r="U115">
        <f t="shared" si="50"/>
        <v>0</v>
      </c>
      <c r="V115">
        <f t="shared" si="51"/>
        <v>101.83748305706901</v>
      </c>
      <c r="W115">
        <f t="shared" si="52"/>
        <v>1941.4887269048836</v>
      </c>
      <c r="X115">
        <f t="shared" si="53"/>
        <v>0</v>
      </c>
      <c r="Y115">
        <f t="shared" si="54"/>
        <v>0</v>
      </c>
      <c r="Z115">
        <f t="shared" si="55"/>
        <v>0</v>
      </c>
      <c r="AA115">
        <f t="shared" si="56"/>
        <v>0</v>
      </c>
      <c r="AB115">
        <f t="shared" si="57"/>
        <v>0</v>
      </c>
      <c r="AC115">
        <f t="shared" si="58"/>
        <v>1941.4887269048836</v>
      </c>
      <c r="AD115">
        <f t="shared" si="59"/>
        <v>0</v>
      </c>
      <c r="AE115">
        <f t="shared" si="60"/>
        <v>1941.4887269048836</v>
      </c>
      <c r="AF115">
        <f t="shared" si="61"/>
        <v>0</v>
      </c>
      <c r="AG115">
        <f t="shared" si="62"/>
        <v>1941.4887269048836</v>
      </c>
      <c r="AH115">
        <f t="shared" si="63"/>
        <v>1941.4887269048836</v>
      </c>
      <c r="AI115">
        <f t="shared" si="64"/>
        <v>0</v>
      </c>
      <c r="AJ115">
        <f t="shared" si="65"/>
        <v>0</v>
      </c>
      <c r="AK115">
        <f t="shared" si="66"/>
        <v>1941.4887269048836</v>
      </c>
      <c r="AL115">
        <f t="shared" si="67"/>
        <v>0</v>
      </c>
      <c r="AM115">
        <f t="shared" si="68"/>
        <v>0</v>
      </c>
      <c r="AN115">
        <f t="shared" si="69"/>
        <v>1941.4887269048836</v>
      </c>
      <c r="AO115">
        <f t="shared" si="70"/>
        <v>0</v>
      </c>
      <c r="AP115">
        <f t="shared" si="71"/>
        <v>0</v>
      </c>
      <c r="AQ115">
        <f t="shared" si="72"/>
        <v>0</v>
      </c>
      <c r="AR115">
        <f t="shared" si="73"/>
        <v>22082.368225230523</v>
      </c>
      <c r="AS115">
        <f t="shared" si="74"/>
        <v>0</v>
      </c>
      <c r="AT115">
        <f t="shared" si="75"/>
        <v>0</v>
      </c>
      <c r="AU115">
        <f t="shared" si="76"/>
        <v>0</v>
      </c>
    </row>
    <row r="116" spans="1:47" x14ac:dyDescent="0.2">
      <c r="A116">
        <v>115</v>
      </c>
      <c r="B116">
        <f>PoolStates_V2!B116</f>
        <v>0</v>
      </c>
      <c r="C116">
        <f>PoolStates_V2!S116</f>
        <v>93.602634584745289</v>
      </c>
      <c r="D116">
        <f>PoolStates_V2!T116</f>
        <v>1785.0306344318983</v>
      </c>
      <c r="E116">
        <f>PoolStates_V2!Q116</f>
        <v>0.88526758343127276</v>
      </c>
      <c r="F116">
        <f t="shared" si="77"/>
        <v>0</v>
      </c>
      <c r="G116">
        <f t="shared" si="78"/>
        <v>0</v>
      </c>
      <c r="H116">
        <f t="shared" si="79"/>
        <v>22082.368225230523</v>
      </c>
      <c r="I116">
        <f t="shared" si="40"/>
        <v>0.88526758343127276</v>
      </c>
      <c r="J116">
        <f t="shared" si="41"/>
        <v>0</v>
      </c>
      <c r="K116">
        <f t="shared" si="42"/>
        <v>0</v>
      </c>
      <c r="L116">
        <f t="shared" si="43"/>
        <v>0</v>
      </c>
      <c r="M116">
        <f t="shared" si="44"/>
        <v>0</v>
      </c>
      <c r="N116">
        <f t="shared" si="45"/>
        <v>0</v>
      </c>
      <c r="O116">
        <f t="shared" si="46"/>
        <v>22081.482957647091</v>
      </c>
      <c r="P116">
        <f>M116*Inputs!B6/12</f>
        <v>0</v>
      </c>
      <c r="Q116">
        <f t="shared" si="47"/>
        <v>0</v>
      </c>
      <c r="R116">
        <f>N116*Inputs!B6/12</f>
        <v>0</v>
      </c>
      <c r="S116">
        <f t="shared" si="48"/>
        <v>0</v>
      </c>
      <c r="T116">
        <f t="shared" si="49"/>
        <v>93.602634584745289</v>
      </c>
      <c r="U116">
        <f t="shared" si="50"/>
        <v>0</v>
      </c>
      <c r="V116">
        <f t="shared" si="51"/>
        <v>93.602634584745289</v>
      </c>
      <c r="W116">
        <f t="shared" si="52"/>
        <v>1785.0306344318983</v>
      </c>
      <c r="X116">
        <f t="shared" si="53"/>
        <v>0</v>
      </c>
      <c r="Y116">
        <f t="shared" si="54"/>
        <v>0</v>
      </c>
      <c r="Z116">
        <f t="shared" si="55"/>
        <v>0</v>
      </c>
      <c r="AA116">
        <f t="shared" si="56"/>
        <v>0</v>
      </c>
      <c r="AB116">
        <f t="shared" si="57"/>
        <v>0</v>
      </c>
      <c r="AC116">
        <f t="shared" si="58"/>
        <v>1785.0306344318983</v>
      </c>
      <c r="AD116">
        <f t="shared" si="59"/>
        <v>0</v>
      </c>
      <c r="AE116">
        <f t="shared" si="60"/>
        <v>1785.0306344318983</v>
      </c>
      <c r="AF116">
        <f t="shared" si="61"/>
        <v>0</v>
      </c>
      <c r="AG116">
        <f t="shared" si="62"/>
        <v>1785.0306344318983</v>
      </c>
      <c r="AH116">
        <f t="shared" si="63"/>
        <v>1785.0306344318983</v>
      </c>
      <c r="AI116">
        <f t="shared" si="64"/>
        <v>0</v>
      </c>
      <c r="AJ116">
        <f t="shared" si="65"/>
        <v>0</v>
      </c>
      <c r="AK116">
        <f t="shared" si="66"/>
        <v>1785.0306344318983</v>
      </c>
      <c r="AL116">
        <f t="shared" si="67"/>
        <v>0</v>
      </c>
      <c r="AM116">
        <f t="shared" si="68"/>
        <v>0</v>
      </c>
      <c r="AN116">
        <f t="shared" si="69"/>
        <v>1785.0306344318983</v>
      </c>
      <c r="AO116">
        <f t="shared" si="70"/>
        <v>0</v>
      </c>
      <c r="AP116">
        <f t="shared" si="71"/>
        <v>0</v>
      </c>
      <c r="AQ116">
        <f t="shared" si="72"/>
        <v>0</v>
      </c>
      <c r="AR116">
        <f t="shared" si="73"/>
        <v>20296.452323215191</v>
      </c>
      <c r="AS116">
        <f t="shared" si="74"/>
        <v>0</v>
      </c>
      <c r="AT116">
        <f t="shared" si="75"/>
        <v>0</v>
      </c>
      <c r="AU116">
        <f t="shared" si="76"/>
        <v>0</v>
      </c>
    </row>
    <row r="117" spans="1:47" x14ac:dyDescent="0.2">
      <c r="A117">
        <v>116</v>
      </c>
      <c r="B117">
        <f>PoolStates_V2!B117</f>
        <v>0</v>
      </c>
      <c r="C117">
        <f>PoolStates_V2!S117</f>
        <v>86.031490307658117</v>
      </c>
      <c r="D117">
        <f>PoolStates_V2!T117</f>
        <v>1641.1447497278934</v>
      </c>
      <c r="E117">
        <f>PoolStates_V2!Q117</f>
        <v>0.81407184124419452</v>
      </c>
      <c r="F117">
        <f t="shared" si="77"/>
        <v>0</v>
      </c>
      <c r="G117">
        <f t="shared" si="78"/>
        <v>0</v>
      </c>
      <c r="H117">
        <f t="shared" si="79"/>
        <v>20296.452323215191</v>
      </c>
      <c r="I117">
        <f t="shared" si="40"/>
        <v>0.81407184124419452</v>
      </c>
      <c r="J117">
        <f t="shared" si="41"/>
        <v>0</v>
      </c>
      <c r="K117">
        <f t="shared" si="42"/>
        <v>0</v>
      </c>
      <c r="L117">
        <f t="shared" si="43"/>
        <v>0</v>
      </c>
      <c r="M117">
        <f t="shared" si="44"/>
        <v>0</v>
      </c>
      <c r="N117">
        <f t="shared" si="45"/>
        <v>0</v>
      </c>
      <c r="O117">
        <f t="shared" si="46"/>
        <v>20295.638251373948</v>
      </c>
      <c r="P117">
        <f>M117*Inputs!B6/12</f>
        <v>0</v>
      </c>
      <c r="Q117">
        <f t="shared" si="47"/>
        <v>0</v>
      </c>
      <c r="R117">
        <f>N117*Inputs!B6/12</f>
        <v>0</v>
      </c>
      <c r="S117">
        <f t="shared" si="48"/>
        <v>0</v>
      </c>
      <c r="T117">
        <f t="shared" si="49"/>
        <v>86.031490307658117</v>
      </c>
      <c r="U117">
        <f t="shared" si="50"/>
        <v>0</v>
      </c>
      <c r="V117">
        <f t="shared" si="51"/>
        <v>86.031490307658117</v>
      </c>
      <c r="W117">
        <f t="shared" si="52"/>
        <v>1641.1447497278934</v>
      </c>
      <c r="X117">
        <f t="shared" si="53"/>
        <v>0</v>
      </c>
      <c r="Y117">
        <f t="shared" si="54"/>
        <v>0</v>
      </c>
      <c r="Z117">
        <f t="shared" si="55"/>
        <v>0</v>
      </c>
      <c r="AA117">
        <f t="shared" si="56"/>
        <v>0</v>
      </c>
      <c r="AB117">
        <f t="shared" si="57"/>
        <v>0</v>
      </c>
      <c r="AC117">
        <f t="shared" si="58"/>
        <v>1641.1447497278934</v>
      </c>
      <c r="AD117">
        <f t="shared" si="59"/>
        <v>0</v>
      </c>
      <c r="AE117">
        <f t="shared" si="60"/>
        <v>1641.1447497278934</v>
      </c>
      <c r="AF117">
        <f t="shared" si="61"/>
        <v>0</v>
      </c>
      <c r="AG117">
        <f t="shared" si="62"/>
        <v>1641.1447497278934</v>
      </c>
      <c r="AH117">
        <f t="shared" si="63"/>
        <v>1641.1447497278934</v>
      </c>
      <c r="AI117">
        <f t="shared" si="64"/>
        <v>0</v>
      </c>
      <c r="AJ117">
        <f t="shared" si="65"/>
        <v>0</v>
      </c>
      <c r="AK117">
        <f t="shared" si="66"/>
        <v>1641.1447497278934</v>
      </c>
      <c r="AL117">
        <f t="shared" si="67"/>
        <v>0</v>
      </c>
      <c r="AM117">
        <f t="shared" si="68"/>
        <v>0</v>
      </c>
      <c r="AN117">
        <f t="shared" si="69"/>
        <v>1641.1447497278934</v>
      </c>
      <c r="AO117">
        <f t="shared" si="70"/>
        <v>0</v>
      </c>
      <c r="AP117">
        <f t="shared" si="71"/>
        <v>0</v>
      </c>
      <c r="AQ117">
        <f t="shared" si="72"/>
        <v>0</v>
      </c>
      <c r="AR117">
        <f t="shared" si="73"/>
        <v>18654.493501646055</v>
      </c>
      <c r="AS117">
        <f t="shared" si="74"/>
        <v>0</v>
      </c>
      <c r="AT117">
        <f t="shared" si="75"/>
        <v>0</v>
      </c>
      <c r="AU117">
        <f t="shared" si="76"/>
        <v>0</v>
      </c>
    </row>
    <row r="118" spans="1:47" x14ac:dyDescent="0.2">
      <c r="A118">
        <v>117</v>
      </c>
      <c r="B118">
        <f>PoolStates_V2!B118</f>
        <v>0</v>
      </c>
      <c r="C118">
        <f>PoolStates_V2!S118</f>
        <v>79.070711069040215</v>
      </c>
      <c r="D118">
        <f>PoolStates_V2!T118</f>
        <v>1508.8233815124931</v>
      </c>
      <c r="E118">
        <f>PoolStates_V2!Q118</f>
        <v>0.74858371336857188</v>
      </c>
      <c r="F118">
        <f t="shared" si="77"/>
        <v>0</v>
      </c>
      <c r="G118">
        <f t="shared" si="78"/>
        <v>0</v>
      </c>
      <c r="H118">
        <f t="shared" si="79"/>
        <v>18654.493501646055</v>
      </c>
      <c r="I118">
        <f t="shared" si="40"/>
        <v>0.74858371336857188</v>
      </c>
      <c r="J118">
        <f t="shared" si="41"/>
        <v>0</v>
      </c>
      <c r="K118">
        <f t="shared" si="42"/>
        <v>0</v>
      </c>
      <c r="L118">
        <f t="shared" si="43"/>
        <v>0</v>
      </c>
      <c r="M118">
        <f t="shared" si="44"/>
        <v>0</v>
      </c>
      <c r="N118">
        <f t="shared" si="45"/>
        <v>0</v>
      </c>
      <c r="O118">
        <f t="shared" si="46"/>
        <v>18653.744917932687</v>
      </c>
      <c r="P118">
        <f>M118*Inputs!B6/12</f>
        <v>0</v>
      </c>
      <c r="Q118">
        <f t="shared" si="47"/>
        <v>0</v>
      </c>
      <c r="R118">
        <f>N118*Inputs!B6/12</f>
        <v>0</v>
      </c>
      <c r="S118">
        <f t="shared" si="48"/>
        <v>0</v>
      </c>
      <c r="T118">
        <f t="shared" si="49"/>
        <v>79.070711069040215</v>
      </c>
      <c r="U118">
        <f t="shared" si="50"/>
        <v>0</v>
      </c>
      <c r="V118">
        <f t="shared" si="51"/>
        <v>79.070711069040215</v>
      </c>
      <c r="W118">
        <f t="shared" si="52"/>
        <v>1508.8233815124931</v>
      </c>
      <c r="X118">
        <f t="shared" si="53"/>
        <v>0</v>
      </c>
      <c r="Y118">
        <f t="shared" si="54"/>
        <v>0</v>
      </c>
      <c r="Z118">
        <f t="shared" si="55"/>
        <v>0</v>
      </c>
      <c r="AA118">
        <f t="shared" si="56"/>
        <v>0</v>
      </c>
      <c r="AB118">
        <f t="shared" si="57"/>
        <v>0</v>
      </c>
      <c r="AC118">
        <f t="shared" si="58"/>
        <v>1508.8233815124931</v>
      </c>
      <c r="AD118">
        <f t="shared" si="59"/>
        <v>0</v>
      </c>
      <c r="AE118">
        <f t="shared" si="60"/>
        <v>1508.8233815124931</v>
      </c>
      <c r="AF118">
        <f t="shared" si="61"/>
        <v>0</v>
      </c>
      <c r="AG118">
        <f t="shared" si="62"/>
        <v>1508.8233815124931</v>
      </c>
      <c r="AH118">
        <f t="shared" si="63"/>
        <v>1508.8233815124931</v>
      </c>
      <c r="AI118">
        <f t="shared" si="64"/>
        <v>0</v>
      </c>
      <c r="AJ118">
        <f t="shared" si="65"/>
        <v>0</v>
      </c>
      <c r="AK118">
        <f t="shared" si="66"/>
        <v>1508.8233815124931</v>
      </c>
      <c r="AL118">
        <f t="shared" si="67"/>
        <v>0</v>
      </c>
      <c r="AM118">
        <f t="shared" si="68"/>
        <v>0</v>
      </c>
      <c r="AN118">
        <f t="shared" si="69"/>
        <v>1508.8233815124931</v>
      </c>
      <c r="AO118">
        <f t="shared" si="70"/>
        <v>0</v>
      </c>
      <c r="AP118">
        <f t="shared" si="71"/>
        <v>0</v>
      </c>
      <c r="AQ118">
        <f t="shared" si="72"/>
        <v>0</v>
      </c>
      <c r="AR118">
        <f t="shared" si="73"/>
        <v>17144.921536420195</v>
      </c>
      <c r="AS118">
        <f t="shared" si="74"/>
        <v>0</v>
      </c>
      <c r="AT118">
        <f t="shared" si="75"/>
        <v>0</v>
      </c>
      <c r="AU118">
        <f t="shared" si="76"/>
        <v>0</v>
      </c>
    </row>
    <row r="119" spans="1:47" x14ac:dyDescent="0.2">
      <c r="A119">
        <v>118</v>
      </c>
      <c r="B119">
        <f>PoolStates_V2!B119</f>
        <v>0</v>
      </c>
      <c r="C119">
        <f>PoolStates_V2!S119</f>
        <v>72.671233616813083</v>
      </c>
      <c r="D119">
        <f>PoolStates_V2!T119</f>
        <v>1387.1394282309532</v>
      </c>
      <c r="E119">
        <f>PoolStates_V2!Q119</f>
        <v>0.68834706653579403</v>
      </c>
      <c r="F119">
        <f t="shared" si="77"/>
        <v>0</v>
      </c>
      <c r="G119">
        <f t="shared" si="78"/>
        <v>0</v>
      </c>
      <c r="H119">
        <f t="shared" si="79"/>
        <v>17144.921536420195</v>
      </c>
      <c r="I119">
        <f t="shared" si="40"/>
        <v>0.68834706653579403</v>
      </c>
      <c r="J119">
        <f t="shared" si="41"/>
        <v>0</v>
      </c>
      <c r="K119">
        <f t="shared" si="42"/>
        <v>0</v>
      </c>
      <c r="L119">
        <f t="shared" si="43"/>
        <v>0</v>
      </c>
      <c r="M119">
        <f t="shared" si="44"/>
        <v>0</v>
      </c>
      <c r="N119">
        <f t="shared" si="45"/>
        <v>0</v>
      </c>
      <c r="O119">
        <f t="shared" si="46"/>
        <v>17144.233189353661</v>
      </c>
      <c r="P119">
        <f>M119*Inputs!B6/12</f>
        <v>0</v>
      </c>
      <c r="Q119">
        <f t="shared" si="47"/>
        <v>0</v>
      </c>
      <c r="R119">
        <f>N119*Inputs!B6/12</f>
        <v>0</v>
      </c>
      <c r="S119">
        <f t="shared" si="48"/>
        <v>0</v>
      </c>
      <c r="T119">
        <f t="shared" si="49"/>
        <v>72.671233616813083</v>
      </c>
      <c r="U119">
        <f t="shared" si="50"/>
        <v>0</v>
      </c>
      <c r="V119">
        <f t="shared" si="51"/>
        <v>72.671233616813083</v>
      </c>
      <c r="W119">
        <f t="shared" si="52"/>
        <v>1387.1394282309532</v>
      </c>
      <c r="X119">
        <f t="shared" si="53"/>
        <v>0</v>
      </c>
      <c r="Y119">
        <f t="shared" si="54"/>
        <v>0</v>
      </c>
      <c r="Z119">
        <f t="shared" si="55"/>
        <v>0</v>
      </c>
      <c r="AA119">
        <f t="shared" si="56"/>
        <v>0</v>
      </c>
      <c r="AB119">
        <f t="shared" si="57"/>
        <v>0</v>
      </c>
      <c r="AC119">
        <f t="shared" si="58"/>
        <v>1387.1394282309532</v>
      </c>
      <c r="AD119">
        <f t="shared" si="59"/>
        <v>0</v>
      </c>
      <c r="AE119">
        <f t="shared" si="60"/>
        <v>1387.1394282309532</v>
      </c>
      <c r="AF119">
        <f t="shared" si="61"/>
        <v>0</v>
      </c>
      <c r="AG119">
        <f t="shared" si="62"/>
        <v>1387.1394282309532</v>
      </c>
      <c r="AH119">
        <f t="shared" si="63"/>
        <v>1387.1394282309532</v>
      </c>
      <c r="AI119">
        <f t="shared" si="64"/>
        <v>0</v>
      </c>
      <c r="AJ119">
        <f t="shared" si="65"/>
        <v>0</v>
      </c>
      <c r="AK119">
        <f t="shared" si="66"/>
        <v>1387.1394282309532</v>
      </c>
      <c r="AL119">
        <f t="shared" si="67"/>
        <v>0</v>
      </c>
      <c r="AM119">
        <f t="shared" si="68"/>
        <v>0</v>
      </c>
      <c r="AN119">
        <f t="shared" si="69"/>
        <v>1387.1394282309532</v>
      </c>
      <c r="AO119">
        <f t="shared" si="70"/>
        <v>0</v>
      </c>
      <c r="AP119">
        <f t="shared" si="71"/>
        <v>0</v>
      </c>
      <c r="AQ119">
        <f t="shared" si="72"/>
        <v>0</v>
      </c>
      <c r="AR119">
        <f t="shared" si="73"/>
        <v>15757.093761122707</v>
      </c>
      <c r="AS119">
        <f t="shared" si="74"/>
        <v>0</v>
      </c>
      <c r="AT119">
        <f t="shared" si="75"/>
        <v>0</v>
      </c>
      <c r="AU119">
        <f t="shared" si="76"/>
        <v>0</v>
      </c>
    </row>
    <row r="120" spans="1:47" x14ac:dyDescent="0.2">
      <c r="A120">
        <v>119</v>
      </c>
      <c r="B120">
        <f>PoolStates_V2!B120</f>
        <v>0</v>
      </c>
      <c r="C120">
        <f>PoolStates_V2!S120</f>
        <v>66.787928574949532</v>
      </c>
      <c r="D120">
        <f>PoolStates_V2!T120</f>
        <v>1275.239945394404</v>
      </c>
      <c r="E120">
        <f>PoolStates_V2!Q120</f>
        <v>0.63294209881389563</v>
      </c>
      <c r="F120">
        <f t="shared" si="77"/>
        <v>0</v>
      </c>
      <c r="G120">
        <f t="shared" si="78"/>
        <v>0</v>
      </c>
      <c r="H120">
        <f t="shared" si="79"/>
        <v>15757.093761122707</v>
      </c>
      <c r="I120">
        <f t="shared" si="40"/>
        <v>0.63294209881389563</v>
      </c>
      <c r="J120">
        <f t="shared" si="41"/>
        <v>0</v>
      </c>
      <c r="K120">
        <f t="shared" si="42"/>
        <v>0</v>
      </c>
      <c r="L120">
        <f t="shared" si="43"/>
        <v>0</v>
      </c>
      <c r="M120">
        <f t="shared" si="44"/>
        <v>0</v>
      </c>
      <c r="N120">
        <f t="shared" si="45"/>
        <v>0</v>
      </c>
      <c r="O120">
        <f t="shared" si="46"/>
        <v>15756.460819023894</v>
      </c>
      <c r="P120">
        <f>M120*Inputs!B6/12</f>
        <v>0</v>
      </c>
      <c r="Q120">
        <f t="shared" si="47"/>
        <v>0</v>
      </c>
      <c r="R120">
        <f>N120*Inputs!B6/12</f>
        <v>0</v>
      </c>
      <c r="S120">
        <f t="shared" si="48"/>
        <v>0</v>
      </c>
      <c r="T120">
        <f t="shared" si="49"/>
        <v>66.787928574949532</v>
      </c>
      <c r="U120">
        <f t="shared" si="50"/>
        <v>0</v>
      </c>
      <c r="V120">
        <f t="shared" si="51"/>
        <v>66.787928574949532</v>
      </c>
      <c r="W120">
        <f t="shared" si="52"/>
        <v>1275.239945394404</v>
      </c>
      <c r="X120">
        <f t="shared" si="53"/>
        <v>0</v>
      </c>
      <c r="Y120">
        <f t="shared" si="54"/>
        <v>0</v>
      </c>
      <c r="Z120">
        <f t="shared" si="55"/>
        <v>0</v>
      </c>
      <c r="AA120">
        <f t="shared" si="56"/>
        <v>0</v>
      </c>
      <c r="AB120">
        <f t="shared" si="57"/>
        <v>0</v>
      </c>
      <c r="AC120">
        <f t="shared" si="58"/>
        <v>1275.239945394404</v>
      </c>
      <c r="AD120">
        <f t="shared" si="59"/>
        <v>0</v>
      </c>
      <c r="AE120">
        <f t="shared" si="60"/>
        <v>1275.239945394404</v>
      </c>
      <c r="AF120">
        <f t="shared" si="61"/>
        <v>0</v>
      </c>
      <c r="AG120">
        <f t="shared" si="62"/>
        <v>1275.239945394404</v>
      </c>
      <c r="AH120">
        <f t="shared" si="63"/>
        <v>1275.239945394404</v>
      </c>
      <c r="AI120">
        <f t="shared" si="64"/>
        <v>0</v>
      </c>
      <c r="AJ120">
        <f t="shared" si="65"/>
        <v>0</v>
      </c>
      <c r="AK120">
        <f t="shared" si="66"/>
        <v>1275.239945394404</v>
      </c>
      <c r="AL120">
        <f t="shared" si="67"/>
        <v>0</v>
      </c>
      <c r="AM120">
        <f t="shared" si="68"/>
        <v>0</v>
      </c>
      <c r="AN120">
        <f t="shared" si="69"/>
        <v>1275.239945394404</v>
      </c>
      <c r="AO120">
        <f t="shared" si="70"/>
        <v>0</v>
      </c>
      <c r="AP120">
        <f t="shared" si="71"/>
        <v>0</v>
      </c>
      <c r="AQ120">
        <f t="shared" si="72"/>
        <v>0</v>
      </c>
      <c r="AR120">
        <f t="shared" si="73"/>
        <v>14481.220873629491</v>
      </c>
      <c r="AS120">
        <f t="shared" si="74"/>
        <v>0</v>
      </c>
      <c r="AT120">
        <f t="shared" si="75"/>
        <v>0</v>
      </c>
      <c r="AU120">
        <f t="shared" si="76"/>
        <v>0</v>
      </c>
    </row>
    <row r="121" spans="1:47" x14ac:dyDescent="0.2">
      <c r="A121">
        <v>120</v>
      </c>
      <c r="B121">
        <f>PoolStates_V2!B121</f>
        <v>0</v>
      </c>
      <c r="C121">
        <f>PoolStates_V2!S121</f>
        <v>61.379285722557803</v>
      </c>
      <c r="D121">
        <f>PoolStates_V2!T121</f>
        <v>1172.3402255206927</v>
      </c>
      <c r="E121">
        <f>PoolStates_V2!Q121</f>
        <v>0.5819824569688028</v>
      </c>
      <c r="F121">
        <f t="shared" si="77"/>
        <v>0</v>
      </c>
      <c r="G121">
        <f t="shared" si="78"/>
        <v>0</v>
      </c>
      <c r="H121">
        <f t="shared" si="79"/>
        <v>14481.220873629491</v>
      </c>
      <c r="I121">
        <f t="shared" si="40"/>
        <v>0.5819824569688028</v>
      </c>
      <c r="J121">
        <f t="shared" si="41"/>
        <v>0</v>
      </c>
      <c r="K121">
        <f t="shared" si="42"/>
        <v>0</v>
      </c>
      <c r="L121">
        <f t="shared" si="43"/>
        <v>0</v>
      </c>
      <c r="M121">
        <f t="shared" si="44"/>
        <v>0</v>
      </c>
      <c r="N121">
        <f t="shared" si="45"/>
        <v>0</v>
      </c>
      <c r="O121">
        <f t="shared" si="46"/>
        <v>14480.638891172523</v>
      </c>
      <c r="P121">
        <f>M121*Inputs!B6/12</f>
        <v>0</v>
      </c>
      <c r="Q121">
        <f t="shared" si="47"/>
        <v>0</v>
      </c>
      <c r="R121">
        <f>N121*Inputs!B6/12</f>
        <v>0</v>
      </c>
      <c r="S121">
        <f t="shared" si="48"/>
        <v>0</v>
      </c>
      <c r="T121">
        <f t="shared" si="49"/>
        <v>61.379285722557803</v>
      </c>
      <c r="U121">
        <f t="shared" si="50"/>
        <v>0</v>
      </c>
      <c r="V121">
        <f t="shared" si="51"/>
        <v>61.379285722557803</v>
      </c>
      <c r="W121">
        <f t="shared" si="52"/>
        <v>1172.3402255206927</v>
      </c>
      <c r="X121">
        <f t="shared" si="53"/>
        <v>0</v>
      </c>
      <c r="Y121">
        <f t="shared" si="54"/>
        <v>0</v>
      </c>
      <c r="Z121">
        <f t="shared" si="55"/>
        <v>0</v>
      </c>
      <c r="AA121">
        <f t="shared" si="56"/>
        <v>0</v>
      </c>
      <c r="AB121">
        <f t="shared" si="57"/>
        <v>0</v>
      </c>
      <c r="AC121">
        <f t="shared" si="58"/>
        <v>1172.3402255206927</v>
      </c>
      <c r="AD121">
        <f t="shared" si="59"/>
        <v>0</v>
      </c>
      <c r="AE121">
        <f t="shared" si="60"/>
        <v>1172.3402255206927</v>
      </c>
      <c r="AF121">
        <f t="shared" si="61"/>
        <v>0</v>
      </c>
      <c r="AG121">
        <f t="shared" si="62"/>
        <v>1172.3402255206927</v>
      </c>
      <c r="AH121">
        <f t="shared" si="63"/>
        <v>1172.3402255206927</v>
      </c>
      <c r="AI121">
        <f t="shared" si="64"/>
        <v>0</v>
      </c>
      <c r="AJ121">
        <f t="shared" si="65"/>
        <v>0</v>
      </c>
      <c r="AK121">
        <f t="shared" si="66"/>
        <v>1172.3402255206927</v>
      </c>
      <c r="AL121">
        <f t="shared" si="67"/>
        <v>0</v>
      </c>
      <c r="AM121">
        <f t="shared" si="68"/>
        <v>0</v>
      </c>
      <c r="AN121">
        <f t="shared" si="69"/>
        <v>1172.3402255206927</v>
      </c>
      <c r="AO121">
        <f t="shared" si="70"/>
        <v>0</v>
      </c>
      <c r="AP121">
        <f t="shared" si="71"/>
        <v>0</v>
      </c>
      <c r="AQ121">
        <f t="shared" si="72"/>
        <v>0</v>
      </c>
      <c r="AR121">
        <f t="shared" si="73"/>
        <v>13308.29866565183</v>
      </c>
      <c r="AS121">
        <f t="shared" si="74"/>
        <v>0</v>
      </c>
      <c r="AT121">
        <f t="shared" si="75"/>
        <v>0</v>
      </c>
      <c r="AU121">
        <f t="shared" si="76"/>
        <v>0</v>
      </c>
    </row>
    <row r="122" spans="1:47" x14ac:dyDescent="0.2">
      <c r="A122">
        <v>121</v>
      </c>
      <c r="B122">
        <f>PoolStates_V2!B122</f>
        <v>0</v>
      </c>
      <c r="C122">
        <f>PoolStates_V2!S122</f>
        <v>56.40712440379157</v>
      </c>
      <c r="D122">
        <f>PoolStates_V2!T122</f>
        <v>1077.718349884258</v>
      </c>
      <c r="E122">
        <f>PoolStates_V2!Q122</f>
        <v>0.53511258141187934</v>
      </c>
      <c r="F122">
        <f t="shared" si="77"/>
        <v>0</v>
      </c>
      <c r="G122">
        <f t="shared" si="78"/>
        <v>0</v>
      </c>
      <c r="H122">
        <f t="shared" si="79"/>
        <v>13308.29866565183</v>
      </c>
      <c r="I122">
        <f t="shared" si="40"/>
        <v>0.53511258141187934</v>
      </c>
      <c r="J122">
        <f t="shared" si="41"/>
        <v>0</v>
      </c>
      <c r="K122">
        <f t="shared" si="42"/>
        <v>0</v>
      </c>
      <c r="L122">
        <f t="shared" si="43"/>
        <v>0</v>
      </c>
      <c r="M122">
        <f t="shared" si="44"/>
        <v>0</v>
      </c>
      <c r="N122">
        <f t="shared" si="45"/>
        <v>0</v>
      </c>
      <c r="O122">
        <f t="shared" si="46"/>
        <v>13307.763553070417</v>
      </c>
      <c r="P122">
        <f>M122*Inputs!B6/12</f>
        <v>0</v>
      </c>
      <c r="Q122">
        <f t="shared" si="47"/>
        <v>0</v>
      </c>
      <c r="R122">
        <f>N122*Inputs!B6/12</f>
        <v>0</v>
      </c>
      <c r="S122">
        <f t="shared" si="48"/>
        <v>0</v>
      </c>
      <c r="T122">
        <f t="shared" si="49"/>
        <v>56.40712440379157</v>
      </c>
      <c r="U122">
        <f t="shared" si="50"/>
        <v>0</v>
      </c>
      <c r="V122">
        <f t="shared" si="51"/>
        <v>56.40712440379157</v>
      </c>
      <c r="W122">
        <f t="shared" si="52"/>
        <v>1077.718349884258</v>
      </c>
      <c r="X122">
        <f t="shared" si="53"/>
        <v>0</v>
      </c>
      <c r="Y122">
        <f t="shared" si="54"/>
        <v>0</v>
      </c>
      <c r="Z122">
        <f t="shared" si="55"/>
        <v>0</v>
      </c>
      <c r="AA122">
        <f t="shared" si="56"/>
        <v>0</v>
      </c>
      <c r="AB122">
        <f t="shared" si="57"/>
        <v>0</v>
      </c>
      <c r="AC122">
        <f t="shared" si="58"/>
        <v>1077.718349884258</v>
      </c>
      <c r="AD122">
        <f t="shared" si="59"/>
        <v>0</v>
      </c>
      <c r="AE122">
        <f t="shared" si="60"/>
        <v>1077.718349884258</v>
      </c>
      <c r="AF122">
        <f t="shared" si="61"/>
        <v>0</v>
      </c>
      <c r="AG122">
        <f t="shared" si="62"/>
        <v>1077.718349884258</v>
      </c>
      <c r="AH122">
        <f t="shared" si="63"/>
        <v>1077.718349884258</v>
      </c>
      <c r="AI122">
        <f t="shared" si="64"/>
        <v>0</v>
      </c>
      <c r="AJ122">
        <f t="shared" si="65"/>
        <v>0</v>
      </c>
      <c r="AK122">
        <f t="shared" si="66"/>
        <v>1077.718349884258</v>
      </c>
      <c r="AL122">
        <f t="shared" si="67"/>
        <v>0</v>
      </c>
      <c r="AM122">
        <f t="shared" si="68"/>
        <v>0</v>
      </c>
      <c r="AN122">
        <f t="shared" si="69"/>
        <v>1077.718349884258</v>
      </c>
      <c r="AO122">
        <f t="shared" si="70"/>
        <v>0</v>
      </c>
      <c r="AP122">
        <f t="shared" si="71"/>
        <v>0</v>
      </c>
      <c r="AQ122">
        <f t="shared" si="72"/>
        <v>0</v>
      </c>
      <c r="AR122">
        <f t="shared" si="73"/>
        <v>12230.045203186159</v>
      </c>
      <c r="AS122">
        <f t="shared" si="74"/>
        <v>0</v>
      </c>
      <c r="AT122">
        <f t="shared" si="75"/>
        <v>0</v>
      </c>
      <c r="AU122">
        <f t="shared" si="76"/>
        <v>0</v>
      </c>
    </row>
    <row r="123" spans="1:47" x14ac:dyDescent="0.2">
      <c r="A123">
        <v>122</v>
      </c>
      <c r="B123">
        <f>PoolStates_V2!B123</f>
        <v>0</v>
      </c>
      <c r="C123">
        <f>PoolStates_V2!S123</f>
        <v>51.836327065022331</v>
      </c>
      <c r="D123">
        <f>PoolStates_V2!T123</f>
        <v>990.71017452620697</v>
      </c>
      <c r="E123">
        <f>PoolStates_V2!Q123</f>
        <v>0.49200526089043234</v>
      </c>
      <c r="F123">
        <f t="shared" si="77"/>
        <v>0</v>
      </c>
      <c r="G123">
        <f t="shared" si="78"/>
        <v>0</v>
      </c>
      <c r="H123">
        <f t="shared" si="79"/>
        <v>12230.045203186159</v>
      </c>
      <c r="I123">
        <f t="shared" si="40"/>
        <v>0.49200526089043234</v>
      </c>
      <c r="J123">
        <f t="shared" si="41"/>
        <v>0</v>
      </c>
      <c r="K123">
        <f t="shared" si="42"/>
        <v>0</v>
      </c>
      <c r="L123">
        <f t="shared" si="43"/>
        <v>0</v>
      </c>
      <c r="M123">
        <f t="shared" si="44"/>
        <v>0</v>
      </c>
      <c r="N123">
        <f t="shared" si="45"/>
        <v>0</v>
      </c>
      <c r="O123">
        <f t="shared" si="46"/>
        <v>12229.553197925268</v>
      </c>
      <c r="P123">
        <f>M123*Inputs!B6/12</f>
        <v>0</v>
      </c>
      <c r="Q123">
        <f t="shared" si="47"/>
        <v>0</v>
      </c>
      <c r="R123">
        <f>N123*Inputs!B6/12</f>
        <v>0</v>
      </c>
      <c r="S123">
        <f t="shared" si="48"/>
        <v>0</v>
      </c>
      <c r="T123">
        <f t="shared" si="49"/>
        <v>51.836327065022331</v>
      </c>
      <c r="U123">
        <f t="shared" si="50"/>
        <v>0</v>
      </c>
      <c r="V123">
        <f t="shared" si="51"/>
        <v>51.836327065022331</v>
      </c>
      <c r="W123">
        <f t="shared" si="52"/>
        <v>990.71017452620697</v>
      </c>
      <c r="X123">
        <f t="shared" si="53"/>
        <v>0</v>
      </c>
      <c r="Y123">
        <f t="shared" si="54"/>
        <v>0</v>
      </c>
      <c r="Z123">
        <f t="shared" si="55"/>
        <v>0</v>
      </c>
      <c r="AA123">
        <f t="shared" si="56"/>
        <v>0</v>
      </c>
      <c r="AB123">
        <f t="shared" si="57"/>
        <v>0</v>
      </c>
      <c r="AC123">
        <f t="shared" si="58"/>
        <v>990.71017452620697</v>
      </c>
      <c r="AD123">
        <f t="shared" si="59"/>
        <v>0</v>
      </c>
      <c r="AE123">
        <f t="shared" si="60"/>
        <v>990.71017452620697</v>
      </c>
      <c r="AF123">
        <f t="shared" si="61"/>
        <v>0</v>
      </c>
      <c r="AG123">
        <f t="shared" si="62"/>
        <v>990.71017452620697</v>
      </c>
      <c r="AH123">
        <f t="shared" si="63"/>
        <v>990.71017452620697</v>
      </c>
      <c r="AI123">
        <f t="shared" si="64"/>
        <v>0</v>
      </c>
      <c r="AJ123">
        <f t="shared" si="65"/>
        <v>0</v>
      </c>
      <c r="AK123">
        <f t="shared" si="66"/>
        <v>990.71017452620697</v>
      </c>
      <c r="AL123">
        <f t="shared" si="67"/>
        <v>0</v>
      </c>
      <c r="AM123">
        <f t="shared" si="68"/>
        <v>0</v>
      </c>
      <c r="AN123">
        <f t="shared" si="69"/>
        <v>990.71017452620697</v>
      </c>
      <c r="AO123">
        <f t="shared" si="70"/>
        <v>0</v>
      </c>
      <c r="AP123">
        <f t="shared" si="71"/>
        <v>0</v>
      </c>
      <c r="AQ123">
        <f t="shared" si="72"/>
        <v>0</v>
      </c>
      <c r="AR123">
        <f t="shared" si="73"/>
        <v>11238.843023399062</v>
      </c>
      <c r="AS123">
        <f t="shared" si="74"/>
        <v>0</v>
      </c>
      <c r="AT123">
        <f t="shared" si="75"/>
        <v>0</v>
      </c>
      <c r="AU123">
        <f t="shared" si="76"/>
        <v>0</v>
      </c>
    </row>
    <row r="124" spans="1:47" x14ac:dyDescent="0.2">
      <c r="A124">
        <v>123</v>
      </c>
      <c r="B124">
        <f>PoolStates_V2!B124</f>
        <v>0</v>
      </c>
      <c r="C124">
        <f>PoolStates_V2!S124</f>
        <v>47.634594075251478</v>
      </c>
      <c r="D124">
        <f>PoolStates_V2!T124</f>
        <v>910.70471596083814</v>
      </c>
      <c r="E124">
        <f>PoolStates_V2!Q124</f>
        <v>0.45235938046205243</v>
      </c>
      <c r="F124">
        <f t="shared" si="77"/>
        <v>0</v>
      </c>
      <c r="G124">
        <f t="shared" si="78"/>
        <v>0</v>
      </c>
      <c r="H124">
        <f t="shared" si="79"/>
        <v>11238.843023399062</v>
      </c>
      <c r="I124">
        <f t="shared" si="40"/>
        <v>0.45235938046205243</v>
      </c>
      <c r="J124">
        <f t="shared" si="41"/>
        <v>0</v>
      </c>
      <c r="K124">
        <f t="shared" si="42"/>
        <v>0</v>
      </c>
      <c r="L124">
        <f t="shared" si="43"/>
        <v>0</v>
      </c>
      <c r="M124">
        <f t="shared" si="44"/>
        <v>0</v>
      </c>
      <c r="N124">
        <f t="shared" si="45"/>
        <v>0</v>
      </c>
      <c r="O124">
        <f t="shared" si="46"/>
        <v>11238.3906640186</v>
      </c>
      <c r="P124">
        <f>M124*Inputs!B6/12</f>
        <v>0</v>
      </c>
      <c r="Q124">
        <f t="shared" si="47"/>
        <v>0</v>
      </c>
      <c r="R124">
        <f>N124*Inputs!B6/12</f>
        <v>0</v>
      </c>
      <c r="S124">
        <f t="shared" si="48"/>
        <v>0</v>
      </c>
      <c r="T124">
        <f t="shared" si="49"/>
        <v>47.634594075251478</v>
      </c>
      <c r="U124">
        <f t="shared" si="50"/>
        <v>0</v>
      </c>
      <c r="V124">
        <f t="shared" si="51"/>
        <v>47.634594075251478</v>
      </c>
      <c r="W124">
        <f t="shared" si="52"/>
        <v>910.70471596083814</v>
      </c>
      <c r="X124">
        <f t="shared" si="53"/>
        <v>0</v>
      </c>
      <c r="Y124">
        <f t="shared" si="54"/>
        <v>0</v>
      </c>
      <c r="Z124">
        <f t="shared" si="55"/>
        <v>0</v>
      </c>
      <c r="AA124">
        <f t="shared" si="56"/>
        <v>0</v>
      </c>
      <c r="AB124">
        <f t="shared" si="57"/>
        <v>0</v>
      </c>
      <c r="AC124">
        <f t="shared" si="58"/>
        <v>910.70471596083814</v>
      </c>
      <c r="AD124">
        <f t="shared" si="59"/>
        <v>0</v>
      </c>
      <c r="AE124">
        <f t="shared" si="60"/>
        <v>910.70471596083814</v>
      </c>
      <c r="AF124">
        <f t="shared" si="61"/>
        <v>0</v>
      </c>
      <c r="AG124">
        <f t="shared" si="62"/>
        <v>910.70471596083814</v>
      </c>
      <c r="AH124">
        <f t="shared" si="63"/>
        <v>910.70471596083814</v>
      </c>
      <c r="AI124">
        <f t="shared" si="64"/>
        <v>0</v>
      </c>
      <c r="AJ124">
        <f t="shared" si="65"/>
        <v>0</v>
      </c>
      <c r="AK124">
        <f t="shared" si="66"/>
        <v>910.70471596083814</v>
      </c>
      <c r="AL124">
        <f t="shared" si="67"/>
        <v>0</v>
      </c>
      <c r="AM124">
        <f t="shared" si="68"/>
        <v>0</v>
      </c>
      <c r="AN124">
        <f t="shared" si="69"/>
        <v>910.70471596083814</v>
      </c>
      <c r="AO124">
        <f t="shared" si="70"/>
        <v>0</v>
      </c>
      <c r="AP124">
        <f t="shared" si="71"/>
        <v>0</v>
      </c>
      <c r="AQ124">
        <f t="shared" si="72"/>
        <v>0</v>
      </c>
      <c r="AR124">
        <f t="shared" si="73"/>
        <v>10327.685948057762</v>
      </c>
      <c r="AS124">
        <f t="shared" si="74"/>
        <v>0</v>
      </c>
      <c r="AT124">
        <f t="shared" si="75"/>
        <v>0</v>
      </c>
      <c r="AU124">
        <f t="shared" si="76"/>
        <v>0</v>
      </c>
    </row>
    <row r="125" spans="1:47" x14ac:dyDescent="0.2">
      <c r="A125">
        <v>124</v>
      </c>
      <c r="B125">
        <f>PoolStates_V2!B125</f>
        <v>0</v>
      </c>
      <c r="C125">
        <f>PoolStates_V2!S125</f>
        <v>43.772218132585657</v>
      </c>
      <c r="D125">
        <f>PoolStates_V2!T125</f>
        <v>837.13990476281901</v>
      </c>
      <c r="E125">
        <f>PoolStates_V2!Q125</f>
        <v>0.41589784757234216</v>
      </c>
      <c r="F125">
        <f t="shared" si="77"/>
        <v>0</v>
      </c>
      <c r="G125">
        <f t="shared" si="78"/>
        <v>0</v>
      </c>
      <c r="H125">
        <f t="shared" si="79"/>
        <v>10327.685948057762</v>
      </c>
      <c r="I125">
        <f t="shared" si="40"/>
        <v>0.41589784757234216</v>
      </c>
      <c r="J125">
        <f t="shared" si="41"/>
        <v>0</v>
      </c>
      <c r="K125">
        <f t="shared" si="42"/>
        <v>0</v>
      </c>
      <c r="L125">
        <f t="shared" si="43"/>
        <v>0</v>
      </c>
      <c r="M125">
        <f t="shared" si="44"/>
        <v>0</v>
      </c>
      <c r="N125">
        <f t="shared" si="45"/>
        <v>0</v>
      </c>
      <c r="O125">
        <f t="shared" si="46"/>
        <v>10327.270050210191</v>
      </c>
      <c r="P125">
        <f>M125*Inputs!B6/12</f>
        <v>0</v>
      </c>
      <c r="Q125">
        <f t="shared" si="47"/>
        <v>0</v>
      </c>
      <c r="R125">
        <f>N125*Inputs!B6/12</f>
        <v>0</v>
      </c>
      <c r="S125">
        <f t="shared" si="48"/>
        <v>0</v>
      </c>
      <c r="T125">
        <f t="shared" si="49"/>
        <v>43.772218132585657</v>
      </c>
      <c r="U125">
        <f t="shared" si="50"/>
        <v>0</v>
      </c>
      <c r="V125">
        <f t="shared" si="51"/>
        <v>43.772218132585657</v>
      </c>
      <c r="W125">
        <f t="shared" si="52"/>
        <v>837.13990476281901</v>
      </c>
      <c r="X125">
        <f t="shared" si="53"/>
        <v>0</v>
      </c>
      <c r="Y125">
        <f t="shared" si="54"/>
        <v>0</v>
      </c>
      <c r="Z125">
        <f t="shared" si="55"/>
        <v>0</v>
      </c>
      <c r="AA125">
        <f t="shared" si="56"/>
        <v>0</v>
      </c>
      <c r="AB125">
        <f t="shared" si="57"/>
        <v>0</v>
      </c>
      <c r="AC125">
        <f t="shared" si="58"/>
        <v>837.13990476281901</v>
      </c>
      <c r="AD125">
        <f t="shared" si="59"/>
        <v>0</v>
      </c>
      <c r="AE125">
        <f t="shared" si="60"/>
        <v>837.13990476281901</v>
      </c>
      <c r="AF125">
        <f t="shared" si="61"/>
        <v>0</v>
      </c>
      <c r="AG125">
        <f t="shared" si="62"/>
        <v>837.13990476281901</v>
      </c>
      <c r="AH125">
        <f t="shared" si="63"/>
        <v>837.13990476281901</v>
      </c>
      <c r="AI125">
        <f t="shared" si="64"/>
        <v>0</v>
      </c>
      <c r="AJ125">
        <f t="shared" si="65"/>
        <v>0</v>
      </c>
      <c r="AK125">
        <f t="shared" si="66"/>
        <v>837.13990476281901</v>
      </c>
      <c r="AL125">
        <f t="shared" si="67"/>
        <v>0</v>
      </c>
      <c r="AM125">
        <f t="shared" si="68"/>
        <v>0</v>
      </c>
      <c r="AN125">
        <f t="shared" si="69"/>
        <v>837.13990476281901</v>
      </c>
      <c r="AO125">
        <f t="shared" si="70"/>
        <v>0</v>
      </c>
      <c r="AP125">
        <f t="shared" si="71"/>
        <v>0</v>
      </c>
      <c r="AQ125">
        <f t="shared" si="72"/>
        <v>0</v>
      </c>
      <c r="AR125">
        <f t="shared" si="73"/>
        <v>9490.1301454473723</v>
      </c>
      <c r="AS125">
        <f t="shared" si="74"/>
        <v>0</v>
      </c>
      <c r="AT125">
        <f t="shared" si="75"/>
        <v>0</v>
      </c>
      <c r="AU125">
        <f t="shared" si="76"/>
        <v>0</v>
      </c>
    </row>
    <row r="126" spans="1:47" x14ac:dyDescent="0.2">
      <c r="A126">
        <v>125</v>
      </c>
      <c r="B126">
        <f>PoolStates_V2!B126</f>
        <v>0</v>
      </c>
      <c r="C126">
        <f>PoolStates_V2!S126</f>
        <v>40.221876694761235</v>
      </c>
      <c r="D126">
        <f>PoolStates_V2!T126</f>
        <v>769.49867774883603</v>
      </c>
      <c r="E126">
        <f>PoolStates_V2!Q126</f>
        <v>0.38236568223651263</v>
      </c>
      <c r="F126">
        <f t="shared" si="77"/>
        <v>0</v>
      </c>
      <c r="G126">
        <f t="shared" si="78"/>
        <v>0</v>
      </c>
      <c r="H126">
        <f t="shared" si="79"/>
        <v>9490.1301454473723</v>
      </c>
      <c r="I126">
        <f t="shared" si="40"/>
        <v>0.38236568223651263</v>
      </c>
      <c r="J126">
        <f t="shared" si="41"/>
        <v>0</v>
      </c>
      <c r="K126">
        <f t="shared" si="42"/>
        <v>0</v>
      </c>
      <c r="L126">
        <f t="shared" si="43"/>
        <v>0</v>
      </c>
      <c r="M126">
        <f t="shared" si="44"/>
        <v>0</v>
      </c>
      <c r="N126">
        <f t="shared" si="45"/>
        <v>0</v>
      </c>
      <c r="O126">
        <f t="shared" si="46"/>
        <v>9489.7477797651354</v>
      </c>
      <c r="P126">
        <f>M126*Inputs!B6/12</f>
        <v>0</v>
      </c>
      <c r="Q126">
        <f t="shared" si="47"/>
        <v>0</v>
      </c>
      <c r="R126">
        <f>N126*Inputs!B6/12</f>
        <v>0</v>
      </c>
      <c r="S126">
        <f t="shared" si="48"/>
        <v>0</v>
      </c>
      <c r="T126">
        <f t="shared" si="49"/>
        <v>40.221876694761235</v>
      </c>
      <c r="U126">
        <f t="shared" si="50"/>
        <v>0</v>
      </c>
      <c r="V126">
        <f t="shared" si="51"/>
        <v>40.221876694761235</v>
      </c>
      <c r="W126">
        <f t="shared" si="52"/>
        <v>769.49867774883603</v>
      </c>
      <c r="X126">
        <f t="shared" si="53"/>
        <v>0</v>
      </c>
      <c r="Y126">
        <f t="shared" si="54"/>
        <v>0</v>
      </c>
      <c r="Z126">
        <f t="shared" si="55"/>
        <v>0</v>
      </c>
      <c r="AA126">
        <f t="shared" si="56"/>
        <v>0</v>
      </c>
      <c r="AB126">
        <f t="shared" si="57"/>
        <v>0</v>
      </c>
      <c r="AC126">
        <f t="shared" si="58"/>
        <v>769.49867774883603</v>
      </c>
      <c r="AD126">
        <f t="shared" si="59"/>
        <v>0</v>
      </c>
      <c r="AE126">
        <f t="shared" si="60"/>
        <v>769.49867774883603</v>
      </c>
      <c r="AF126">
        <f t="shared" si="61"/>
        <v>0</v>
      </c>
      <c r="AG126">
        <f t="shared" si="62"/>
        <v>769.49867774883603</v>
      </c>
      <c r="AH126">
        <f t="shared" si="63"/>
        <v>769.49867774883603</v>
      </c>
      <c r="AI126">
        <f t="shared" si="64"/>
        <v>0</v>
      </c>
      <c r="AJ126">
        <f t="shared" si="65"/>
        <v>0</v>
      </c>
      <c r="AK126">
        <f t="shared" si="66"/>
        <v>769.49867774883603</v>
      </c>
      <c r="AL126">
        <f t="shared" si="67"/>
        <v>0</v>
      </c>
      <c r="AM126">
        <f t="shared" si="68"/>
        <v>0</v>
      </c>
      <c r="AN126">
        <f t="shared" si="69"/>
        <v>769.49867774883603</v>
      </c>
      <c r="AO126">
        <f t="shared" si="70"/>
        <v>0</v>
      </c>
      <c r="AP126">
        <f t="shared" si="71"/>
        <v>0</v>
      </c>
      <c r="AQ126">
        <f t="shared" si="72"/>
        <v>0</v>
      </c>
      <c r="AR126">
        <f t="shared" si="73"/>
        <v>8720.2491020162997</v>
      </c>
      <c r="AS126">
        <f t="shared" si="74"/>
        <v>0</v>
      </c>
      <c r="AT126">
        <f t="shared" si="75"/>
        <v>0</v>
      </c>
      <c r="AU126">
        <f t="shared" si="76"/>
        <v>0</v>
      </c>
    </row>
    <row r="127" spans="1:47" x14ac:dyDescent="0.2">
      <c r="A127">
        <v>126</v>
      </c>
      <c r="B127">
        <f>PoolStates_V2!B127</f>
        <v>0</v>
      </c>
      <c r="C127">
        <f>PoolStates_V2!S127</f>
        <v>36.958440996110525</v>
      </c>
      <c r="D127">
        <f>PoolStates_V2!T127</f>
        <v>707.30538179619828</v>
      </c>
      <c r="E127">
        <f>PoolStates_V2!Q127</f>
        <v>0.35152825841579405</v>
      </c>
      <c r="F127">
        <f t="shared" si="77"/>
        <v>0</v>
      </c>
      <c r="G127">
        <f t="shared" si="78"/>
        <v>0</v>
      </c>
      <c r="H127">
        <f t="shared" si="79"/>
        <v>8720.2491020162997</v>
      </c>
      <c r="I127">
        <f t="shared" si="40"/>
        <v>0.35152825841579405</v>
      </c>
      <c r="J127">
        <f t="shared" si="41"/>
        <v>0</v>
      </c>
      <c r="K127">
        <f t="shared" si="42"/>
        <v>0</v>
      </c>
      <c r="L127">
        <f t="shared" si="43"/>
        <v>0</v>
      </c>
      <c r="M127">
        <f t="shared" si="44"/>
        <v>0</v>
      </c>
      <c r="N127">
        <f t="shared" si="45"/>
        <v>0</v>
      </c>
      <c r="O127">
        <f t="shared" si="46"/>
        <v>8719.8975737578839</v>
      </c>
      <c r="P127">
        <f>M127*Inputs!B6/12</f>
        <v>0</v>
      </c>
      <c r="Q127">
        <f t="shared" si="47"/>
        <v>0</v>
      </c>
      <c r="R127">
        <f>N127*Inputs!B6/12</f>
        <v>0</v>
      </c>
      <c r="S127">
        <f t="shared" si="48"/>
        <v>0</v>
      </c>
      <c r="T127">
        <f t="shared" si="49"/>
        <v>36.958440996110525</v>
      </c>
      <c r="U127">
        <f t="shared" si="50"/>
        <v>0</v>
      </c>
      <c r="V127">
        <f t="shared" si="51"/>
        <v>36.958440996110525</v>
      </c>
      <c r="W127">
        <f t="shared" si="52"/>
        <v>707.30538179619828</v>
      </c>
      <c r="X127">
        <f t="shared" si="53"/>
        <v>0</v>
      </c>
      <c r="Y127">
        <f t="shared" si="54"/>
        <v>0</v>
      </c>
      <c r="Z127">
        <f t="shared" si="55"/>
        <v>0</v>
      </c>
      <c r="AA127">
        <f t="shared" si="56"/>
        <v>0</v>
      </c>
      <c r="AB127">
        <f t="shared" si="57"/>
        <v>0</v>
      </c>
      <c r="AC127">
        <f t="shared" si="58"/>
        <v>707.30538179619828</v>
      </c>
      <c r="AD127">
        <f t="shared" si="59"/>
        <v>0</v>
      </c>
      <c r="AE127">
        <f t="shared" si="60"/>
        <v>707.30538179619828</v>
      </c>
      <c r="AF127">
        <f t="shared" si="61"/>
        <v>0</v>
      </c>
      <c r="AG127">
        <f t="shared" si="62"/>
        <v>707.30538179619828</v>
      </c>
      <c r="AH127">
        <f t="shared" si="63"/>
        <v>707.30538179619828</v>
      </c>
      <c r="AI127">
        <f t="shared" si="64"/>
        <v>0</v>
      </c>
      <c r="AJ127">
        <f t="shared" si="65"/>
        <v>0</v>
      </c>
      <c r="AK127">
        <f t="shared" si="66"/>
        <v>707.30538179619828</v>
      </c>
      <c r="AL127">
        <f t="shared" si="67"/>
        <v>0</v>
      </c>
      <c r="AM127">
        <f t="shared" si="68"/>
        <v>0</v>
      </c>
      <c r="AN127">
        <f t="shared" si="69"/>
        <v>707.30538179619828</v>
      </c>
      <c r="AO127">
        <f t="shared" si="70"/>
        <v>0</v>
      </c>
      <c r="AP127">
        <f t="shared" si="71"/>
        <v>0</v>
      </c>
      <c r="AQ127">
        <f t="shared" si="72"/>
        <v>0</v>
      </c>
      <c r="AR127">
        <f t="shared" si="73"/>
        <v>8012.5921919616858</v>
      </c>
      <c r="AS127">
        <f t="shared" si="74"/>
        <v>0</v>
      </c>
      <c r="AT127">
        <f t="shared" si="75"/>
        <v>0</v>
      </c>
      <c r="AU127">
        <f t="shared" si="76"/>
        <v>0</v>
      </c>
    </row>
    <row r="128" spans="1:47" x14ac:dyDescent="0.2">
      <c r="A128">
        <v>127</v>
      </c>
      <c r="B128">
        <f>PoolStates_V2!B128</f>
        <v>0</v>
      </c>
      <c r="C128">
        <f>PoolStates_V2!S128</f>
        <v>33.958800327870385</v>
      </c>
      <c r="D128">
        <f>PoolStates_V2!T128</f>
        <v>650.12246448451572</v>
      </c>
      <c r="E128">
        <f>PoolStates_V2!Q128</f>
        <v>0.32316968468633667</v>
      </c>
      <c r="F128">
        <f t="shared" si="77"/>
        <v>0</v>
      </c>
      <c r="G128">
        <f t="shared" si="78"/>
        <v>0</v>
      </c>
      <c r="H128">
        <f t="shared" si="79"/>
        <v>8012.5921919616858</v>
      </c>
      <c r="I128">
        <f t="shared" si="40"/>
        <v>0.32316968468633667</v>
      </c>
      <c r="J128">
        <f t="shared" si="41"/>
        <v>0</v>
      </c>
      <c r="K128">
        <f t="shared" si="42"/>
        <v>0</v>
      </c>
      <c r="L128">
        <f t="shared" si="43"/>
        <v>0</v>
      </c>
      <c r="M128">
        <f t="shared" si="44"/>
        <v>0</v>
      </c>
      <c r="N128">
        <f t="shared" si="45"/>
        <v>0</v>
      </c>
      <c r="O128">
        <f t="shared" si="46"/>
        <v>8012.2690222769997</v>
      </c>
      <c r="P128">
        <f>M128*Inputs!B6/12</f>
        <v>0</v>
      </c>
      <c r="Q128">
        <f t="shared" si="47"/>
        <v>0</v>
      </c>
      <c r="R128">
        <f>N128*Inputs!B6/12</f>
        <v>0</v>
      </c>
      <c r="S128">
        <f t="shared" si="48"/>
        <v>0</v>
      </c>
      <c r="T128">
        <f t="shared" si="49"/>
        <v>33.958800327870385</v>
      </c>
      <c r="U128">
        <f t="shared" si="50"/>
        <v>0</v>
      </c>
      <c r="V128">
        <f t="shared" si="51"/>
        <v>33.958800327870385</v>
      </c>
      <c r="W128">
        <f t="shared" si="52"/>
        <v>650.12246448451572</v>
      </c>
      <c r="X128">
        <f t="shared" si="53"/>
        <v>0</v>
      </c>
      <c r="Y128">
        <f t="shared" si="54"/>
        <v>0</v>
      </c>
      <c r="Z128">
        <f t="shared" si="55"/>
        <v>0</v>
      </c>
      <c r="AA128">
        <f t="shared" si="56"/>
        <v>0</v>
      </c>
      <c r="AB128">
        <f t="shared" si="57"/>
        <v>0</v>
      </c>
      <c r="AC128">
        <f t="shared" si="58"/>
        <v>650.12246448451572</v>
      </c>
      <c r="AD128">
        <f t="shared" si="59"/>
        <v>0</v>
      </c>
      <c r="AE128">
        <f t="shared" si="60"/>
        <v>650.12246448451572</v>
      </c>
      <c r="AF128">
        <f t="shared" si="61"/>
        <v>0</v>
      </c>
      <c r="AG128">
        <f t="shared" si="62"/>
        <v>650.12246448451572</v>
      </c>
      <c r="AH128">
        <f t="shared" si="63"/>
        <v>650.12246448451572</v>
      </c>
      <c r="AI128">
        <f t="shared" si="64"/>
        <v>0</v>
      </c>
      <c r="AJ128">
        <f t="shared" si="65"/>
        <v>0</v>
      </c>
      <c r="AK128">
        <f t="shared" si="66"/>
        <v>650.12246448451572</v>
      </c>
      <c r="AL128">
        <f t="shared" si="67"/>
        <v>0</v>
      </c>
      <c r="AM128">
        <f t="shared" si="68"/>
        <v>0</v>
      </c>
      <c r="AN128">
        <f t="shared" si="69"/>
        <v>650.12246448451572</v>
      </c>
      <c r="AO128">
        <f t="shared" si="70"/>
        <v>0</v>
      </c>
      <c r="AP128">
        <f t="shared" si="71"/>
        <v>0</v>
      </c>
      <c r="AQ128">
        <f t="shared" si="72"/>
        <v>0</v>
      </c>
      <c r="AR128">
        <f t="shared" si="73"/>
        <v>7362.1465577924837</v>
      </c>
      <c r="AS128">
        <f t="shared" si="74"/>
        <v>0</v>
      </c>
      <c r="AT128">
        <f t="shared" si="75"/>
        <v>0</v>
      </c>
      <c r="AU128">
        <f t="shared" si="76"/>
        <v>0</v>
      </c>
    </row>
    <row r="129" spans="1:47" x14ac:dyDescent="0.2">
      <c r="A129">
        <v>128</v>
      </c>
      <c r="B129">
        <f>PoolStates_V2!B129</f>
        <v>0</v>
      </c>
      <c r="C129">
        <f>PoolStates_V2!S129</f>
        <v>31.201700364130133</v>
      </c>
      <c r="D129">
        <f>PoolStates_V2!T129</f>
        <v>597.54742871989993</v>
      </c>
      <c r="E129">
        <f>PoolStates_V2!Q129</f>
        <v>0.29709131322757665</v>
      </c>
      <c r="F129">
        <f t="shared" si="77"/>
        <v>0</v>
      </c>
      <c r="G129">
        <f t="shared" si="78"/>
        <v>0</v>
      </c>
      <c r="H129">
        <f t="shared" si="79"/>
        <v>7362.1465577924837</v>
      </c>
      <c r="I129">
        <f t="shared" si="40"/>
        <v>0.29709131322757665</v>
      </c>
      <c r="J129">
        <f t="shared" si="41"/>
        <v>0</v>
      </c>
      <c r="K129">
        <f t="shared" si="42"/>
        <v>0</v>
      </c>
      <c r="L129">
        <f t="shared" si="43"/>
        <v>0</v>
      </c>
      <c r="M129">
        <f t="shared" si="44"/>
        <v>0</v>
      </c>
      <c r="N129">
        <f t="shared" si="45"/>
        <v>0</v>
      </c>
      <c r="O129">
        <f t="shared" si="46"/>
        <v>7361.8494664792561</v>
      </c>
      <c r="P129">
        <f>M129*Inputs!B6/12</f>
        <v>0</v>
      </c>
      <c r="Q129">
        <f t="shared" si="47"/>
        <v>0</v>
      </c>
      <c r="R129">
        <f>N129*Inputs!B6/12</f>
        <v>0</v>
      </c>
      <c r="S129">
        <f t="shared" si="48"/>
        <v>0</v>
      </c>
      <c r="T129">
        <f t="shared" si="49"/>
        <v>31.201700364130133</v>
      </c>
      <c r="U129">
        <f t="shared" si="50"/>
        <v>0</v>
      </c>
      <c r="V129">
        <f t="shared" si="51"/>
        <v>31.201700364130133</v>
      </c>
      <c r="W129">
        <f t="shared" si="52"/>
        <v>597.54742871989993</v>
      </c>
      <c r="X129">
        <f t="shared" si="53"/>
        <v>0</v>
      </c>
      <c r="Y129">
        <f t="shared" si="54"/>
        <v>0</v>
      </c>
      <c r="Z129">
        <f t="shared" si="55"/>
        <v>0</v>
      </c>
      <c r="AA129">
        <f t="shared" si="56"/>
        <v>0</v>
      </c>
      <c r="AB129">
        <f t="shared" si="57"/>
        <v>0</v>
      </c>
      <c r="AC129">
        <f t="shared" si="58"/>
        <v>597.54742871989993</v>
      </c>
      <c r="AD129">
        <f t="shared" si="59"/>
        <v>0</v>
      </c>
      <c r="AE129">
        <f t="shared" si="60"/>
        <v>597.54742871989993</v>
      </c>
      <c r="AF129">
        <f t="shared" si="61"/>
        <v>0</v>
      </c>
      <c r="AG129">
        <f t="shared" si="62"/>
        <v>597.54742871989993</v>
      </c>
      <c r="AH129">
        <f t="shared" si="63"/>
        <v>597.54742871989993</v>
      </c>
      <c r="AI129">
        <f t="shared" si="64"/>
        <v>0</v>
      </c>
      <c r="AJ129">
        <f t="shared" si="65"/>
        <v>0</v>
      </c>
      <c r="AK129">
        <f t="shared" si="66"/>
        <v>597.54742871989993</v>
      </c>
      <c r="AL129">
        <f t="shared" si="67"/>
        <v>0</v>
      </c>
      <c r="AM129">
        <f t="shared" si="68"/>
        <v>0</v>
      </c>
      <c r="AN129">
        <f t="shared" si="69"/>
        <v>597.54742871989993</v>
      </c>
      <c r="AO129">
        <f t="shared" si="70"/>
        <v>0</v>
      </c>
      <c r="AP129">
        <f t="shared" si="71"/>
        <v>0</v>
      </c>
      <c r="AQ129">
        <f t="shared" si="72"/>
        <v>0</v>
      </c>
      <c r="AR129">
        <f t="shared" si="73"/>
        <v>6764.3020377593566</v>
      </c>
      <c r="AS129">
        <f t="shared" si="74"/>
        <v>0</v>
      </c>
      <c r="AT129">
        <f t="shared" si="75"/>
        <v>0</v>
      </c>
      <c r="AU129">
        <f t="shared" si="76"/>
        <v>0</v>
      </c>
    </row>
    <row r="130" spans="1:47" x14ac:dyDescent="0.2">
      <c r="A130">
        <v>129</v>
      </c>
      <c r="B130">
        <f>PoolStates_V2!B130</f>
        <v>0</v>
      </c>
      <c r="C130">
        <f>PoolStates_V2!S130</f>
        <v>28.667594412723389</v>
      </c>
      <c r="D130">
        <f>PoolStates_V2!T130</f>
        <v>549.21003031767407</v>
      </c>
      <c r="E130">
        <f>PoolStates_V2!Q130</f>
        <v>0.27311036701470026</v>
      </c>
      <c r="F130">
        <f t="shared" si="77"/>
        <v>0</v>
      </c>
      <c r="G130">
        <f t="shared" si="78"/>
        <v>0</v>
      </c>
      <c r="H130">
        <f t="shared" si="79"/>
        <v>6764.3020377593566</v>
      </c>
      <c r="I130">
        <f t="shared" ref="I130:I193" si="80">MIN(E130,H130)</f>
        <v>0.27311036701470026</v>
      </c>
      <c r="J130">
        <f t="shared" ref="J130:J193" si="81">MIN(MAX(E130-I130,0),G130)</f>
        <v>0</v>
      </c>
      <c r="K130">
        <f t="shared" ref="K130:K193" si="82">MIN(MAX(E130-I130-J130,0),F130)</f>
        <v>0</v>
      </c>
      <c r="L130">
        <f t="shared" ref="L130:L193" si="83">MAX(E130-I130-J130-K130,0)</f>
        <v>0</v>
      </c>
      <c r="M130">
        <f t="shared" ref="M130:M193" si="84">MAX(F130-K130,0)</f>
        <v>0</v>
      </c>
      <c r="N130">
        <f t="shared" ref="N130:N193" si="85">MAX(G130-J130,0)</f>
        <v>0</v>
      </c>
      <c r="O130">
        <f t="shared" ref="O130:O193" si="86">MAX(H130-I130,0)</f>
        <v>6764.0289273923418</v>
      </c>
      <c r="P130">
        <f>M130*Inputs!B6/12</f>
        <v>0</v>
      </c>
      <c r="Q130">
        <f t="shared" ref="Q130:Q193" si="87">MIN(C130,P130)</f>
        <v>0</v>
      </c>
      <c r="R130">
        <f>N130*Inputs!B6/12</f>
        <v>0</v>
      </c>
      <c r="S130">
        <f t="shared" ref="S130:S193" si="88">MIN(MAX(C130-Q130,0),R130)</f>
        <v>0</v>
      </c>
      <c r="T130">
        <f t="shared" ref="T130:T193" si="89">MAX(C130-Q130-S130,0)</f>
        <v>28.667594412723389</v>
      </c>
      <c r="U130">
        <f t="shared" ref="U130:U193" si="90">IF(B130=1,T130,0)</f>
        <v>0</v>
      </c>
      <c r="V130">
        <f t="shared" ref="V130:V193" si="91">T130-U130</f>
        <v>28.667594412723389</v>
      </c>
      <c r="W130">
        <f t="shared" ref="W130:W193" si="92">D130+U130</f>
        <v>549.21003031767407</v>
      </c>
      <c r="X130">
        <f t="shared" ref="X130:X193" si="93">M130+N130</f>
        <v>0</v>
      </c>
      <c r="Y130">
        <f t="shared" ref="Y130:Y193" si="94">IF(X130&gt;0,W130*(M130/X130),0)</f>
        <v>0</v>
      </c>
      <c r="Z130">
        <f t="shared" ref="Z130:Z193" si="95">IF(X130&gt;0,W130-Y130,0)</f>
        <v>0</v>
      </c>
      <c r="AA130">
        <f t="shared" ref="AA130:AA193" si="96">MIN(Y130,M130)</f>
        <v>0</v>
      </c>
      <c r="AB130">
        <f t="shared" ref="AB130:AB193" si="97">MIN(Z130,N130)</f>
        <v>0</v>
      </c>
      <c r="AC130">
        <f t="shared" ref="AC130:AC193" si="98">MAX(W130-AA130-AB130,0)</f>
        <v>549.21003031767407</v>
      </c>
      <c r="AD130">
        <f t="shared" ref="AD130:AD193" si="99">MIN(AC130,MAX(M130-AA130,0))</f>
        <v>0</v>
      </c>
      <c r="AE130">
        <f t="shared" ref="AE130:AE193" si="100">MAX(AC130-AD130,0)</f>
        <v>549.21003031767407</v>
      </c>
      <c r="AF130">
        <f t="shared" ref="AF130:AF193" si="101">MIN(AE130,MAX(N130-AB130,0))</f>
        <v>0</v>
      </c>
      <c r="AG130">
        <f t="shared" ref="AG130:AG193" si="102">MAX(AE130-AF130,0)</f>
        <v>549.21003031767407</v>
      </c>
      <c r="AH130">
        <f t="shared" ref="AH130:AH193" si="103">MIN(AG130,O130)</f>
        <v>549.21003031767407</v>
      </c>
      <c r="AI130">
        <f t="shared" ref="AI130:AI193" si="104">MIN(W130,M130)</f>
        <v>0</v>
      </c>
      <c r="AJ130">
        <f t="shared" ref="AJ130:AJ193" si="105">MIN(MAX(W130-AI130,0),N130)</f>
        <v>0</v>
      </c>
      <c r="AK130">
        <f t="shared" ref="AK130:AK193" si="106">MIN(MAX(W130-AI130-AJ130,0),O130)</f>
        <v>549.21003031767407</v>
      </c>
      <c r="AL130">
        <f t="shared" ref="AL130:AL193" si="107">IF(B130=1,AI130,AA130+AD130)</f>
        <v>0</v>
      </c>
      <c r="AM130">
        <f t="shared" ref="AM130:AM193" si="108">IF(B130=1,AJ130,AB130+AF130)</f>
        <v>0</v>
      </c>
      <c r="AN130">
        <f t="shared" ref="AN130:AN193" si="109">IF(B130=1,AK130,AH130)</f>
        <v>549.21003031767407</v>
      </c>
      <c r="AO130">
        <f t="shared" ref="AO130:AO193" si="110">MAX(W130-AL130-AM130-AN130,0)</f>
        <v>0</v>
      </c>
      <c r="AP130">
        <f t="shared" ref="AP130:AP193" si="111">MAX(M130-AL130,0)</f>
        <v>0</v>
      </c>
      <c r="AQ130">
        <f t="shared" ref="AQ130:AQ193" si="112">MAX(N130-AM130,0)</f>
        <v>0</v>
      </c>
      <c r="AR130">
        <f t="shared" ref="AR130:AR193" si="113">MAX(O130-AN130,0)</f>
        <v>6214.8188970746678</v>
      </c>
      <c r="AS130">
        <f t="shared" ref="AS130:AS193" si="114">W130-(AL130+AM130+AN130+AO130)</f>
        <v>0</v>
      </c>
      <c r="AT130">
        <f t="shared" ref="AT130:AT193" si="115">C130-(Q130+S130+V130+U130)</f>
        <v>0</v>
      </c>
      <c r="AU130">
        <f t="shared" ref="AU130:AU193" si="116">E130-(I130+J130+K130+L130)</f>
        <v>0</v>
      </c>
    </row>
    <row r="131" spans="1:47" x14ac:dyDescent="0.2">
      <c r="A131">
        <v>130</v>
      </c>
      <c r="B131">
        <f>PoolStates_V2!B131</f>
        <v>0</v>
      </c>
      <c r="C131">
        <f>PoolStates_V2!S131</f>
        <v>26.33850655965821</v>
      </c>
      <c r="D131">
        <f>PoolStates_V2!T131</f>
        <v>504.76969919177697</v>
      </c>
      <c r="E131">
        <f>PoolStates_V2!Q131</f>
        <v>0.25105867589128633</v>
      </c>
      <c r="F131">
        <f t="shared" ref="F131:F194" si="117">AP130</f>
        <v>0</v>
      </c>
      <c r="G131">
        <f t="shared" ref="G131:G194" si="118">AQ130</f>
        <v>0</v>
      </c>
      <c r="H131">
        <f t="shared" ref="H131:H194" si="119">AR130</f>
        <v>6214.8188970746678</v>
      </c>
      <c r="I131">
        <f t="shared" si="80"/>
        <v>0.25105867589128633</v>
      </c>
      <c r="J131">
        <f t="shared" si="81"/>
        <v>0</v>
      </c>
      <c r="K131">
        <f t="shared" si="82"/>
        <v>0</v>
      </c>
      <c r="L131">
        <f t="shared" si="83"/>
        <v>0</v>
      </c>
      <c r="M131">
        <f t="shared" si="84"/>
        <v>0</v>
      </c>
      <c r="N131">
        <f t="shared" si="85"/>
        <v>0</v>
      </c>
      <c r="O131">
        <f t="shared" si="86"/>
        <v>6214.5678383987761</v>
      </c>
      <c r="P131">
        <f>M131*Inputs!B6/12</f>
        <v>0</v>
      </c>
      <c r="Q131">
        <f t="shared" si="87"/>
        <v>0</v>
      </c>
      <c r="R131">
        <f>N131*Inputs!B6/12</f>
        <v>0</v>
      </c>
      <c r="S131">
        <f t="shared" si="88"/>
        <v>0</v>
      </c>
      <c r="T131">
        <f t="shared" si="89"/>
        <v>26.33850655965821</v>
      </c>
      <c r="U131">
        <f t="shared" si="90"/>
        <v>0</v>
      </c>
      <c r="V131">
        <f t="shared" si="91"/>
        <v>26.33850655965821</v>
      </c>
      <c r="W131">
        <f t="shared" si="92"/>
        <v>504.76969919177697</v>
      </c>
      <c r="X131">
        <f t="shared" si="93"/>
        <v>0</v>
      </c>
      <c r="Y131">
        <f t="shared" si="94"/>
        <v>0</v>
      </c>
      <c r="Z131">
        <f t="shared" si="95"/>
        <v>0</v>
      </c>
      <c r="AA131">
        <f t="shared" si="96"/>
        <v>0</v>
      </c>
      <c r="AB131">
        <f t="shared" si="97"/>
        <v>0</v>
      </c>
      <c r="AC131">
        <f t="shared" si="98"/>
        <v>504.76969919177697</v>
      </c>
      <c r="AD131">
        <f t="shared" si="99"/>
        <v>0</v>
      </c>
      <c r="AE131">
        <f t="shared" si="100"/>
        <v>504.76969919177697</v>
      </c>
      <c r="AF131">
        <f t="shared" si="101"/>
        <v>0</v>
      </c>
      <c r="AG131">
        <f t="shared" si="102"/>
        <v>504.76969919177697</v>
      </c>
      <c r="AH131">
        <f t="shared" si="103"/>
        <v>504.76969919177697</v>
      </c>
      <c r="AI131">
        <f t="shared" si="104"/>
        <v>0</v>
      </c>
      <c r="AJ131">
        <f t="shared" si="105"/>
        <v>0</v>
      </c>
      <c r="AK131">
        <f t="shared" si="106"/>
        <v>504.76969919177697</v>
      </c>
      <c r="AL131">
        <f t="shared" si="107"/>
        <v>0</v>
      </c>
      <c r="AM131">
        <f t="shared" si="108"/>
        <v>0</v>
      </c>
      <c r="AN131">
        <f t="shared" si="109"/>
        <v>504.76969919177697</v>
      </c>
      <c r="AO131">
        <f t="shared" si="110"/>
        <v>0</v>
      </c>
      <c r="AP131">
        <f t="shared" si="111"/>
        <v>0</v>
      </c>
      <c r="AQ131">
        <f t="shared" si="112"/>
        <v>0</v>
      </c>
      <c r="AR131">
        <f t="shared" si="113"/>
        <v>5709.7981392069987</v>
      </c>
      <c r="AS131">
        <f t="shared" si="114"/>
        <v>0</v>
      </c>
      <c r="AT131">
        <f t="shared" si="115"/>
        <v>0</v>
      </c>
      <c r="AU131">
        <f t="shared" si="116"/>
        <v>0</v>
      </c>
    </row>
    <row r="132" spans="1:47" x14ac:dyDescent="0.2">
      <c r="A132">
        <v>131</v>
      </c>
      <c r="B132">
        <f>PoolStates_V2!B132</f>
        <v>0</v>
      </c>
      <c r="C132">
        <f>PoolStates_V2!S132</f>
        <v>24.197905757861747</v>
      </c>
      <c r="D132">
        <f>PoolStates_V2!T132</f>
        <v>463.91316633837982</v>
      </c>
      <c r="E132">
        <f>PoolStates_V2!Q132</f>
        <v>0.23078151292843563</v>
      </c>
      <c r="F132">
        <f t="shared" si="117"/>
        <v>0</v>
      </c>
      <c r="G132">
        <f t="shared" si="118"/>
        <v>0</v>
      </c>
      <c r="H132">
        <f t="shared" si="119"/>
        <v>5709.7981392069987</v>
      </c>
      <c r="I132">
        <f t="shared" si="80"/>
        <v>0.23078151292843563</v>
      </c>
      <c r="J132">
        <f t="shared" si="81"/>
        <v>0</v>
      </c>
      <c r="K132">
        <f t="shared" si="82"/>
        <v>0</v>
      </c>
      <c r="L132">
        <f t="shared" si="83"/>
        <v>0</v>
      </c>
      <c r="M132">
        <f t="shared" si="84"/>
        <v>0</v>
      </c>
      <c r="N132">
        <f t="shared" si="85"/>
        <v>0</v>
      </c>
      <c r="O132">
        <f t="shared" si="86"/>
        <v>5709.5673576940699</v>
      </c>
      <c r="P132">
        <f>M132*Inputs!B6/12</f>
        <v>0</v>
      </c>
      <c r="Q132">
        <f t="shared" si="87"/>
        <v>0</v>
      </c>
      <c r="R132">
        <f>N132*Inputs!B6/12</f>
        <v>0</v>
      </c>
      <c r="S132">
        <f t="shared" si="88"/>
        <v>0</v>
      </c>
      <c r="T132">
        <f t="shared" si="89"/>
        <v>24.197905757861747</v>
      </c>
      <c r="U132">
        <f t="shared" si="90"/>
        <v>0</v>
      </c>
      <c r="V132">
        <f t="shared" si="91"/>
        <v>24.197905757861747</v>
      </c>
      <c r="W132">
        <f t="shared" si="92"/>
        <v>463.91316633837982</v>
      </c>
      <c r="X132">
        <f t="shared" si="93"/>
        <v>0</v>
      </c>
      <c r="Y132">
        <f t="shared" si="94"/>
        <v>0</v>
      </c>
      <c r="Z132">
        <f t="shared" si="95"/>
        <v>0</v>
      </c>
      <c r="AA132">
        <f t="shared" si="96"/>
        <v>0</v>
      </c>
      <c r="AB132">
        <f t="shared" si="97"/>
        <v>0</v>
      </c>
      <c r="AC132">
        <f t="shared" si="98"/>
        <v>463.91316633837982</v>
      </c>
      <c r="AD132">
        <f t="shared" si="99"/>
        <v>0</v>
      </c>
      <c r="AE132">
        <f t="shared" si="100"/>
        <v>463.91316633837982</v>
      </c>
      <c r="AF132">
        <f t="shared" si="101"/>
        <v>0</v>
      </c>
      <c r="AG132">
        <f t="shared" si="102"/>
        <v>463.91316633837982</v>
      </c>
      <c r="AH132">
        <f t="shared" si="103"/>
        <v>463.91316633837982</v>
      </c>
      <c r="AI132">
        <f t="shared" si="104"/>
        <v>0</v>
      </c>
      <c r="AJ132">
        <f t="shared" si="105"/>
        <v>0</v>
      </c>
      <c r="AK132">
        <f t="shared" si="106"/>
        <v>463.91316633837982</v>
      </c>
      <c r="AL132">
        <f t="shared" si="107"/>
        <v>0</v>
      </c>
      <c r="AM132">
        <f t="shared" si="108"/>
        <v>0</v>
      </c>
      <c r="AN132">
        <f t="shared" si="109"/>
        <v>463.91316633837982</v>
      </c>
      <c r="AO132">
        <f t="shared" si="110"/>
        <v>0</v>
      </c>
      <c r="AP132">
        <f t="shared" si="111"/>
        <v>0</v>
      </c>
      <c r="AQ132">
        <f t="shared" si="112"/>
        <v>0</v>
      </c>
      <c r="AR132">
        <f t="shared" si="113"/>
        <v>5245.6541913556903</v>
      </c>
      <c r="AS132">
        <f t="shared" si="114"/>
        <v>0</v>
      </c>
      <c r="AT132">
        <f t="shared" si="115"/>
        <v>0</v>
      </c>
      <c r="AU132">
        <f t="shared" si="116"/>
        <v>0</v>
      </c>
    </row>
    <row r="133" spans="1:47" x14ac:dyDescent="0.2">
      <c r="A133">
        <v>132</v>
      </c>
      <c r="B133">
        <f>PoolStates_V2!B133</f>
        <v>0</v>
      </c>
      <c r="C133">
        <f>PoolStates_V2!S133</f>
        <v>22.230589986657538</v>
      </c>
      <c r="D133">
        <f>PoolStates_V2!T133</f>
        <v>426.35228021823184</v>
      </c>
      <c r="E133">
        <f>PoolStates_V2!Q133</f>
        <v>0.21213652315035994</v>
      </c>
      <c r="F133">
        <f t="shared" si="117"/>
        <v>0</v>
      </c>
      <c r="G133">
        <f t="shared" si="118"/>
        <v>0</v>
      </c>
      <c r="H133">
        <f t="shared" si="119"/>
        <v>5245.6541913556903</v>
      </c>
      <c r="I133">
        <f t="shared" si="80"/>
        <v>0.21213652315035994</v>
      </c>
      <c r="J133">
        <f t="shared" si="81"/>
        <v>0</v>
      </c>
      <c r="K133">
        <f t="shared" si="82"/>
        <v>0</v>
      </c>
      <c r="L133">
        <f t="shared" si="83"/>
        <v>0</v>
      </c>
      <c r="M133">
        <f t="shared" si="84"/>
        <v>0</v>
      </c>
      <c r="N133">
        <f t="shared" si="85"/>
        <v>0</v>
      </c>
      <c r="O133">
        <f t="shared" si="86"/>
        <v>5245.4420548325397</v>
      </c>
      <c r="P133">
        <f>M133*Inputs!B6/12</f>
        <v>0</v>
      </c>
      <c r="Q133">
        <f t="shared" si="87"/>
        <v>0</v>
      </c>
      <c r="R133">
        <f>N133*Inputs!B6/12</f>
        <v>0</v>
      </c>
      <c r="S133">
        <f t="shared" si="88"/>
        <v>0</v>
      </c>
      <c r="T133">
        <f t="shared" si="89"/>
        <v>22.230589986657538</v>
      </c>
      <c r="U133">
        <f t="shared" si="90"/>
        <v>0</v>
      </c>
      <c r="V133">
        <f t="shared" si="91"/>
        <v>22.230589986657538</v>
      </c>
      <c r="W133">
        <f t="shared" si="92"/>
        <v>426.35228021823184</v>
      </c>
      <c r="X133">
        <f t="shared" si="93"/>
        <v>0</v>
      </c>
      <c r="Y133">
        <f t="shared" si="94"/>
        <v>0</v>
      </c>
      <c r="Z133">
        <f t="shared" si="95"/>
        <v>0</v>
      </c>
      <c r="AA133">
        <f t="shared" si="96"/>
        <v>0</v>
      </c>
      <c r="AB133">
        <f t="shared" si="97"/>
        <v>0</v>
      </c>
      <c r="AC133">
        <f t="shared" si="98"/>
        <v>426.35228021823184</v>
      </c>
      <c r="AD133">
        <f t="shared" si="99"/>
        <v>0</v>
      </c>
      <c r="AE133">
        <f t="shared" si="100"/>
        <v>426.35228021823184</v>
      </c>
      <c r="AF133">
        <f t="shared" si="101"/>
        <v>0</v>
      </c>
      <c r="AG133">
        <f t="shared" si="102"/>
        <v>426.35228021823184</v>
      </c>
      <c r="AH133">
        <f t="shared" si="103"/>
        <v>426.35228021823184</v>
      </c>
      <c r="AI133">
        <f t="shared" si="104"/>
        <v>0</v>
      </c>
      <c r="AJ133">
        <f t="shared" si="105"/>
        <v>0</v>
      </c>
      <c r="AK133">
        <f t="shared" si="106"/>
        <v>426.35228021823184</v>
      </c>
      <c r="AL133">
        <f t="shared" si="107"/>
        <v>0</v>
      </c>
      <c r="AM133">
        <f t="shared" si="108"/>
        <v>0</v>
      </c>
      <c r="AN133">
        <f t="shared" si="109"/>
        <v>426.35228021823184</v>
      </c>
      <c r="AO133">
        <f t="shared" si="110"/>
        <v>0</v>
      </c>
      <c r="AP133">
        <f t="shared" si="111"/>
        <v>0</v>
      </c>
      <c r="AQ133">
        <f t="shared" si="112"/>
        <v>0</v>
      </c>
      <c r="AR133">
        <f t="shared" si="113"/>
        <v>4819.0897746143082</v>
      </c>
      <c r="AS133">
        <f t="shared" si="114"/>
        <v>0</v>
      </c>
      <c r="AT133">
        <f t="shared" si="115"/>
        <v>0</v>
      </c>
      <c r="AU133">
        <f t="shared" si="116"/>
        <v>0</v>
      </c>
    </row>
    <row r="134" spans="1:47" x14ac:dyDescent="0.2">
      <c r="A134">
        <v>133</v>
      </c>
      <c r="B134">
        <f>PoolStates_V2!B134</f>
        <v>0</v>
      </c>
      <c r="C134">
        <f>PoolStates_V2!S134</f>
        <v>20.422579678014841</v>
      </c>
      <c r="D134">
        <f>PoolStates_V2!T134</f>
        <v>391.82199744665797</v>
      </c>
      <c r="E134">
        <f>PoolStates_V2!Q134</f>
        <v>0.19499273732780639</v>
      </c>
      <c r="F134">
        <f t="shared" si="117"/>
        <v>0</v>
      </c>
      <c r="G134">
        <f t="shared" si="118"/>
        <v>0</v>
      </c>
      <c r="H134">
        <f t="shared" si="119"/>
        <v>4819.0897746143082</v>
      </c>
      <c r="I134">
        <f t="shared" si="80"/>
        <v>0.19499273732780639</v>
      </c>
      <c r="J134">
        <f t="shared" si="81"/>
        <v>0</v>
      </c>
      <c r="K134">
        <f t="shared" si="82"/>
        <v>0</v>
      </c>
      <c r="L134">
        <f t="shared" si="83"/>
        <v>0</v>
      </c>
      <c r="M134">
        <f t="shared" si="84"/>
        <v>0</v>
      </c>
      <c r="N134">
        <f t="shared" si="85"/>
        <v>0</v>
      </c>
      <c r="O134">
        <f t="shared" si="86"/>
        <v>4818.8947818769802</v>
      </c>
      <c r="P134">
        <f>M134*Inputs!B6/12</f>
        <v>0</v>
      </c>
      <c r="Q134">
        <f t="shared" si="87"/>
        <v>0</v>
      </c>
      <c r="R134">
        <f>N134*Inputs!B6/12</f>
        <v>0</v>
      </c>
      <c r="S134">
        <f t="shared" si="88"/>
        <v>0</v>
      </c>
      <c r="T134">
        <f t="shared" si="89"/>
        <v>20.422579678014841</v>
      </c>
      <c r="U134">
        <f t="shared" si="90"/>
        <v>0</v>
      </c>
      <c r="V134">
        <f t="shared" si="91"/>
        <v>20.422579678014841</v>
      </c>
      <c r="W134">
        <f t="shared" si="92"/>
        <v>391.82199744665797</v>
      </c>
      <c r="X134">
        <f t="shared" si="93"/>
        <v>0</v>
      </c>
      <c r="Y134">
        <f t="shared" si="94"/>
        <v>0</v>
      </c>
      <c r="Z134">
        <f t="shared" si="95"/>
        <v>0</v>
      </c>
      <c r="AA134">
        <f t="shared" si="96"/>
        <v>0</v>
      </c>
      <c r="AB134">
        <f t="shared" si="97"/>
        <v>0</v>
      </c>
      <c r="AC134">
        <f t="shared" si="98"/>
        <v>391.82199744665797</v>
      </c>
      <c r="AD134">
        <f t="shared" si="99"/>
        <v>0</v>
      </c>
      <c r="AE134">
        <f t="shared" si="100"/>
        <v>391.82199744665797</v>
      </c>
      <c r="AF134">
        <f t="shared" si="101"/>
        <v>0</v>
      </c>
      <c r="AG134">
        <f t="shared" si="102"/>
        <v>391.82199744665797</v>
      </c>
      <c r="AH134">
        <f t="shared" si="103"/>
        <v>391.82199744665797</v>
      </c>
      <c r="AI134">
        <f t="shared" si="104"/>
        <v>0</v>
      </c>
      <c r="AJ134">
        <f t="shared" si="105"/>
        <v>0</v>
      </c>
      <c r="AK134">
        <f t="shared" si="106"/>
        <v>391.82199744665797</v>
      </c>
      <c r="AL134">
        <f t="shared" si="107"/>
        <v>0</v>
      </c>
      <c r="AM134">
        <f t="shared" si="108"/>
        <v>0</v>
      </c>
      <c r="AN134">
        <f t="shared" si="109"/>
        <v>391.82199744665797</v>
      </c>
      <c r="AO134">
        <f t="shared" si="110"/>
        <v>0</v>
      </c>
      <c r="AP134">
        <f t="shared" si="111"/>
        <v>0</v>
      </c>
      <c r="AQ134">
        <f t="shared" si="112"/>
        <v>0</v>
      </c>
      <c r="AR134">
        <f t="shared" si="113"/>
        <v>4427.0727844303219</v>
      </c>
      <c r="AS134">
        <f t="shared" si="114"/>
        <v>0</v>
      </c>
      <c r="AT134">
        <f t="shared" si="115"/>
        <v>0</v>
      </c>
      <c r="AU134">
        <f t="shared" si="116"/>
        <v>0</v>
      </c>
    </row>
    <row r="135" spans="1:47" x14ac:dyDescent="0.2">
      <c r="A135">
        <v>134</v>
      </c>
      <c r="B135">
        <f>PoolStates_V2!B135</f>
        <v>0</v>
      </c>
      <c r="C135">
        <f>PoolStates_V2!S135</f>
        <v>18.761019669688416</v>
      </c>
      <c r="D135">
        <f>PoolStates_V2!T135</f>
        <v>360.07853390086558</v>
      </c>
      <c r="E135">
        <f>PoolStates_V2!Q135</f>
        <v>0.17922966411381569</v>
      </c>
      <c r="F135">
        <f t="shared" si="117"/>
        <v>0</v>
      </c>
      <c r="G135">
        <f t="shared" si="118"/>
        <v>0</v>
      </c>
      <c r="H135">
        <f t="shared" si="119"/>
        <v>4427.0727844303219</v>
      </c>
      <c r="I135">
        <f t="shared" si="80"/>
        <v>0.17922966411381569</v>
      </c>
      <c r="J135">
        <f t="shared" si="81"/>
        <v>0</v>
      </c>
      <c r="K135">
        <f t="shared" si="82"/>
        <v>0</v>
      </c>
      <c r="L135">
        <f t="shared" si="83"/>
        <v>0</v>
      </c>
      <c r="M135">
        <f t="shared" si="84"/>
        <v>0</v>
      </c>
      <c r="N135">
        <f t="shared" si="85"/>
        <v>0</v>
      </c>
      <c r="O135">
        <f t="shared" si="86"/>
        <v>4426.8935547662077</v>
      </c>
      <c r="P135">
        <f>M135*Inputs!B6/12</f>
        <v>0</v>
      </c>
      <c r="Q135">
        <f t="shared" si="87"/>
        <v>0</v>
      </c>
      <c r="R135">
        <f>N135*Inputs!B6/12</f>
        <v>0</v>
      </c>
      <c r="S135">
        <f t="shared" si="88"/>
        <v>0</v>
      </c>
      <c r="T135">
        <f t="shared" si="89"/>
        <v>18.761019669688416</v>
      </c>
      <c r="U135">
        <f t="shared" si="90"/>
        <v>0</v>
      </c>
      <c r="V135">
        <f t="shared" si="91"/>
        <v>18.761019669688416</v>
      </c>
      <c r="W135">
        <f t="shared" si="92"/>
        <v>360.07853390086558</v>
      </c>
      <c r="X135">
        <f t="shared" si="93"/>
        <v>0</v>
      </c>
      <c r="Y135">
        <f t="shared" si="94"/>
        <v>0</v>
      </c>
      <c r="Z135">
        <f t="shared" si="95"/>
        <v>0</v>
      </c>
      <c r="AA135">
        <f t="shared" si="96"/>
        <v>0</v>
      </c>
      <c r="AB135">
        <f t="shared" si="97"/>
        <v>0</v>
      </c>
      <c r="AC135">
        <f t="shared" si="98"/>
        <v>360.07853390086558</v>
      </c>
      <c r="AD135">
        <f t="shared" si="99"/>
        <v>0</v>
      </c>
      <c r="AE135">
        <f t="shared" si="100"/>
        <v>360.07853390086558</v>
      </c>
      <c r="AF135">
        <f t="shared" si="101"/>
        <v>0</v>
      </c>
      <c r="AG135">
        <f t="shared" si="102"/>
        <v>360.07853390086558</v>
      </c>
      <c r="AH135">
        <f t="shared" si="103"/>
        <v>360.07853390086558</v>
      </c>
      <c r="AI135">
        <f t="shared" si="104"/>
        <v>0</v>
      </c>
      <c r="AJ135">
        <f t="shared" si="105"/>
        <v>0</v>
      </c>
      <c r="AK135">
        <f t="shared" si="106"/>
        <v>360.07853390086558</v>
      </c>
      <c r="AL135">
        <f t="shared" si="107"/>
        <v>0</v>
      </c>
      <c r="AM135">
        <f t="shared" si="108"/>
        <v>0</v>
      </c>
      <c r="AN135">
        <f t="shared" si="109"/>
        <v>360.07853390086558</v>
      </c>
      <c r="AO135">
        <f t="shared" si="110"/>
        <v>0</v>
      </c>
      <c r="AP135">
        <f t="shared" si="111"/>
        <v>0</v>
      </c>
      <c r="AQ135">
        <f t="shared" si="112"/>
        <v>0</v>
      </c>
      <c r="AR135">
        <f t="shared" si="113"/>
        <v>4066.8150208653419</v>
      </c>
      <c r="AS135">
        <f t="shared" si="114"/>
        <v>0</v>
      </c>
      <c r="AT135">
        <f t="shared" si="115"/>
        <v>0</v>
      </c>
      <c r="AU135">
        <f t="shared" si="116"/>
        <v>0</v>
      </c>
    </row>
    <row r="136" spans="1:47" x14ac:dyDescent="0.2">
      <c r="A136">
        <v>135</v>
      </c>
      <c r="B136">
        <f>PoolStates_V2!B136</f>
        <v>0</v>
      </c>
      <c r="C136">
        <f>PoolStates_V2!S136</f>
        <v>17.234089004345645</v>
      </c>
      <c r="D136">
        <f>PoolStates_V2!T136</f>
        <v>330.89766345951523</v>
      </c>
      <c r="E136">
        <f>PoolStates_V2!Q136</f>
        <v>0.16473645432485437</v>
      </c>
      <c r="F136">
        <f t="shared" si="117"/>
        <v>0</v>
      </c>
      <c r="G136">
        <f t="shared" si="118"/>
        <v>0</v>
      </c>
      <c r="H136">
        <f t="shared" si="119"/>
        <v>4066.8150208653419</v>
      </c>
      <c r="I136">
        <f t="shared" si="80"/>
        <v>0.16473645432485437</v>
      </c>
      <c r="J136">
        <f t="shared" si="81"/>
        <v>0</v>
      </c>
      <c r="K136">
        <f t="shared" si="82"/>
        <v>0</v>
      </c>
      <c r="L136">
        <f t="shared" si="83"/>
        <v>0</v>
      </c>
      <c r="M136">
        <f t="shared" si="84"/>
        <v>0</v>
      </c>
      <c r="N136">
        <f t="shared" si="85"/>
        <v>0</v>
      </c>
      <c r="O136">
        <f t="shared" si="86"/>
        <v>4066.6502844110169</v>
      </c>
      <c r="P136">
        <f>M136*Inputs!B6/12</f>
        <v>0</v>
      </c>
      <c r="Q136">
        <f t="shared" si="87"/>
        <v>0</v>
      </c>
      <c r="R136">
        <f>N136*Inputs!B6/12</f>
        <v>0</v>
      </c>
      <c r="S136">
        <f t="shared" si="88"/>
        <v>0</v>
      </c>
      <c r="T136">
        <f t="shared" si="89"/>
        <v>17.234089004345645</v>
      </c>
      <c r="U136">
        <f t="shared" si="90"/>
        <v>0</v>
      </c>
      <c r="V136">
        <f t="shared" si="91"/>
        <v>17.234089004345645</v>
      </c>
      <c r="W136">
        <f t="shared" si="92"/>
        <v>330.89766345951523</v>
      </c>
      <c r="X136">
        <f t="shared" si="93"/>
        <v>0</v>
      </c>
      <c r="Y136">
        <f t="shared" si="94"/>
        <v>0</v>
      </c>
      <c r="Z136">
        <f t="shared" si="95"/>
        <v>0</v>
      </c>
      <c r="AA136">
        <f t="shared" si="96"/>
        <v>0</v>
      </c>
      <c r="AB136">
        <f t="shared" si="97"/>
        <v>0</v>
      </c>
      <c r="AC136">
        <f t="shared" si="98"/>
        <v>330.89766345951523</v>
      </c>
      <c r="AD136">
        <f t="shared" si="99"/>
        <v>0</v>
      </c>
      <c r="AE136">
        <f t="shared" si="100"/>
        <v>330.89766345951523</v>
      </c>
      <c r="AF136">
        <f t="shared" si="101"/>
        <v>0</v>
      </c>
      <c r="AG136">
        <f t="shared" si="102"/>
        <v>330.89766345951523</v>
      </c>
      <c r="AH136">
        <f t="shared" si="103"/>
        <v>330.89766345951523</v>
      </c>
      <c r="AI136">
        <f t="shared" si="104"/>
        <v>0</v>
      </c>
      <c r="AJ136">
        <f t="shared" si="105"/>
        <v>0</v>
      </c>
      <c r="AK136">
        <f t="shared" si="106"/>
        <v>330.89766345951523</v>
      </c>
      <c r="AL136">
        <f t="shared" si="107"/>
        <v>0</v>
      </c>
      <c r="AM136">
        <f t="shared" si="108"/>
        <v>0</v>
      </c>
      <c r="AN136">
        <f t="shared" si="109"/>
        <v>330.89766345951523</v>
      </c>
      <c r="AO136">
        <f t="shared" si="110"/>
        <v>0</v>
      </c>
      <c r="AP136">
        <f t="shared" si="111"/>
        <v>0</v>
      </c>
      <c r="AQ136">
        <f t="shared" si="112"/>
        <v>0</v>
      </c>
      <c r="AR136">
        <f t="shared" si="113"/>
        <v>3735.7526209515017</v>
      </c>
      <c r="AS136">
        <f t="shared" si="114"/>
        <v>0</v>
      </c>
      <c r="AT136">
        <f t="shared" si="115"/>
        <v>0</v>
      </c>
      <c r="AU136">
        <f t="shared" si="116"/>
        <v>0</v>
      </c>
    </row>
    <row r="137" spans="1:47" x14ac:dyDescent="0.2">
      <c r="A137">
        <v>136</v>
      </c>
      <c r="B137">
        <f>PoolStates_V2!B137</f>
        <v>0</v>
      </c>
      <c r="C137">
        <f>PoolStates_V2!S137</f>
        <v>15.830917948060819</v>
      </c>
      <c r="D137">
        <f>PoolStates_V2!T137</f>
        <v>304.07315260697538</v>
      </c>
      <c r="E137">
        <f>PoolStates_V2!Q137</f>
        <v>0.15141113165773365</v>
      </c>
      <c r="F137">
        <f t="shared" si="117"/>
        <v>0</v>
      </c>
      <c r="G137">
        <f t="shared" si="118"/>
        <v>0</v>
      </c>
      <c r="H137">
        <f t="shared" si="119"/>
        <v>3735.7526209515017</v>
      </c>
      <c r="I137">
        <f t="shared" si="80"/>
        <v>0.15141113165773365</v>
      </c>
      <c r="J137">
        <f t="shared" si="81"/>
        <v>0</v>
      </c>
      <c r="K137">
        <f t="shared" si="82"/>
        <v>0</v>
      </c>
      <c r="L137">
        <f t="shared" si="83"/>
        <v>0</v>
      </c>
      <c r="M137">
        <f t="shared" si="84"/>
        <v>0</v>
      </c>
      <c r="N137">
        <f t="shared" si="85"/>
        <v>0</v>
      </c>
      <c r="O137">
        <f t="shared" si="86"/>
        <v>3735.6012098198439</v>
      </c>
      <c r="P137">
        <f>M137*Inputs!B6/12</f>
        <v>0</v>
      </c>
      <c r="Q137">
        <f t="shared" si="87"/>
        <v>0</v>
      </c>
      <c r="R137">
        <f>N137*Inputs!B6/12</f>
        <v>0</v>
      </c>
      <c r="S137">
        <f t="shared" si="88"/>
        <v>0</v>
      </c>
      <c r="T137">
        <f t="shared" si="89"/>
        <v>15.830917948060819</v>
      </c>
      <c r="U137">
        <f t="shared" si="90"/>
        <v>0</v>
      </c>
      <c r="V137">
        <f t="shared" si="91"/>
        <v>15.830917948060819</v>
      </c>
      <c r="W137">
        <f t="shared" si="92"/>
        <v>304.07315260697538</v>
      </c>
      <c r="X137">
        <f t="shared" si="93"/>
        <v>0</v>
      </c>
      <c r="Y137">
        <f t="shared" si="94"/>
        <v>0</v>
      </c>
      <c r="Z137">
        <f t="shared" si="95"/>
        <v>0</v>
      </c>
      <c r="AA137">
        <f t="shared" si="96"/>
        <v>0</v>
      </c>
      <c r="AB137">
        <f t="shared" si="97"/>
        <v>0</v>
      </c>
      <c r="AC137">
        <f t="shared" si="98"/>
        <v>304.07315260697538</v>
      </c>
      <c r="AD137">
        <f t="shared" si="99"/>
        <v>0</v>
      </c>
      <c r="AE137">
        <f t="shared" si="100"/>
        <v>304.07315260697538</v>
      </c>
      <c r="AF137">
        <f t="shared" si="101"/>
        <v>0</v>
      </c>
      <c r="AG137">
        <f t="shared" si="102"/>
        <v>304.07315260697538</v>
      </c>
      <c r="AH137">
        <f t="shared" si="103"/>
        <v>304.07315260697538</v>
      </c>
      <c r="AI137">
        <f t="shared" si="104"/>
        <v>0</v>
      </c>
      <c r="AJ137">
        <f t="shared" si="105"/>
        <v>0</v>
      </c>
      <c r="AK137">
        <f t="shared" si="106"/>
        <v>304.07315260697538</v>
      </c>
      <c r="AL137">
        <f t="shared" si="107"/>
        <v>0</v>
      </c>
      <c r="AM137">
        <f t="shared" si="108"/>
        <v>0</v>
      </c>
      <c r="AN137">
        <f t="shared" si="109"/>
        <v>304.07315260697538</v>
      </c>
      <c r="AO137">
        <f t="shared" si="110"/>
        <v>0</v>
      </c>
      <c r="AP137">
        <f t="shared" si="111"/>
        <v>0</v>
      </c>
      <c r="AQ137">
        <f t="shared" si="112"/>
        <v>0</v>
      </c>
      <c r="AR137">
        <f t="shared" si="113"/>
        <v>3431.5280572128686</v>
      </c>
      <c r="AS137">
        <f t="shared" si="114"/>
        <v>0</v>
      </c>
      <c r="AT137">
        <f t="shared" si="115"/>
        <v>0</v>
      </c>
      <c r="AU137">
        <f t="shared" si="116"/>
        <v>0</v>
      </c>
    </row>
    <row r="138" spans="1:47" x14ac:dyDescent="0.2">
      <c r="A138">
        <v>137</v>
      </c>
      <c r="B138">
        <f>PoolStates_V2!B138</f>
        <v>0</v>
      </c>
      <c r="C138">
        <f>PoolStates_V2!S138</f>
        <v>14.541511651517604</v>
      </c>
      <c r="D138">
        <f>PoolStates_V2!T138</f>
        <v>279.41532007124493</v>
      </c>
      <c r="E138">
        <f>PoolStates_V2!Q138</f>
        <v>0.13915988458209247</v>
      </c>
      <c r="F138">
        <f t="shared" si="117"/>
        <v>0</v>
      </c>
      <c r="G138">
        <f t="shared" si="118"/>
        <v>0</v>
      </c>
      <c r="H138">
        <f t="shared" si="119"/>
        <v>3431.5280572128686</v>
      </c>
      <c r="I138">
        <f t="shared" si="80"/>
        <v>0.13915988458209247</v>
      </c>
      <c r="J138">
        <f t="shared" si="81"/>
        <v>0</v>
      </c>
      <c r="K138">
        <f t="shared" si="82"/>
        <v>0</v>
      </c>
      <c r="L138">
        <f t="shared" si="83"/>
        <v>0</v>
      </c>
      <c r="M138">
        <f t="shared" si="84"/>
        <v>0</v>
      </c>
      <c r="N138">
        <f t="shared" si="85"/>
        <v>0</v>
      </c>
      <c r="O138">
        <f t="shared" si="86"/>
        <v>3431.3888973282865</v>
      </c>
      <c r="P138">
        <f>M138*Inputs!B6/12</f>
        <v>0</v>
      </c>
      <c r="Q138">
        <f t="shared" si="87"/>
        <v>0</v>
      </c>
      <c r="R138">
        <f>N138*Inputs!B6/12</f>
        <v>0</v>
      </c>
      <c r="S138">
        <f t="shared" si="88"/>
        <v>0</v>
      </c>
      <c r="T138">
        <f t="shared" si="89"/>
        <v>14.541511651517604</v>
      </c>
      <c r="U138">
        <f t="shared" si="90"/>
        <v>0</v>
      </c>
      <c r="V138">
        <f t="shared" si="91"/>
        <v>14.541511651517604</v>
      </c>
      <c r="W138">
        <f t="shared" si="92"/>
        <v>279.41532007124493</v>
      </c>
      <c r="X138">
        <f t="shared" si="93"/>
        <v>0</v>
      </c>
      <c r="Y138">
        <f t="shared" si="94"/>
        <v>0</v>
      </c>
      <c r="Z138">
        <f t="shared" si="95"/>
        <v>0</v>
      </c>
      <c r="AA138">
        <f t="shared" si="96"/>
        <v>0</v>
      </c>
      <c r="AB138">
        <f t="shared" si="97"/>
        <v>0</v>
      </c>
      <c r="AC138">
        <f t="shared" si="98"/>
        <v>279.41532007124493</v>
      </c>
      <c r="AD138">
        <f t="shared" si="99"/>
        <v>0</v>
      </c>
      <c r="AE138">
        <f t="shared" si="100"/>
        <v>279.41532007124493</v>
      </c>
      <c r="AF138">
        <f t="shared" si="101"/>
        <v>0</v>
      </c>
      <c r="AG138">
        <f t="shared" si="102"/>
        <v>279.41532007124493</v>
      </c>
      <c r="AH138">
        <f t="shared" si="103"/>
        <v>279.41532007124493</v>
      </c>
      <c r="AI138">
        <f t="shared" si="104"/>
        <v>0</v>
      </c>
      <c r="AJ138">
        <f t="shared" si="105"/>
        <v>0</v>
      </c>
      <c r="AK138">
        <f t="shared" si="106"/>
        <v>279.41532007124493</v>
      </c>
      <c r="AL138">
        <f t="shared" si="107"/>
        <v>0</v>
      </c>
      <c r="AM138">
        <f t="shared" si="108"/>
        <v>0</v>
      </c>
      <c r="AN138">
        <f t="shared" si="109"/>
        <v>279.41532007124493</v>
      </c>
      <c r="AO138">
        <f t="shared" si="110"/>
        <v>0</v>
      </c>
      <c r="AP138">
        <f t="shared" si="111"/>
        <v>0</v>
      </c>
      <c r="AQ138">
        <f t="shared" si="112"/>
        <v>0</v>
      </c>
      <c r="AR138">
        <f t="shared" si="113"/>
        <v>3151.9735772570416</v>
      </c>
      <c r="AS138">
        <f t="shared" si="114"/>
        <v>0</v>
      </c>
      <c r="AT138">
        <f t="shared" si="115"/>
        <v>0</v>
      </c>
      <c r="AU138">
        <f t="shared" si="116"/>
        <v>0</v>
      </c>
    </row>
    <row r="139" spans="1:47" x14ac:dyDescent="0.2">
      <c r="A139">
        <v>138</v>
      </c>
      <c r="B139">
        <f>PoolStates_V2!B139</f>
        <v>0</v>
      </c>
      <c r="C139">
        <f>PoolStates_V2!S139</f>
        <v>13.356679923243863</v>
      </c>
      <c r="D139">
        <f>PoolStates_V2!T139</f>
        <v>256.7497115266633</v>
      </c>
      <c r="E139">
        <f>PoolStates_V2!Q139</f>
        <v>0.12789641456250569</v>
      </c>
      <c r="F139">
        <f t="shared" si="117"/>
        <v>0</v>
      </c>
      <c r="G139">
        <f t="shared" si="118"/>
        <v>0</v>
      </c>
      <c r="H139">
        <f t="shared" si="119"/>
        <v>3151.9735772570416</v>
      </c>
      <c r="I139">
        <f t="shared" si="80"/>
        <v>0.12789641456250569</v>
      </c>
      <c r="J139">
        <f t="shared" si="81"/>
        <v>0</v>
      </c>
      <c r="K139">
        <f t="shared" si="82"/>
        <v>0</v>
      </c>
      <c r="L139">
        <f t="shared" si="83"/>
        <v>0</v>
      </c>
      <c r="M139">
        <f t="shared" si="84"/>
        <v>0</v>
      </c>
      <c r="N139">
        <f t="shared" si="85"/>
        <v>0</v>
      </c>
      <c r="O139">
        <f t="shared" si="86"/>
        <v>3151.8456808424789</v>
      </c>
      <c r="P139">
        <f>M139*Inputs!B6/12</f>
        <v>0</v>
      </c>
      <c r="Q139">
        <f t="shared" si="87"/>
        <v>0</v>
      </c>
      <c r="R139">
        <f>N139*Inputs!B6/12</f>
        <v>0</v>
      </c>
      <c r="S139">
        <f t="shared" si="88"/>
        <v>0</v>
      </c>
      <c r="T139">
        <f t="shared" si="89"/>
        <v>13.356679923243863</v>
      </c>
      <c r="U139">
        <f t="shared" si="90"/>
        <v>0</v>
      </c>
      <c r="V139">
        <f t="shared" si="91"/>
        <v>13.356679923243863</v>
      </c>
      <c r="W139">
        <f t="shared" si="92"/>
        <v>256.7497115266633</v>
      </c>
      <c r="X139">
        <f t="shared" si="93"/>
        <v>0</v>
      </c>
      <c r="Y139">
        <f t="shared" si="94"/>
        <v>0</v>
      </c>
      <c r="Z139">
        <f t="shared" si="95"/>
        <v>0</v>
      </c>
      <c r="AA139">
        <f t="shared" si="96"/>
        <v>0</v>
      </c>
      <c r="AB139">
        <f t="shared" si="97"/>
        <v>0</v>
      </c>
      <c r="AC139">
        <f t="shared" si="98"/>
        <v>256.7497115266633</v>
      </c>
      <c r="AD139">
        <f t="shared" si="99"/>
        <v>0</v>
      </c>
      <c r="AE139">
        <f t="shared" si="100"/>
        <v>256.7497115266633</v>
      </c>
      <c r="AF139">
        <f t="shared" si="101"/>
        <v>0</v>
      </c>
      <c r="AG139">
        <f t="shared" si="102"/>
        <v>256.7497115266633</v>
      </c>
      <c r="AH139">
        <f t="shared" si="103"/>
        <v>256.7497115266633</v>
      </c>
      <c r="AI139">
        <f t="shared" si="104"/>
        <v>0</v>
      </c>
      <c r="AJ139">
        <f t="shared" si="105"/>
        <v>0</v>
      </c>
      <c r="AK139">
        <f t="shared" si="106"/>
        <v>256.7497115266633</v>
      </c>
      <c r="AL139">
        <f t="shared" si="107"/>
        <v>0</v>
      </c>
      <c r="AM139">
        <f t="shared" si="108"/>
        <v>0</v>
      </c>
      <c r="AN139">
        <f t="shared" si="109"/>
        <v>256.7497115266633</v>
      </c>
      <c r="AO139">
        <f t="shared" si="110"/>
        <v>0</v>
      </c>
      <c r="AP139">
        <f t="shared" si="111"/>
        <v>0</v>
      </c>
      <c r="AQ139">
        <f t="shared" si="112"/>
        <v>0</v>
      </c>
      <c r="AR139">
        <f t="shared" si="113"/>
        <v>2895.0959693158156</v>
      </c>
      <c r="AS139">
        <f t="shared" si="114"/>
        <v>0</v>
      </c>
      <c r="AT139">
        <f t="shared" si="115"/>
        <v>0</v>
      </c>
      <c r="AU139">
        <f t="shared" si="116"/>
        <v>0</v>
      </c>
    </row>
    <row r="140" spans="1:47" x14ac:dyDescent="0.2">
      <c r="A140">
        <v>139</v>
      </c>
      <c r="B140">
        <f>PoolStates_V2!B140</f>
        <v>0</v>
      </c>
      <c r="C140">
        <f>PoolStates_V2!S140</f>
        <v>12.267972626524394</v>
      </c>
      <c r="D140">
        <f>PoolStates_V2!T140</f>
        <v>235.91588018610906</v>
      </c>
      <c r="E140">
        <f>PoolStates_V2!Q140</f>
        <v>0.11754133614618417</v>
      </c>
      <c r="F140">
        <f t="shared" si="117"/>
        <v>0</v>
      </c>
      <c r="G140">
        <f t="shared" si="118"/>
        <v>0</v>
      </c>
      <c r="H140">
        <f t="shared" si="119"/>
        <v>2895.0959693158156</v>
      </c>
      <c r="I140">
        <f t="shared" si="80"/>
        <v>0.11754133614618417</v>
      </c>
      <c r="J140">
        <f t="shared" si="81"/>
        <v>0</v>
      </c>
      <c r="K140">
        <f t="shared" si="82"/>
        <v>0</v>
      </c>
      <c r="L140">
        <f t="shared" si="83"/>
        <v>0</v>
      </c>
      <c r="M140">
        <f t="shared" si="84"/>
        <v>0</v>
      </c>
      <c r="N140">
        <f t="shared" si="85"/>
        <v>0</v>
      </c>
      <c r="O140">
        <f t="shared" si="86"/>
        <v>2894.9784279796695</v>
      </c>
      <c r="P140">
        <f>M140*Inputs!B6/12</f>
        <v>0</v>
      </c>
      <c r="Q140">
        <f t="shared" si="87"/>
        <v>0</v>
      </c>
      <c r="R140">
        <f>N140*Inputs!B6/12</f>
        <v>0</v>
      </c>
      <c r="S140">
        <f t="shared" si="88"/>
        <v>0</v>
      </c>
      <c r="T140">
        <f t="shared" si="89"/>
        <v>12.267972626524394</v>
      </c>
      <c r="U140">
        <f t="shared" si="90"/>
        <v>0</v>
      </c>
      <c r="V140">
        <f t="shared" si="91"/>
        <v>12.267972626524394</v>
      </c>
      <c r="W140">
        <f t="shared" si="92"/>
        <v>235.91588018610906</v>
      </c>
      <c r="X140">
        <f t="shared" si="93"/>
        <v>0</v>
      </c>
      <c r="Y140">
        <f t="shared" si="94"/>
        <v>0</v>
      </c>
      <c r="Z140">
        <f t="shared" si="95"/>
        <v>0</v>
      </c>
      <c r="AA140">
        <f t="shared" si="96"/>
        <v>0</v>
      </c>
      <c r="AB140">
        <f t="shared" si="97"/>
        <v>0</v>
      </c>
      <c r="AC140">
        <f t="shared" si="98"/>
        <v>235.91588018610906</v>
      </c>
      <c r="AD140">
        <f t="shared" si="99"/>
        <v>0</v>
      </c>
      <c r="AE140">
        <f t="shared" si="100"/>
        <v>235.91588018610906</v>
      </c>
      <c r="AF140">
        <f t="shared" si="101"/>
        <v>0</v>
      </c>
      <c r="AG140">
        <f t="shared" si="102"/>
        <v>235.91588018610906</v>
      </c>
      <c r="AH140">
        <f t="shared" si="103"/>
        <v>235.91588018610906</v>
      </c>
      <c r="AI140">
        <f t="shared" si="104"/>
        <v>0</v>
      </c>
      <c r="AJ140">
        <f t="shared" si="105"/>
        <v>0</v>
      </c>
      <c r="AK140">
        <f t="shared" si="106"/>
        <v>235.91588018610906</v>
      </c>
      <c r="AL140">
        <f t="shared" si="107"/>
        <v>0</v>
      </c>
      <c r="AM140">
        <f t="shared" si="108"/>
        <v>0</v>
      </c>
      <c r="AN140">
        <f t="shared" si="109"/>
        <v>235.91588018610906</v>
      </c>
      <c r="AO140">
        <f t="shared" si="110"/>
        <v>0</v>
      </c>
      <c r="AP140">
        <f t="shared" si="111"/>
        <v>0</v>
      </c>
      <c r="AQ140">
        <f t="shared" si="112"/>
        <v>0</v>
      </c>
      <c r="AR140">
        <f t="shared" si="113"/>
        <v>2659.0625477935605</v>
      </c>
      <c r="AS140">
        <f t="shared" si="114"/>
        <v>0</v>
      </c>
      <c r="AT140">
        <f t="shared" si="115"/>
        <v>0</v>
      </c>
      <c r="AU140">
        <f t="shared" si="116"/>
        <v>0</v>
      </c>
    </row>
    <row r="141" spans="1:47" x14ac:dyDescent="0.2">
      <c r="A141">
        <v>140</v>
      </c>
      <c r="B141">
        <f>PoolStates_V2!B141</f>
        <v>0</v>
      </c>
      <c r="C141">
        <f>PoolStates_V2!S141</f>
        <v>11.267620250588486</v>
      </c>
      <c r="D141">
        <f>PoolStates_V2!T141</f>
        <v>216.76626483788513</v>
      </c>
      <c r="E141">
        <f>PoolStates_V2!Q141</f>
        <v>0.10802162480426157</v>
      </c>
      <c r="F141">
        <f t="shared" si="117"/>
        <v>0</v>
      </c>
      <c r="G141">
        <f t="shared" si="118"/>
        <v>0</v>
      </c>
      <c r="H141">
        <f t="shared" si="119"/>
        <v>2659.0625477935605</v>
      </c>
      <c r="I141">
        <f t="shared" si="80"/>
        <v>0.10802162480426157</v>
      </c>
      <c r="J141">
        <f t="shared" si="81"/>
        <v>0</v>
      </c>
      <c r="K141">
        <f t="shared" si="82"/>
        <v>0</v>
      </c>
      <c r="L141">
        <f t="shared" si="83"/>
        <v>0</v>
      </c>
      <c r="M141">
        <f t="shared" si="84"/>
        <v>0</v>
      </c>
      <c r="N141">
        <f t="shared" si="85"/>
        <v>0</v>
      </c>
      <c r="O141">
        <f t="shared" si="86"/>
        <v>2658.9545261687563</v>
      </c>
      <c r="P141">
        <f>M141*Inputs!B6/12</f>
        <v>0</v>
      </c>
      <c r="Q141">
        <f t="shared" si="87"/>
        <v>0</v>
      </c>
      <c r="R141">
        <f>N141*Inputs!B6/12</f>
        <v>0</v>
      </c>
      <c r="S141">
        <f t="shared" si="88"/>
        <v>0</v>
      </c>
      <c r="T141">
        <f t="shared" si="89"/>
        <v>11.267620250588486</v>
      </c>
      <c r="U141">
        <f t="shared" si="90"/>
        <v>0</v>
      </c>
      <c r="V141">
        <f t="shared" si="91"/>
        <v>11.267620250588486</v>
      </c>
      <c r="W141">
        <f t="shared" si="92"/>
        <v>216.76626483788513</v>
      </c>
      <c r="X141">
        <f t="shared" si="93"/>
        <v>0</v>
      </c>
      <c r="Y141">
        <f t="shared" si="94"/>
        <v>0</v>
      </c>
      <c r="Z141">
        <f t="shared" si="95"/>
        <v>0</v>
      </c>
      <c r="AA141">
        <f t="shared" si="96"/>
        <v>0</v>
      </c>
      <c r="AB141">
        <f t="shared" si="97"/>
        <v>0</v>
      </c>
      <c r="AC141">
        <f t="shared" si="98"/>
        <v>216.76626483788513</v>
      </c>
      <c r="AD141">
        <f t="shared" si="99"/>
        <v>0</v>
      </c>
      <c r="AE141">
        <f t="shared" si="100"/>
        <v>216.76626483788513</v>
      </c>
      <c r="AF141">
        <f t="shared" si="101"/>
        <v>0</v>
      </c>
      <c r="AG141">
        <f t="shared" si="102"/>
        <v>216.76626483788513</v>
      </c>
      <c r="AH141">
        <f t="shared" si="103"/>
        <v>216.76626483788513</v>
      </c>
      <c r="AI141">
        <f t="shared" si="104"/>
        <v>0</v>
      </c>
      <c r="AJ141">
        <f t="shared" si="105"/>
        <v>0</v>
      </c>
      <c r="AK141">
        <f t="shared" si="106"/>
        <v>216.76626483788513</v>
      </c>
      <c r="AL141">
        <f t="shared" si="107"/>
        <v>0</v>
      </c>
      <c r="AM141">
        <f t="shared" si="108"/>
        <v>0</v>
      </c>
      <c r="AN141">
        <f t="shared" si="109"/>
        <v>216.76626483788513</v>
      </c>
      <c r="AO141">
        <f t="shared" si="110"/>
        <v>0</v>
      </c>
      <c r="AP141">
        <f t="shared" si="111"/>
        <v>0</v>
      </c>
      <c r="AQ141">
        <f t="shared" si="112"/>
        <v>0</v>
      </c>
      <c r="AR141">
        <f t="shared" si="113"/>
        <v>2442.1882613308712</v>
      </c>
      <c r="AS141">
        <f t="shared" si="114"/>
        <v>0</v>
      </c>
      <c r="AT141">
        <f t="shared" si="115"/>
        <v>0</v>
      </c>
      <c r="AU141">
        <f t="shared" si="116"/>
        <v>0</v>
      </c>
    </row>
    <row r="142" spans="1:47" x14ac:dyDescent="0.2">
      <c r="A142">
        <v>141</v>
      </c>
      <c r="B142">
        <f>PoolStates_V2!B142</f>
        <v>0</v>
      </c>
      <c r="C142">
        <f>PoolStates_V2!S142</f>
        <v>10.348479242517948</v>
      </c>
      <c r="D142">
        <f>PoolStates_V2!T142</f>
        <v>199.16515755489607</v>
      </c>
      <c r="E142">
        <f>PoolStates_V2!Q142</f>
        <v>9.927010873912355E-2</v>
      </c>
      <c r="F142">
        <f t="shared" si="117"/>
        <v>0</v>
      </c>
      <c r="G142">
        <f t="shared" si="118"/>
        <v>0</v>
      </c>
      <c r="H142">
        <f t="shared" si="119"/>
        <v>2442.1882613308712</v>
      </c>
      <c r="I142">
        <f t="shared" si="80"/>
        <v>9.927010873912355E-2</v>
      </c>
      <c r="J142">
        <f t="shared" si="81"/>
        <v>0</v>
      </c>
      <c r="K142">
        <f t="shared" si="82"/>
        <v>0</v>
      </c>
      <c r="L142">
        <f t="shared" si="83"/>
        <v>0</v>
      </c>
      <c r="M142">
        <f t="shared" si="84"/>
        <v>0</v>
      </c>
      <c r="N142">
        <f t="shared" si="85"/>
        <v>0</v>
      </c>
      <c r="O142">
        <f t="shared" si="86"/>
        <v>2442.0889912221319</v>
      </c>
      <c r="P142">
        <f>M142*Inputs!B6/12</f>
        <v>0</v>
      </c>
      <c r="Q142">
        <f t="shared" si="87"/>
        <v>0</v>
      </c>
      <c r="R142">
        <f>N142*Inputs!B6/12</f>
        <v>0</v>
      </c>
      <c r="S142">
        <f t="shared" si="88"/>
        <v>0</v>
      </c>
      <c r="T142">
        <f t="shared" si="89"/>
        <v>10.348479242517948</v>
      </c>
      <c r="U142">
        <f t="shared" si="90"/>
        <v>0</v>
      </c>
      <c r="V142">
        <f t="shared" si="91"/>
        <v>10.348479242517948</v>
      </c>
      <c r="W142">
        <f t="shared" si="92"/>
        <v>199.16515755489607</v>
      </c>
      <c r="X142">
        <f t="shared" si="93"/>
        <v>0</v>
      </c>
      <c r="Y142">
        <f t="shared" si="94"/>
        <v>0</v>
      </c>
      <c r="Z142">
        <f t="shared" si="95"/>
        <v>0</v>
      </c>
      <c r="AA142">
        <f t="shared" si="96"/>
        <v>0</v>
      </c>
      <c r="AB142">
        <f t="shared" si="97"/>
        <v>0</v>
      </c>
      <c r="AC142">
        <f t="shared" si="98"/>
        <v>199.16515755489607</v>
      </c>
      <c r="AD142">
        <f t="shared" si="99"/>
        <v>0</v>
      </c>
      <c r="AE142">
        <f t="shared" si="100"/>
        <v>199.16515755489607</v>
      </c>
      <c r="AF142">
        <f t="shared" si="101"/>
        <v>0</v>
      </c>
      <c r="AG142">
        <f t="shared" si="102"/>
        <v>199.16515755489607</v>
      </c>
      <c r="AH142">
        <f t="shared" si="103"/>
        <v>199.16515755489607</v>
      </c>
      <c r="AI142">
        <f t="shared" si="104"/>
        <v>0</v>
      </c>
      <c r="AJ142">
        <f t="shared" si="105"/>
        <v>0</v>
      </c>
      <c r="AK142">
        <f t="shared" si="106"/>
        <v>199.16515755489607</v>
      </c>
      <c r="AL142">
        <f t="shared" si="107"/>
        <v>0</v>
      </c>
      <c r="AM142">
        <f t="shared" si="108"/>
        <v>0</v>
      </c>
      <c r="AN142">
        <f t="shared" si="109"/>
        <v>199.16515755489607</v>
      </c>
      <c r="AO142">
        <f t="shared" si="110"/>
        <v>0</v>
      </c>
      <c r="AP142">
        <f t="shared" si="111"/>
        <v>0</v>
      </c>
      <c r="AQ142">
        <f t="shared" si="112"/>
        <v>0</v>
      </c>
      <c r="AR142">
        <f t="shared" si="113"/>
        <v>2242.9238336672356</v>
      </c>
      <c r="AS142">
        <f t="shared" si="114"/>
        <v>0</v>
      </c>
      <c r="AT142">
        <f t="shared" si="115"/>
        <v>0</v>
      </c>
      <c r="AU142">
        <f t="shared" si="116"/>
        <v>0</v>
      </c>
    </row>
    <row r="143" spans="1:47" x14ac:dyDescent="0.2">
      <c r="A143">
        <v>142</v>
      </c>
      <c r="B143">
        <f>PoolStates_V2!B143</f>
        <v>0</v>
      </c>
      <c r="C143">
        <f>PoolStates_V2!S143</f>
        <v>9.5039817193148668</v>
      </c>
      <c r="D143">
        <f>PoolStates_V2!T143</f>
        <v>182.98775392266455</v>
      </c>
      <c r="E143">
        <f>PoolStates_V2!Q143</f>
        <v>9.1225001169266393E-2</v>
      </c>
      <c r="F143">
        <f t="shared" si="117"/>
        <v>0</v>
      </c>
      <c r="G143">
        <f t="shared" si="118"/>
        <v>0</v>
      </c>
      <c r="H143">
        <f t="shared" si="119"/>
        <v>2242.9238336672356</v>
      </c>
      <c r="I143">
        <f t="shared" si="80"/>
        <v>9.1225001169266393E-2</v>
      </c>
      <c r="J143">
        <f t="shared" si="81"/>
        <v>0</v>
      </c>
      <c r="K143">
        <f t="shared" si="82"/>
        <v>0</v>
      </c>
      <c r="L143">
        <f t="shared" si="83"/>
        <v>0</v>
      </c>
      <c r="M143">
        <f t="shared" si="84"/>
        <v>0</v>
      </c>
      <c r="N143">
        <f t="shared" si="85"/>
        <v>0</v>
      </c>
      <c r="O143">
        <f t="shared" si="86"/>
        <v>2242.8326086660663</v>
      </c>
      <c r="P143">
        <f>M143*Inputs!B6/12</f>
        <v>0</v>
      </c>
      <c r="Q143">
        <f t="shared" si="87"/>
        <v>0</v>
      </c>
      <c r="R143">
        <f>N143*Inputs!B6/12</f>
        <v>0</v>
      </c>
      <c r="S143">
        <f t="shared" si="88"/>
        <v>0</v>
      </c>
      <c r="T143">
        <f t="shared" si="89"/>
        <v>9.5039817193148668</v>
      </c>
      <c r="U143">
        <f t="shared" si="90"/>
        <v>0</v>
      </c>
      <c r="V143">
        <f t="shared" si="91"/>
        <v>9.5039817193148668</v>
      </c>
      <c r="W143">
        <f t="shared" si="92"/>
        <v>182.98775392266455</v>
      </c>
      <c r="X143">
        <f t="shared" si="93"/>
        <v>0</v>
      </c>
      <c r="Y143">
        <f t="shared" si="94"/>
        <v>0</v>
      </c>
      <c r="Z143">
        <f t="shared" si="95"/>
        <v>0</v>
      </c>
      <c r="AA143">
        <f t="shared" si="96"/>
        <v>0</v>
      </c>
      <c r="AB143">
        <f t="shared" si="97"/>
        <v>0</v>
      </c>
      <c r="AC143">
        <f t="shared" si="98"/>
        <v>182.98775392266455</v>
      </c>
      <c r="AD143">
        <f t="shared" si="99"/>
        <v>0</v>
      </c>
      <c r="AE143">
        <f t="shared" si="100"/>
        <v>182.98775392266455</v>
      </c>
      <c r="AF143">
        <f t="shared" si="101"/>
        <v>0</v>
      </c>
      <c r="AG143">
        <f t="shared" si="102"/>
        <v>182.98775392266455</v>
      </c>
      <c r="AH143">
        <f t="shared" si="103"/>
        <v>182.98775392266455</v>
      </c>
      <c r="AI143">
        <f t="shared" si="104"/>
        <v>0</v>
      </c>
      <c r="AJ143">
        <f t="shared" si="105"/>
        <v>0</v>
      </c>
      <c r="AK143">
        <f t="shared" si="106"/>
        <v>182.98775392266455</v>
      </c>
      <c r="AL143">
        <f t="shared" si="107"/>
        <v>0</v>
      </c>
      <c r="AM143">
        <f t="shared" si="108"/>
        <v>0</v>
      </c>
      <c r="AN143">
        <f t="shared" si="109"/>
        <v>182.98775392266455</v>
      </c>
      <c r="AO143">
        <f t="shared" si="110"/>
        <v>0</v>
      </c>
      <c r="AP143">
        <f t="shared" si="111"/>
        <v>0</v>
      </c>
      <c r="AQ143">
        <f t="shared" si="112"/>
        <v>0</v>
      </c>
      <c r="AR143">
        <f t="shared" si="113"/>
        <v>2059.8448547434018</v>
      </c>
      <c r="AS143">
        <f t="shared" si="114"/>
        <v>0</v>
      </c>
      <c r="AT143">
        <f t="shared" si="115"/>
        <v>0</v>
      </c>
      <c r="AU143">
        <f t="shared" si="116"/>
        <v>0</v>
      </c>
    </row>
    <row r="144" spans="1:47" x14ac:dyDescent="0.2">
      <c r="A144">
        <v>143</v>
      </c>
      <c r="B144">
        <f>PoolStates_V2!B144</f>
        <v>0</v>
      </c>
      <c r="C144">
        <f>PoolStates_V2!S144</f>
        <v>8.7280892099335574</v>
      </c>
      <c r="D144">
        <f>PoolStates_V2!T144</f>
        <v>168.11927920245415</v>
      </c>
      <c r="E144">
        <f>PoolStates_V2!Q144</f>
        <v>8.3829469878744178E-2</v>
      </c>
      <c r="F144">
        <f t="shared" si="117"/>
        <v>0</v>
      </c>
      <c r="G144">
        <f t="shared" si="118"/>
        <v>0</v>
      </c>
      <c r="H144">
        <f t="shared" si="119"/>
        <v>2059.8448547434018</v>
      </c>
      <c r="I144">
        <f t="shared" si="80"/>
        <v>8.3829469878744178E-2</v>
      </c>
      <c r="J144">
        <f t="shared" si="81"/>
        <v>0</v>
      </c>
      <c r="K144">
        <f t="shared" si="82"/>
        <v>0</v>
      </c>
      <c r="L144">
        <f t="shared" si="83"/>
        <v>0</v>
      </c>
      <c r="M144">
        <f t="shared" si="84"/>
        <v>0</v>
      </c>
      <c r="N144">
        <f t="shared" si="85"/>
        <v>0</v>
      </c>
      <c r="O144">
        <f t="shared" si="86"/>
        <v>2059.761025273523</v>
      </c>
      <c r="P144">
        <f>M144*Inputs!B6/12</f>
        <v>0</v>
      </c>
      <c r="Q144">
        <f t="shared" si="87"/>
        <v>0</v>
      </c>
      <c r="R144">
        <f>N144*Inputs!B6/12</f>
        <v>0</v>
      </c>
      <c r="S144">
        <f t="shared" si="88"/>
        <v>0</v>
      </c>
      <c r="T144">
        <f t="shared" si="89"/>
        <v>8.7280892099335574</v>
      </c>
      <c r="U144">
        <f t="shared" si="90"/>
        <v>0</v>
      </c>
      <c r="V144">
        <f t="shared" si="91"/>
        <v>8.7280892099335574</v>
      </c>
      <c r="W144">
        <f t="shared" si="92"/>
        <v>168.11927920245415</v>
      </c>
      <c r="X144">
        <f t="shared" si="93"/>
        <v>0</v>
      </c>
      <c r="Y144">
        <f t="shared" si="94"/>
        <v>0</v>
      </c>
      <c r="Z144">
        <f t="shared" si="95"/>
        <v>0</v>
      </c>
      <c r="AA144">
        <f t="shared" si="96"/>
        <v>0</v>
      </c>
      <c r="AB144">
        <f t="shared" si="97"/>
        <v>0</v>
      </c>
      <c r="AC144">
        <f t="shared" si="98"/>
        <v>168.11927920245415</v>
      </c>
      <c r="AD144">
        <f t="shared" si="99"/>
        <v>0</v>
      </c>
      <c r="AE144">
        <f t="shared" si="100"/>
        <v>168.11927920245415</v>
      </c>
      <c r="AF144">
        <f t="shared" si="101"/>
        <v>0</v>
      </c>
      <c r="AG144">
        <f t="shared" si="102"/>
        <v>168.11927920245415</v>
      </c>
      <c r="AH144">
        <f t="shared" si="103"/>
        <v>168.11927920245415</v>
      </c>
      <c r="AI144">
        <f t="shared" si="104"/>
        <v>0</v>
      </c>
      <c r="AJ144">
        <f t="shared" si="105"/>
        <v>0</v>
      </c>
      <c r="AK144">
        <f t="shared" si="106"/>
        <v>168.11927920245415</v>
      </c>
      <c r="AL144">
        <f t="shared" si="107"/>
        <v>0</v>
      </c>
      <c r="AM144">
        <f t="shared" si="108"/>
        <v>0</v>
      </c>
      <c r="AN144">
        <f t="shared" si="109"/>
        <v>168.11927920245415</v>
      </c>
      <c r="AO144">
        <f t="shared" si="110"/>
        <v>0</v>
      </c>
      <c r="AP144">
        <f t="shared" si="111"/>
        <v>0</v>
      </c>
      <c r="AQ144">
        <f t="shared" si="112"/>
        <v>0</v>
      </c>
      <c r="AR144">
        <f t="shared" si="113"/>
        <v>1891.6417460710688</v>
      </c>
      <c r="AS144">
        <f t="shared" si="114"/>
        <v>0</v>
      </c>
      <c r="AT144">
        <f t="shared" si="115"/>
        <v>0</v>
      </c>
      <c r="AU144">
        <f t="shared" si="116"/>
        <v>0</v>
      </c>
    </row>
    <row r="145" spans="1:47" x14ac:dyDescent="0.2">
      <c r="A145">
        <v>144</v>
      </c>
      <c r="B145">
        <f>PoolStates_V2!B145</f>
        <v>0</v>
      </c>
      <c r="C145">
        <f>PoolStates_V2!S145</f>
        <v>8.0152501050273202</v>
      </c>
      <c r="D145">
        <f>PoolStates_V2!T145</f>
        <v>154.45418437017236</v>
      </c>
      <c r="E145">
        <f>PoolStates_V2!Q145</f>
        <v>7.7031241072200871E-2</v>
      </c>
      <c r="F145">
        <f t="shared" si="117"/>
        <v>0</v>
      </c>
      <c r="G145">
        <f t="shared" si="118"/>
        <v>0</v>
      </c>
      <c r="H145">
        <f t="shared" si="119"/>
        <v>1891.6417460710688</v>
      </c>
      <c r="I145">
        <f t="shared" si="80"/>
        <v>7.7031241072200871E-2</v>
      </c>
      <c r="J145">
        <f t="shared" si="81"/>
        <v>0</v>
      </c>
      <c r="K145">
        <f t="shared" si="82"/>
        <v>0</v>
      </c>
      <c r="L145">
        <f t="shared" si="83"/>
        <v>0</v>
      </c>
      <c r="M145">
        <f t="shared" si="84"/>
        <v>0</v>
      </c>
      <c r="N145">
        <f t="shared" si="85"/>
        <v>0</v>
      </c>
      <c r="O145">
        <f t="shared" si="86"/>
        <v>1891.5647148299965</v>
      </c>
      <c r="P145">
        <f>M145*Inputs!B6/12</f>
        <v>0</v>
      </c>
      <c r="Q145">
        <f t="shared" si="87"/>
        <v>0</v>
      </c>
      <c r="R145">
        <f>N145*Inputs!B6/12</f>
        <v>0</v>
      </c>
      <c r="S145">
        <f t="shared" si="88"/>
        <v>0</v>
      </c>
      <c r="T145">
        <f t="shared" si="89"/>
        <v>8.0152501050273202</v>
      </c>
      <c r="U145">
        <f t="shared" si="90"/>
        <v>0</v>
      </c>
      <c r="V145">
        <f t="shared" si="91"/>
        <v>8.0152501050273202</v>
      </c>
      <c r="W145">
        <f t="shared" si="92"/>
        <v>154.45418437017236</v>
      </c>
      <c r="X145">
        <f t="shared" si="93"/>
        <v>0</v>
      </c>
      <c r="Y145">
        <f t="shared" si="94"/>
        <v>0</v>
      </c>
      <c r="Z145">
        <f t="shared" si="95"/>
        <v>0</v>
      </c>
      <c r="AA145">
        <f t="shared" si="96"/>
        <v>0</v>
      </c>
      <c r="AB145">
        <f t="shared" si="97"/>
        <v>0</v>
      </c>
      <c r="AC145">
        <f t="shared" si="98"/>
        <v>154.45418437017236</v>
      </c>
      <c r="AD145">
        <f t="shared" si="99"/>
        <v>0</v>
      </c>
      <c r="AE145">
        <f t="shared" si="100"/>
        <v>154.45418437017236</v>
      </c>
      <c r="AF145">
        <f t="shared" si="101"/>
        <v>0</v>
      </c>
      <c r="AG145">
        <f t="shared" si="102"/>
        <v>154.45418437017236</v>
      </c>
      <c r="AH145">
        <f t="shared" si="103"/>
        <v>154.45418437017236</v>
      </c>
      <c r="AI145">
        <f t="shared" si="104"/>
        <v>0</v>
      </c>
      <c r="AJ145">
        <f t="shared" si="105"/>
        <v>0</v>
      </c>
      <c r="AK145">
        <f t="shared" si="106"/>
        <v>154.45418437017236</v>
      </c>
      <c r="AL145">
        <f t="shared" si="107"/>
        <v>0</v>
      </c>
      <c r="AM145">
        <f t="shared" si="108"/>
        <v>0</v>
      </c>
      <c r="AN145">
        <f t="shared" si="109"/>
        <v>154.45418437017236</v>
      </c>
      <c r="AO145">
        <f t="shared" si="110"/>
        <v>0</v>
      </c>
      <c r="AP145">
        <f t="shared" si="111"/>
        <v>0</v>
      </c>
      <c r="AQ145">
        <f t="shared" si="112"/>
        <v>0</v>
      </c>
      <c r="AR145">
        <f t="shared" si="113"/>
        <v>1737.1105304598241</v>
      </c>
      <c r="AS145">
        <f t="shared" si="114"/>
        <v>0</v>
      </c>
      <c r="AT145">
        <f t="shared" si="115"/>
        <v>0</v>
      </c>
      <c r="AU145">
        <f t="shared" si="116"/>
        <v>0</v>
      </c>
    </row>
    <row r="146" spans="1:47" x14ac:dyDescent="0.2">
      <c r="A146">
        <v>145</v>
      </c>
      <c r="B146">
        <f>PoolStates_V2!B146</f>
        <v>0</v>
      </c>
      <c r="C146">
        <f>PoolStates_V2!S146</f>
        <v>7.3603605178800873</v>
      </c>
      <c r="D146">
        <f>PoolStates_V2!T146</f>
        <v>141.89540645442489</v>
      </c>
      <c r="E146">
        <f>PoolStates_V2!Q146</f>
        <v>7.0782234810468747E-2</v>
      </c>
      <c r="F146">
        <f t="shared" si="117"/>
        <v>0</v>
      </c>
      <c r="G146">
        <f t="shared" si="118"/>
        <v>0</v>
      </c>
      <c r="H146">
        <f t="shared" si="119"/>
        <v>1737.1105304598241</v>
      </c>
      <c r="I146">
        <f t="shared" si="80"/>
        <v>7.0782234810468747E-2</v>
      </c>
      <c r="J146">
        <f t="shared" si="81"/>
        <v>0</v>
      </c>
      <c r="K146">
        <f t="shared" si="82"/>
        <v>0</v>
      </c>
      <c r="L146">
        <f t="shared" si="83"/>
        <v>0</v>
      </c>
      <c r="M146">
        <f t="shared" si="84"/>
        <v>0</v>
      </c>
      <c r="N146">
        <f t="shared" si="85"/>
        <v>0</v>
      </c>
      <c r="O146">
        <f t="shared" si="86"/>
        <v>1737.0397482250137</v>
      </c>
      <c r="P146">
        <f>M146*Inputs!B6/12</f>
        <v>0</v>
      </c>
      <c r="Q146">
        <f t="shared" si="87"/>
        <v>0</v>
      </c>
      <c r="R146">
        <f>N146*Inputs!B6/12</f>
        <v>0</v>
      </c>
      <c r="S146">
        <f t="shared" si="88"/>
        <v>0</v>
      </c>
      <c r="T146">
        <f t="shared" si="89"/>
        <v>7.3603605178800873</v>
      </c>
      <c r="U146">
        <f t="shared" si="90"/>
        <v>0</v>
      </c>
      <c r="V146">
        <f t="shared" si="91"/>
        <v>7.3603605178800873</v>
      </c>
      <c r="W146">
        <f t="shared" si="92"/>
        <v>141.89540645442489</v>
      </c>
      <c r="X146">
        <f t="shared" si="93"/>
        <v>0</v>
      </c>
      <c r="Y146">
        <f t="shared" si="94"/>
        <v>0</v>
      </c>
      <c r="Z146">
        <f t="shared" si="95"/>
        <v>0</v>
      </c>
      <c r="AA146">
        <f t="shared" si="96"/>
        <v>0</v>
      </c>
      <c r="AB146">
        <f t="shared" si="97"/>
        <v>0</v>
      </c>
      <c r="AC146">
        <f t="shared" si="98"/>
        <v>141.89540645442489</v>
      </c>
      <c r="AD146">
        <f t="shared" si="99"/>
        <v>0</v>
      </c>
      <c r="AE146">
        <f t="shared" si="100"/>
        <v>141.89540645442489</v>
      </c>
      <c r="AF146">
        <f t="shared" si="101"/>
        <v>0</v>
      </c>
      <c r="AG146">
        <f t="shared" si="102"/>
        <v>141.89540645442489</v>
      </c>
      <c r="AH146">
        <f t="shared" si="103"/>
        <v>141.89540645442489</v>
      </c>
      <c r="AI146">
        <f t="shared" si="104"/>
        <v>0</v>
      </c>
      <c r="AJ146">
        <f t="shared" si="105"/>
        <v>0</v>
      </c>
      <c r="AK146">
        <f t="shared" si="106"/>
        <v>141.89540645442489</v>
      </c>
      <c r="AL146">
        <f t="shared" si="107"/>
        <v>0</v>
      </c>
      <c r="AM146">
        <f t="shared" si="108"/>
        <v>0</v>
      </c>
      <c r="AN146">
        <f t="shared" si="109"/>
        <v>141.89540645442489</v>
      </c>
      <c r="AO146">
        <f t="shared" si="110"/>
        <v>0</v>
      </c>
      <c r="AP146">
        <f t="shared" si="111"/>
        <v>0</v>
      </c>
      <c r="AQ146">
        <f t="shared" si="112"/>
        <v>0</v>
      </c>
      <c r="AR146">
        <f t="shared" si="113"/>
        <v>1595.1443417705889</v>
      </c>
      <c r="AS146">
        <f t="shared" si="114"/>
        <v>0</v>
      </c>
      <c r="AT146">
        <f t="shared" si="115"/>
        <v>0</v>
      </c>
      <c r="AU146">
        <f t="shared" si="116"/>
        <v>0</v>
      </c>
    </row>
    <row r="147" spans="1:47" x14ac:dyDescent="0.2">
      <c r="A147">
        <v>146</v>
      </c>
      <c r="B147">
        <f>PoolStates_V2!B147</f>
        <v>0</v>
      </c>
      <c r="C147">
        <f>PoolStates_V2!S147</f>
        <v>6.75872828366309</v>
      </c>
      <c r="D147">
        <f>PoolStates_V2!T147</f>
        <v>130.3536880413906</v>
      </c>
      <c r="E147">
        <f>PoolStates_V2!Q147</f>
        <v>6.5038229517300691E-2</v>
      </c>
      <c r="F147">
        <f t="shared" si="117"/>
        <v>0</v>
      </c>
      <c r="G147">
        <f t="shared" si="118"/>
        <v>0</v>
      </c>
      <c r="H147">
        <f t="shared" si="119"/>
        <v>1595.1443417705889</v>
      </c>
      <c r="I147">
        <f t="shared" si="80"/>
        <v>6.5038229517300691E-2</v>
      </c>
      <c r="J147">
        <f t="shared" si="81"/>
        <v>0</v>
      </c>
      <c r="K147">
        <f t="shared" si="82"/>
        <v>0</v>
      </c>
      <c r="L147">
        <f t="shared" si="83"/>
        <v>0</v>
      </c>
      <c r="M147">
        <f t="shared" si="84"/>
        <v>0</v>
      </c>
      <c r="N147">
        <f t="shared" si="85"/>
        <v>0</v>
      </c>
      <c r="O147">
        <f t="shared" si="86"/>
        <v>1595.0793035410716</v>
      </c>
      <c r="P147">
        <f>M147*Inputs!B6/12</f>
        <v>0</v>
      </c>
      <c r="Q147">
        <f t="shared" si="87"/>
        <v>0</v>
      </c>
      <c r="R147">
        <f>N147*Inputs!B6/12</f>
        <v>0</v>
      </c>
      <c r="S147">
        <f t="shared" si="88"/>
        <v>0</v>
      </c>
      <c r="T147">
        <f t="shared" si="89"/>
        <v>6.75872828366309</v>
      </c>
      <c r="U147">
        <f t="shared" si="90"/>
        <v>0</v>
      </c>
      <c r="V147">
        <f t="shared" si="91"/>
        <v>6.75872828366309</v>
      </c>
      <c r="W147">
        <f t="shared" si="92"/>
        <v>130.3536880413906</v>
      </c>
      <c r="X147">
        <f t="shared" si="93"/>
        <v>0</v>
      </c>
      <c r="Y147">
        <f t="shared" si="94"/>
        <v>0</v>
      </c>
      <c r="Z147">
        <f t="shared" si="95"/>
        <v>0</v>
      </c>
      <c r="AA147">
        <f t="shared" si="96"/>
        <v>0</v>
      </c>
      <c r="AB147">
        <f t="shared" si="97"/>
        <v>0</v>
      </c>
      <c r="AC147">
        <f t="shared" si="98"/>
        <v>130.3536880413906</v>
      </c>
      <c r="AD147">
        <f t="shared" si="99"/>
        <v>0</v>
      </c>
      <c r="AE147">
        <f t="shared" si="100"/>
        <v>130.3536880413906</v>
      </c>
      <c r="AF147">
        <f t="shared" si="101"/>
        <v>0</v>
      </c>
      <c r="AG147">
        <f t="shared" si="102"/>
        <v>130.3536880413906</v>
      </c>
      <c r="AH147">
        <f t="shared" si="103"/>
        <v>130.3536880413906</v>
      </c>
      <c r="AI147">
        <f t="shared" si="104"/>
        <v>0</v>
      </c>
      <c r="AJ147">
        <f t="shared" si="105"/>
        <v>0</v>
      </c>
      <c r="AK147">
        <f t="shared" si="106"/>
        <v>130.3536880413906</v>
      </c>
      <c r="AL147">
        <f t="shared" si="107"/>
        <v>0</v>
      </c>
      <c r="AM147">
        <f t="shared" si="108"/>
        <v>0</v>
      </c>
      <c r="AN147">
        <f t="shared" si="109"/>
        <v>130.3536880413906</v>
      </c>
      <c r="AO147">
        <f t="shared" si="110"/>
        <v>0</v>
      </c>
      <c r="AP147">
        <f t="shared" si="111"/>
        <v>0</v>
      </c>
      <c r="AQ147">
        <f t="shared" si="112"/>
        <v>0</v>
      </c>
      <c r="AR147">
        <f t="shared" si="113"/>
        <v>1464.725615499681</v>
      </c>
      <c r="AS147">
        <f t="shared" si="114"/>
        <v>0</v>
      </c>
      <c r="AT147">
        <f t="shared" si="115"/>
        <v>0</v>
      </c>
      <c r="AU147">
        <f t="shared" si="116"/>
        <v>0</v>
      </c>
    </row>
    <row r="148" spans="1:47" x14ac:dyDescent="0.2">
      <c r="A148">
        <v>147</v>
      </c>
      <c r="B148">
        <f>PoolStates_V2!B148</f>
        <v>0</v>
      </c>
      <c r="C148">
        <f>PoolStates_V2!S148</f>
        <v>6.2060398459403352</v>
      </c>
      <c r="D148">
        <f>PoolStates_V2!T148</f>
        <v>119.74695122313921</v>
      </c>
      <c r="E148">
        <f>PoolStates_V2!Q148</f>
        <v>5.9758553246426864E-2</v>
      </c>
      <c r="F148">
        <f t="shared" si="117"/>
        <v>0</v>
      </c>
      <c r="G148">
        <f t="shared" si="118"/>
        <v>0</v>
      </c>
      <c r="H148">
        <f t="shared" si="119"/>
        <v>1464.725615499681</v>
      </c>
      <c r="I148">
        <f t="shared" si="80"/>
        <v>5.9758553246426864E-2</v>
      </c>
      <c r="J148">
        <f t="shared" si="81"/>
        <v>0</v>
      </c>
      <c r="K148">
        <f t="shared" si="82"/>
        <v>0</v>
      </c>
      <c r="L148">
        <f t="shared" si="83"/>
        <v>0</v>
      </c>
      <c r="M148">
        <f t="shared" si="84"/>
        <v>0</v>
      </c>
      <c r="N148">
        <f t="shared" si="85"/>
        <v>0</v>
      </c>
      <c r="O148">
        <f t="shared" si="86"/>
        <v>1464.6658569464346</v>
      </c>
      <c r="P148">
        <f>M148*Inputs!B6/12</f>
        <v>0</v>
      </c>
      <c r="Q148">
        <f t="shared" si="87"/>
        <v>0</v>
      </c>
      <c r="R148">
        <f>N148*Inputs!B6/12</f>
        <v>0</v>
      </c>
      <c r="S148">
        <f t="shared" si="88"/>
        <v>0</v>
      </c>
      <c r="T148">
        <f t="shared" si="89"/>
        <v>6.2060398459403352</v>
      </c>
      <c r="U148">
        <f t="shared" si="90"/>
        <v>0</v>
      </c>
      <c r="V148">
        <f t="shared" si="91"/>
        <v>6.2060398459403352</v>
      </c>
      <c r="W148">
        <f t="shared" si="92"/>
        <v>119.74695122313921</v>
      </c>
      <c r="X148">
        <f t="shared" si="93"/>
        <v>0</v>
      </c>
      <c r="Y148">
        <f t="shared" si="94"/>
        <v>0</v>
      </c>
      <c r="Z148">
        <f t="shared" si="95"/>
        <v>0</v>
      </c>
      <c r="AA148">
        <f t="shared" si="96"/>
        <v>0</v>
      </c>
      <c r="AB148">
        <f t="shared" si="97"/>
        <v>0</v>
      </c>
      <c r="AC148">
        <f t="shared" si="98"/>
        <v>119.74695122313921</v>
      </c>
      <c r="AD148">
        <f t="shared" si="99"/>
        <v>0</v>
      </c>
      <c r="AE148">
        <f t="shared" si="100"/>
        <v>119.74695122313921</v>
      </c>
      <c r="AF148">
        <f t="shared" si="101"/>
        <v>0</v>
      </c>
      <c r="AG148">
        <f t="shared" si="102"/>
        <v>119.74695122313921</v>
      </c>
      <c r="AH148">
        <f t="shared" si="103"/>
        <v>119.74695122313921</v>
      </c>
      <c r="AI148">
        <f t="shared" si="104"/>
        <v>0</v>
      </c>
      <c r="AJ148">
        <f t="shared" si="105"/>
        <v>0</v>
      </c>
      <c r="AK148">
        <f t="shared" si="106"/>
        <v>119.74695122313921</v>
      </c>
      <c r="AL148">
        <f t="shared" si="107"/>
        <v>0</v>
      </c>
      <c r="AM148">
        <f t="shared" si="108"/>
        <v>0</v>
      </c>
      <c r="AN148">
        <f t="shared" si="109"/>
        <v>119.74695122313921</v>
      </c>
      <c r="AO148">
        <f t="shared" si="110"/>
        <v>0</v>
      </c>
      <c r="AP148">
        <f t="shared" si="111"/>
        <v>0</v>
      </c>
      <c r="AQ148">
        <f t="shared" si="112"/>
        <v>0</v>
      </c>
      <c r="AR148">
        <f t="shared" si="113"/>
        <v>1344.9189057232954</v>
      </c>
      <c r="AS148">
        <f t="shared" si="114"/>
        <v>0</v>
      </c>
      <c r="AT148">
        <f t="shared" si="115"/>
        <v>0</v>
      </c>
      <c r="AU148">
        <f t="shared" si="116"/>
        <v>0</v>
      </c>
    </row>
    <row r="149" spans="1:47" x14ac:dyDescent="0.2">
      <c r="A149">
        <v>148</v>
      </c>
      <c r="B149">
        <f>PoolStates_V2!B149</f>
        <v>0</v>
      </c>
      <c r="C149">
        <f>PoolStates_V2!S149</f>
        <v>5.6983297993942168</v>
      </c>
      <c r="D149">
        <f>PoolStates_V2!T149</f>
        <v>109.99972164242777</v>
      </c>
      <c r="E149">
        <f>PoolStates_V2!Q149</f>
        <v>5.4905799581109388E-2</v>
      </c>
      <c r="F149">
        <f t="shared" si="117"/>
        <v>0</v>
      </c>
      <c r="G149">
        <f t="shared" si="118"/>
        <v>0</v>
      </c>
      <c r="H149">
        <f t="shared" si="119"/>
        <v>1344.9189057232954</v>
      </c>
      <c r="I149">
        <f t="shared" si="80"/>
        <v>5.4905799581109388E-2</v>
      </c>
      <c r="J149">
        <f t="shared" si="81"/>
        <v>0</v>
      </c>
      <c r="K149">
        <f t="shared" si="82"/>
        <v>0</v>
      </c>
      <c r="L149">
        <f t="shared" si="83"/>
        <v>0</v>
      </c>
      <c r="M149">
        <f t="shared" si="84"/>
        <v>0</v>
      </c>
      <c r="N149">
        <f t="shared" si="85"/>
        <v>0</v>
      </c>
      <c r="O149">
        <f t="shared" si="86"/>
        <v>1344.8639999237143</v>
      </c>
      <c r="P149">
        <f>M149*Inputs!B6/12</f>
        <v>0</v>
      </c>
      <c r="Q149">
        <f t="shared" si="87"/>
        <v>0</v>
      </c>
      <c r="R149">
        <f>N149*Inputs!B6/12</f>
        <v>0</v>
      </c>
      <c r="S149">
        <f t="shared" si="88"/>
        <v>0</v>
      </c>
      <c r="T149">
        <f t="shared" si="89"/>
        <v>5.6983297993942168</v>
      </c>
      <c r="U149">
        <f t="shared" si="90"/>
        <v>0</v>
      </c>
      <c r="V149">
        <f t="shared" si="91"/>
        <v>5.6983297993942168</v>
      </c>
      <c r="W149">
        <f t="shared" si="92"/>
        <v>109.99972164242777</v>
      </c>
      <c r="X149">
        <f t="shared" si="93"/>
        <v>0</v>
      </c>
      <c r="Y149">
        <f t="shared" si="94"/>
        <v>0</v>
      </c>
      <c r="Z149">
        <f t="shared" si="95"/>
        <v>0</v>
      </c>
      <c r="AA149">
        <f t="shared" si="96"/>
        <v>0</v>
      </c>
      <c r="AB149">
        <f t="shared" si="97"/>
        <v>0</v>
      </c>
      <c r="AC149">
        <f t="shared" si="98"/>
        <v>109.99972164242777</v>
      </c>
      <c r="AD149">
        <f t="shared" si="99"/>
        <v>0</v>
      </c>
      <c r="AE149">
        <f t="shared" si="100"/>
        <v>109.99972164242777</v>
      </c>
      <c r="AF149">
        <f t="shared" si="101"/>
        <v>0</v>
      </c>
      <c r="AG149">
        <f t="shared" si="102"/>
        <v>109.99972164242777</v>
      </c>
      <c r="AH149">
        <f t="shared" si="103"/>
        <v>109.99972164242777</v>
      </c>
      <c r="AI149">
        <f t="shared" si="104"/>
        <v>0</v>
      </c>
      <c r="AJ149">
        <f t="shared" si="105"/>
        <v>0</v>
      </c>
      <c r="AK149">
        <f t="shared" si="106"/>
        <v>109.99972164242777</v>
      </c>
      <c r="AL149">
        <f t="shared" si="107"/>
        <v>0</v>
      </c>
      <c r="AM149">
        <f t="shared" si="108"/>
        <v>0</v>
      </c>
      <c r="AN149">
        <f t="shared" si="109"/>
        <v>109.99972164242777</v>
      </c>
      <c r="AO149">
        <f t="shared" si="110"/>
        <v>0</v>
      </c>
      <c r="AP149">
        <f t="shared" si="111"/>
        <v>0</v>
      </c>
      <c r="AQ149">
        <f t="shared" si="112"/>
        <v>0</v>
      </c>
      <c r="AR149">
        <f t="shared" si="113"/>
        <v>1234.8642782812865</v>
      </c>
      <c r="AS149">
        <f t="shared" si="114"/>
        <v>0</v>
      </c>
      <c r="AT149">
        <f t="shared" si="115"/>
        <v>0</v>
      </c>
      <c r="AU149">
        <f t="shared" si="116"/>
        <v>0</v>
      </c>
    </row>
    <row r="150" spans="1:47" x14ac:dyDescent="0.2">
      <c r="A150">
        <v>149</v>
      </c>
      <c r="B150">
        <f>PoolStates_V2!B150</f>
        <v>0</v>
      </c>
      <c r="C150">
        <f>PoolStates_V2!S150</f>
        <v>5.2319528761919454</v>
      </c>
      <c r="D150">
        <f>PoolStates_V2!T150</f>
        <v>101.04259863347524</v>
      </c>
      <c r="E150">
        <f>PoolStates_V2!Q150</f>
        <v>5.0445566206935161E-2</v>
      </c>
      <c r="F150">
        <f t="shared" si="117"/>
        <v>0</v>
      </c>
      <c r="G150">
        <f t="shared" si="118"/>
        <v>0</v>
      </c>
      <c r="H150">
        <f t="shared" si="119"/>
        <v>1234.8642782812865</v>
      </c>
      <c r="I150">
        <f t="shared" si="80"/>
        <v>5.0445566206935161E-2</v>
      </c>
      <c r="J150">
        <f t="shared" si="81"/>
        <v>0</v>
      </c>
      <c r="K150">
        <f t="shared" si="82"/>
        <v>0</v>
      </c>
      <c r="L150">
        <f t="shared" si="83"/>
        <v>0</v>
      </c>
      <c r="M150">
        <f t="shared" si="84"/>
        <v>0</v>
      </c>
      <c r="N150">
        <f t="shared" si="85"/>
        <v>0</v>
      </c>
      <c r="O150">
        <f t="shared" si="86"/>
        <v>1234.8138327150796</v>
      </c>
      <c r="P150">
        <f>M150*Inputs!B6/12</f>
        <v>0</v>
      </c>
      <c r="Q150">
        <f t="shared" si="87"/>
        <v>0</v>
      </c>
      <c r="R150">
        <f>N150*Inputs!B6/12</f>
        <v>0</v>
      </c>
      <c r="S150">
        <f t="shared" si="88"/>
        <v>0</v>
      </c>
      <c r="T150">
        <f t="shared" si="89"/>
        <v>5.2319528761919454</v>
      </c>
      <c r="U150">
        <f t="shared" si="90"/>
        <v>0</v>
      </c>
      <c r="V150">
        <f t="shared" si="91"/>
        <v>5.2319528761919454</v>
      </c>
      <c r="W150">
        <f t="shared" si="92"/>
        <v>101.04259863347524</v>
      </c>
      <c r="X150">
        <f t="shared" si="93"/>
        <v>0</v>
      </c>
      <c r="Y150">
        <f t="shared" si="94"/>
        <v>0</v>
      </c>
      <c r="Z150">
        <f t="shared" si="95"/>
        <v>0</v>
      </c>
      <c r="AA150">
        <f t="shared" si="96"/>
        <v>0</v>
      </c>
      <c r="AB150">
        <f t="shared" si="97"/>
        <v>0</v>
      </c>
      <c r="AC150">
        <f t="shared" si="98"/>
        <v>101.04259863347524</v>
      </c>
      <c r="AD150">
        <f t="shared" si="99"/>
        <v>0</v>
      </c>
      <c r="AE150">
        <f t="shared" si="100"/>
        <v>101.04259863347524</v>
      </c>
      <c r="AF150">
        <f t="shared" si="101"/>
        <v>0</v>
      </c>
      <c r="AG150">
        <f t="shared" si="102"/>
        <v>101.04259863347524</v>
      </c>
      <c r="AH150">
        <f t="shared" si="103"/>
        <v>101.04259863347524</v>
      </c>
      <c r="AI150">
        <f t="shared" si="104"/>
        <v>0</v>
      </c>
      <c r="AJ150">
        <f t="shared" si="105"/>
        <v>0</v>
      </c>
      <c r="AK150">
        <f t="shared" si="106"/>
        <v>101.04259863347524</v>
      </c>
      <c r="AL150">
        <f t="shared" si="107"/>
        <v>0</v>
      </c>
      <c r="AM150">
        <f t="shared" si="108"/>
        <v>0</v>
      </c>
      <c r="AN150">
        <f t="shared" si="109"/>
        <v>101.04259863347524</v>
      </c>
      <c r="AO150">
        <f t="shared" si="110"/>
        <v>0</v>
      </c>
      <c r="AP150">
        <f t="shared" si="111"/>
        <v>0</v>
      </c>
      <c r="AQ150">
        <f t="shared" si="112"/>
        <v>0</v>
      </c>
      <c r="AR150">
        <f t="shared" si="113"/>
        <v>1133.7712340816042</v>
      </c>
      <c r="AS150">
        <f t="shared" si="114"/>
        <v>0</v>
      </c>
      <c r="AT150">
        <f t="shared" si="115"/>
        <v>0</v>
      </c>
      <c r="AU150">
        <f t="shared" si="116"/>
        <v>0</v>
      </c>
    </row>
    <row r="151" spans="1:47" x14ac:dyDescent="0.2">
      <c r="A151">
        <v>150</v>
      </c>
      <c r="B151">
        <f>PoolStates_V2!B151</f>
        <v>0</v>
      </c>
      <c r="C151">
        <f>PoolStates_V2!S151</f>
        <v>4.8035581803921774</v>
      </c>
      <c r="D151">
        <f>PoolStates_V2!T151</f>
        <v>92.81176777710364</v>
      </c>
      <c r="E151">
        <f>PoolStates_V2!Q151</f>
        <v>4.6346214353863262E-2</v>
      </c>
      <c r="F151">
        <f t="shared" si="117"/>
        <v>0</v>
      </c>
      <c r="G151">
        <f t="shared" si="118"/>
        <v>0</v>
      </c>
      <c r="H151">
        <f t="shared" si="119"/>
        <v>1133.7712340816042</v>
      </c>
      <c r="I151">
        <f t="shared" si="80"/>
        <v>4.6346214353863262E-2</v>
      </c>
      <c r="J151">
        <f t="shared" si="81"/>
        <v>0</v>
      </c>
      <c r="K151">
        <f t="shared" si="82"/>
        <v>0</v>
      </c>
      <c r="L151">
        <f t="shared" si="83"/>
        <v>0</v>
      </c>
      <c r="M151">
        <f t="shared" si="84"/>
        <v>0</v>
      </c>
      <c r="N151">
        <f t="shared" si="85"/>
        <v>0</v>
      </c>
      <c r="O151">
        <f t="shared" si="86"/>
        <v>1133.7248878672503</v>
      </c>
      <c r="P151">
        <f>M151*Inputs!B6/12</f>
        <v>0</v>
      </c>
      <c r="Q151">
        <f t="shared" si="87"/>
        <v>0</v>
      </c>
      <c r="R151">
        <f>N151*Inputs!B6/12</f>
        <v>0</v>
      </c>
      <c r="S151">
        <f t="shared" si="88"/>
        <v>0</v>
      </c>
      <c r="T151">
        <f t="shared" si="89"/>
        <v>4.8035581803921774</v>
      </c>
      <c r="U151">
        <f t="shared" si="90"/>
        <v>0</v>
      </c>
      <c r="V151">
        <f t="shared" si="91"/>
        <v>4.8035581803921774</v>
      </c>
      <c r="W151">
        <f t="shared" si="92"/>
        <v>92.81176777710364</v>
      </c>
      <c r="X151">
        <f t="shared" si="93"/>
        <v>0</v>
      </c>
      <c r="Y151">
        <f t="shared" si="94"/>
        <v>0</v>
      </c>
      <c r="Z151">
        <f t="shared" si="95"/>
        <v>0</v>
      </c>
      <c r="AA151">
        <f t="shared" si="96"/>
        <v>0</v>
      </c>
      <c r="AB151">
        <f t="shared" si="97"/>
        <v>0</v>
      </c>
      <c r="AC151">
        <f t="shared" si="98"/>
        <v>92.81176777710364</v>
      </c>
      <c r="AD151">
        <f t="shared" si="99"/>
        <v>0</v>
      </c>
      <c r="AE151">
        <f t="shared" si="100"/>
        <v>92.81176777710364</v>
      </c>
      <c r="AF151">
        <f t="shared" si="101"/>
        <v>0</v>
      </c>
      <c r="AG151">
        <f t="shared" si="102"/>
        <v>92.81176777710364</v>
      </c>
      <c r="AH151">
        <f t="shared" si="103"/>
        <v>92.81176777710364</v>
      </c>
      <c r="AI151">
        <f t="shared" si="104"/>
        <v>0</v>
      </c>
      <c r="AJ151">
        <f t="shared" si="105"/>
        <v>0</v>
      </c>
      <c r="AK151">
        <f t="shared" si="106"/>
        <v>92.81176777710364</v>
      </c>
      <c r="AL151">
        <f t="shared" si="107"/>
        <v>0</v>
      </c>
      <c r="AM151">
        <f t="shared" si="108"/>
        <v>0</v>
      </c>
      <c r="AN151">
        <f t="shared" si="109"/>
        <v>92.81176777710364</v>
      </c>
      <c r="AO151">
        <f t="shared" si="110"/>
        <v>0</v>
      </c>
      <c r="AP151">
        <f t="shared" si="111"/>
        <v>0</v>
      </c>
      <c r="AQ151">
        <f t="shared" si="112"/>
        <v>0</v>
      </c>
      <c r="AR151">
        <f t="shared" si="113"/>
        <v>1040.9131200901468</v>
      </c>
      <c r="AS151">
        <f t="shared" si="114"/>
        <v>0</v>
      </c>
      <c r="AT151">
        <f t="shared" si="115"/>
        <v>0</v>
      </c>
      <c r="AU151">
        <f t="shared" si="116"/>
        <v>0</v>
      </c>
    </row>
    <row r="152" spans="1:47" x14ac:dyDescent="0.2">
      <c r="A152">
        <v>151</v>
      </c>
      <c r="B152">
        <f>PoolStates_V2!B152</f>
        <v>0</v>
      </c>
      <c r="C152">
        <f>PoolStates_V2!S152</f>
        <v>4.4100654904161178</v>
      </c>
      <c r="D152">
        <f>PoolStates_V2!T152</f>
        <v>85.248552482146522</v>
      </c>
      <c r="E152">
        <f>PoolStates_V2!Q152</f>
        <v>4.2578647446571465E-2</v>
      </c>
      <c r="F152">
        <f t="shared" si="117"/>
        <v>0</v>
      </c>
      <c r="G152">
        <f t="shared" si="118"/>
        <v>0</v>
      </c>
      <c r="H152">
        <f t="shared" si="119"/>
        <v>1040.9131200901468</v>
      </c>
      <c r="I152">
        <f t="shared" si="80"/>
        <v>4.2578647446571465E-2</v>
      </c>
      <c r="J152">
        <f t="shared" si="81"/>
        <v>0</v>
      </c>
      <c r="K152">
        <f t="shared" si="82"/>
        <v>0</v>
      </c>
      <c r="L152">
        <f t="shared" si="83"/>
        <v>0</v>
      </c>
      <c r="M152">
        <f t="shared" si="84"/>
        <v>0</v>
      </c>
      <c r="N152">
        <f t="shared" si="85"/>
        <v>0</v>
      </c>
      <c r="O152">
        <f t="shared" si="86"/>
        <v>1040.8705414427002</v>
      </c>
      <c r="P152">
        <f>M152*Inputs!B6/12</f>
        <v>0</v>
      </c>
      <c r="Q152">
        <f t="shared" si="87"/>
        <v>0</v>
      </c>
      <c r="R152">
        <f>N152*Inputs!B6/12</f>
        <v>0</v>
      </c>
      <c r="S152">
        <f t="shared" si="88"/>
        <v>0</v>
      </c>
      <c r="T152">
        <f t="shared" si="89"/>
        <v>4.4100654904161178</v>
      </c>
      <c r="U152">
        <f t="shared" si="90"/>
        <v>0</v>
      </c>
      <c r="V152">
        <f t="shared" si="91"/>
        <v>4.4100654904161178</v>
      </c>
      <c r="W152">
        <f t="shared" si="92"/>
        <v>85.248552482146522</v>
      </c>
      <c r="X152">
        <f t="shared" si="93"/>
        <v>0</v>
      </c>
      <c r="Y152">
        <f t="shared" si="94"/>
        <v>0</v>
      </c>
      <c r="Z152">
        <f t="shared" si="95"/>
        <v>0</v>
      </c>
      <c r="AA152">
        <f t="shared" si="96"/>
        <v>0</v>
      </c>
      <c r="AB152">
        <f t="shared" si="97"/>
        <v>0</v>
      </c>
      <c r="AC152">
        <f t="shared" si="98"/>
        <v>85.248552482146522</v>
      </c>
      <c r="AD152">
        <f t="shared" si="99"/>
        <v>0</v>
      </c>
      <c r="AE152">
        <f t="shared" si="100"/>
        <v>85.248552482146522</v>
      </c>
      <c r="AF152">
        <f t="shared" si="101"/>
        <v>0</v>
      </c>
      <c r="AG152">
        <f t="shared" si="102"/>
        <v>85.248552482146522</v>
      </c>
      <c r="AH152">
        <f t="shared" si="103"/>
        <v>85.248552482146522</v>
      </c>
      <c r="AI152">
        <f t="shared" si="104"/>
        <v>0</v>
      </c>
      <c r="AJ152">
        <f t="shared" si="105"/>
        <v>0</v>
      </c>
      <c r="AK152">
        <f t="shared" si="106"/>
        <v>85.248552482146522</v>
      </c>
      <c r="AL152">
        <f t="shared" si="107"/>
        <v>0</v>
      </c>
      <c r="AM152">
        <f t="shared" si="108"/>
        <v>0</v>
      </c>
      <c r="AN152">
        <f t="shared" si="109"/>
        <v>85.248552482146522</v>
      </c>
      <c r="AO152">
        <f t="shared" si="110"/>
        <v>0</v>
      </c>
      <c r="AP152">
        <f t="shared" si="111"/>
        <v>0</v>
      </c>
      <c r="AQ152">
        <f t="shared" si="112"/>
        <v>0</v>
      </c>
      <c r="AR152">
        <f t="shared" si="113"/>
        <v>955.62198896055361</v>
      </c>
      <c r="AS152">
        <f t="shared" si="114"/>
        <v>0</v>
      </c>
      <c r="AT152">
        <f t="shared" si="115"/>
        <v>0</v>
      </c>
      <c r="AU152">
        <f t="shared" si="116"/>
        <v>0</v>
      </c>
    </row>
    <row r="153" spans="1:47" x14ac:dyDescent="0.2">
      <c r="A153">
        <v>152</v>
      </c>
      <c r="B153">
        <f>PoolStates_V2!B153</f>
        <v>0</v>
      </c>
      <c r="C153">
        <f>PoolStates_V2!S153</f>
        <v>4.0486434639862621</v>
      </c>
      <c r="D153">
        <f>PoolStates_V2!T153</f>
        <v>78.299001475171039</v>
      </c>
      <c r="E153">
        <f>PoolStates_V2!Q153</f>
        <v>3.9116107433884835E-2</v>
      </c>
      <c r="F153">
        <f t="shared" si="117"/>
        <v>0</v>
      </c>
      <c r="G153">
        <f t="shared" si="118"/>
        <v>0</v>
      </c>
      <c r="H153">
        <f t="shared" si="119"/>
        <v>955.62198896055361</v>
      </c>
      <c r="I153">
        <f t="shared" si="80"/>
        <v>3.9116107433884835E-2</v>
      </c>
      <c r="J153">
        <f t="shared" si="81"/>
        <v>0</v>
      </c>
      <c r="K153">
        <f t="shared" si="82"/>
        <v>0</v>
      </c>
      <c r="L153">
        <f t="shared" si="83"/>
        <v>0</v>
      </c>
      <c r="M153">
        <f t="shared" si="84"/>
        <v>0</v>
      </c>
      <c r="N153">
        <f t="shared" si="85"/>
        <v>0</v>
      </c>
      <c r="O153">
        <f t="shared" si="86"/>
        <v>955.58287285311974</v>
      </c>
      <c r="P153">
        <f>M153*Inputs!B6/12</f>
        <v>0</v>
      </c>
      <c r="Q153">
        <f t="shared" si="87"/>
        <v>0</v>
      </c>
      <c r="R153">
        <f>N153*Inputs!B6/12</f>
        <v>0</v>
      </c>
      <c r="S153">
        <f t="shared" si="88"/>
        <v>0</v>
      </c>
      <c r="T153">
        <f t="shared" si="89"/>
        <v>4.0486434639862621</v>
      </c>
      <c r="U153">
        <f t="shared" si="90"/>
        <v>0</v>
      </c>
      <c r="V153">
        <f t="shared" si="91"/>
        <v>4.0486434639862621</v>
      </c>
      <c r="W153">
        <f t="shared" si="92"/>
        <v>78.299001475171039</v>
      </c>
      <c r="X153">
        <f t="shared" si="93"/>
        <v>0</v>
      </c>
      <c r="Y153">
        <f t="shared" si="94"/>
        <v>0</v>
      </c>
      <c r="Z153">
        <f t="shared" si="95"/>
        <v>0</v>
      </c>
      <c r="AA153">
        <f t="shared" si="96"/>
        <v>0</v>
      </c>
      <c r="AB153">
        <f t="shared" si="97"/>
        <v>0</v>
      </c>
      <c r="AC153">
        <f t="shared" si="98"/>
        <v>78.299001475171039</v>
      </c>
      <c r="AD153">
        <f t="shared" si="99"/>
        <v>0</v>
      </c>
      <c r="AE153">
        <f t="shared" si="100"/>
        <v>78.299001475171039</v>
      </c>
      <c r="AF153">
        <f t="shared" si="101"/>
        <v>0</v>
      </c>
      <c r="AG153">
        <f t="shared" si="102"/>
        <v>78.299001475171039</v>
      </c>
      <c r="AH153">
        <f t="shared" si="103"/>
        <v>78.299001475171039</v>
      </c>
      <c r="AI153">
        <f t="shared" si="104"/>
        <v>0</v>
      </c>
      <c r="AJ153">
        <f t="shared" si="105"/>
        <v>0</v>
      </c>
      <c r="AK153">
        <f t="shared" si="106"/>
        <v>78.299001475171039</v>
      </c>
      <c r="AL153">
        <f t="shared" si="107"/>
        <v>0</v>
      </c>
      <c r="AM153">
        <f t="shared" si="108"/>
        <v>0</v>
      </c>
      <c r="AN153">
        <f t="shared" si="109"/>
        <v>78.299001475171039</v>
      </c>
      <c r="AO153">
        <f t="shared" si="110"/>
        <v>0</v>
      </c>
      <c r="AP153">
        <f t="shared" si="111"/>
        <v>0</v>
      </c>
      <c r="AQ153">
        <f t="shared" si="112"/>
        <v>0</v>
      </c>
      <c r="AR153">
        <f t="shared" si="113"/>
        <v>877.28387137794869</v>
      </c>
      <c r="AS153">
        <f t="shared" si="114"/>
        <v>0</v>
      </c>
      <c r="AT153">
        <f t="shared" si="115"/>
        <v>0</v>
      </c>
      <c r="AU153">
        <f t="shared" si="116"/>
        <v>0</v>
      </c>
    </row>
    <row r="154" spans="1:47" x14ac:dyDescent="0.2">
      <c r="A154">
        <v>153</v>
      </c>
      <c r="B154">
        <f>PoolStates_V2!B154</f>
        <v>0</v>
      </c>
      <c r="C154">
        <f>PoolStates_V2!S154</f>
        <v>3.7166895931682524</v>
      </c>
      <c r="D154">
        <f>PoolStates_V2!T154</f>
        <v>71.913509329203336</v>
      </c>
      <c r="E154">
        <f>PoolStates_V2!Q154</f>
        <v>3.5933987389404974E-2</v>
      </c>
      <c r="F154">
        <f t="shared" si="117"/>
        <v>0</v>
      </c>
      <c r="G154">
        <f t="shared" si="118"/>
        <v>0</v>
      </c>
      <c r="H154">
        <f t="shared" si="119"/>
        <v>877.28387137794869</v>
      </c>
      <c r="I154">
        <f t="shared" si="80"/>
        <v>3.5933987389404974E-2</v>
      </c>
      <c r="J154">
        <f t="shared" si="81"/>
        <v>0</v>
      </c>
      <c r="K154">
        <f t="shared" si="82"/>
        <v>0</v>
      </c>
      <c r="L154">
        <f t="shared" si="83"/>
        <v>0</v>
      </c>
      <c r="M154">
        <f t="shared" si="84"/>
        <v>0</v>
      </c>
      <c r="N154">
        <f t="shared" si="85"/>
        <v>0</v>
      </c>
      <c r="O154">
        <f t="shared" si="86"/>
        <v>877.24793739055929</v>
      </c>
      <c r="P154">
        <f>M154*Inputs!B6/12</f>
        <v>0</v>
      </c>
      <c r="Q154">
        <f t="shared" si="87"/>
        <v>0</v>
      </c>
      <c r="R154">
        <f>N154*Inputs!B6/12</f>
        <v>0</v>
      </c>
      <c r="S154">
        <f t="shared" si="88"/>
        <v>0</v>
      </c>
      <c r="T154">
        <f t="shared" si="89"/>
        <v>3.7166895931682524</v>
      </c>
      <c r="U154">
        <f t="shared" si="90"/>
        <v>0</v>
      </c>
      <c r="V154">
        <f t="shared" si="91"/>
        <v>3.7166895931682524</v>
      </c>
      <c r="W154">
        <f t="shared" si="92"/>
        <v>71.913509329203336</v>
      </c>
      <c r="X154">
        <f t="shared" si="93"/>
        <v>0</v>
      </c>
      <c r="Y154">
        <f t="shared" si="94"/>
        <v>0</v>
      </c>
      <c r="Z154">
        <f t="shared" si="95"/>
        <v>0</v>
      </c>
      <c r="AA154">
        <f t="shared" si="96"/>
        <v>0</v>
      </c>
      <c r="AB154">
        <f t="shared" si="97"/>
        <v>0</v>
      </c>
      <c r="AC154">
        <f t="shared" si="98"/>
        <v>71.913509329203336</v>
      </c>
      <c r="AD154">
        <f t="shared" si="99"/>
        <v>0</v>
      </c>
      <c r="AE154">
        <f t="shared" si="100"/>
        <v>71.913509329203336</v>
      </c>
      <c r="AF154">
        <f t="shared" si="101"/>
        <v>0</v>
      </c>
      <c r="AG154">
        <f t="shared" si="102"/>
        <v>71.913509329203336</v>
      </c>
      <c r="AH154">
        <f t="shared" si="103"/>
        <v>71.913509329203336</v>
      </c>
      <c r="AI154">
        <f t="shared" si="104"/>
        <v>0</v>
      </c>
      <c r="AJ154">
        <f t="shared" si="105"/>
        <v>0</v>
      </c>
      <c r="AK154">
        <f t="shared" si="106"/>
        <v>71.913509329203336</v>
      </c>
      <c r="AL154">
        <f t="shared" si="107"/>
        <v>0</v>
      </c>
      <c r="AM154">
        <f t="shared" si="108"/>
        <v>0</v>
      </c>
      <c r="AN154">
        <f t="shared" si="109"/>
        <v>71.913509329203336</v>
      </c>
      <c r="AO154">
        <f t="shared" si="110"/>
        <v>0</v>
      </c>
      <c r="AP154">
        <f t="shared" si="111"/>
        <v>0</v>
      </c>
      <c r="AQ154">
        <f t="shared" si="112"/>
        <v>0</v>
      </c>
      <c r="AR154">
        <f t="shared" si="113"/>
        <v>805.33442806135599</v>
      </c>
      <c r="AS154">
        <f t="shared" si="114"/>
        <v>0</v>
      </c>
      <c r="AT154">
        <f t="shared" si="115"/>
        <v>0</v>
      </c>
      <c r="AU154">
        <f t="shared" si="116"/>
        <v>0</v>
      </c>
    </row>
    <row r="155" spans="1:47" x14ac:dyDescent="0.2">
      <c r="A155">
        <v>154</v>
      </c>
      <c r="B155">
        <f>PoolStates_V2!B155</f>
        <v>0</v>
      </c>
      <c r="C155">
        <f>PoolStates_V2!S155</f>
        <v>3.4118117693280223</v>
      </c>
      <c r="D155">
        <f>PoolStates_V2!T155</f>
        <v>66.046467390991779</v>
      </c>
      <c r="E155">
        <f>PoolStates_V2!Q155</f>
        <v>3.3009659087206426E-2</v>
      </c>
      <c r="F155">
        <f t="shared" si="117"/>
        <v>0</v>
      </c>
      <c r="G155">
        <f t="shared" si="118"/>
        <v>0</v>
      </c>
      <c r="H155">
        <f t="shared" si="119"/>
        <v>805.33442806135599</v>
      </c>
      <c r="I155">
        <f t="shared" si="80"/>
        <v>3.3009659087206426E-2</v>
      </c>
      <c r="J155">
        <f t="shared" si="81"/>
        <v>0</v>
      </c>
      <c r="K155">
        <f t="shared" si="82"/>
        <v>0</v>
      </c>
      <c r="L155">
        <f t="shared" si="83"/>
        <v>0</v>
      </c>
      <c r="M155">
        <f t="shared" si="84"/>
        <v>0</v>
      </c>
      <c r="N155">
        <f t="shared" si="85"/>
        <v>0</v>
      </c>
      <c r="O155">
        <f t="shared" si="86"/>
        <v>805.30141840226884</v>
      </c>
      <c r="P155">
        <f>M155*Inputs!B6/12</f>
        <v>0</v>
      </c>
      <c r="Q155">
        <f t="shared" si="87"/>
        <v>0</v>
      </c>
      <c r="R155">
        <f>N155*Inputs!B6/12</f>
        <v>0</v>
      </c>
      <c r="S155">
        <f t="shared" si="88"/>
        <v>0</v>
      </c>
      <c r="T155">
        <f t="shared" si="89"/>
        <v>3.4118117693280223</v>
      </c>
      <c r="U155">
        <f t="shared" si="90"/>
        <v>0</v>
      </c>
      <c r="V155">
        <f t="shared" si="91"/>
        <v>3.4118117693280223</v>
      </c>
      <c r="W155">
        <f t="shared" si="92"/>
        <v>66.046467390991779</v>
      </c>
      <c r="X155">
        <f t="shared" si="93"/>
        <v>0</v>
      </c>
      <c r="Y155">
        <f t="shared" si="94"/>
        <v>0</v>
      </c>
      <c r="Z155">
        <f t="shared" si="95"/>
        <v>0</v>
      </c>
      <c r="AA155">
        <f t="shared" si="96"/>
        <v>0</v>
      </c>
      <c r="AB155">
        <f t="shared" si="97"/>
        <v>0</v>
      </c>
      <c r="AC155">
        <f t="shared" si="98"/>
        <v>66.046467390991779</v>
      </c>
      <c r="AD155">
        <f t="shared" si="99"/>
        <v>0</v>
      </c>
      <c r="AE155">
        <f t="shared" si="100"/>
        <v>66.046467390991779</v>
      </c>
      <c r="AF155">
        <f t="shared" si="101"/>
        <v>0</v>
      </c>
      <c r="AG155">
        <f t="shared" si="102"/>
        <v>66.046467390991779</v>
      </c>
      <c r="AH155">
        <f t="shared" si="103"/>
        <v>66.046467390991779</v>
      </c>
      <c r="AI155">
        <f t="shared" si="104"/>
        <v>0</v>
      </c>
      <c r="AJ155">
        <f t="shared" si="105"/>
        <v>0</v>
      </c>
      <c r="AK155">
        <f t="shared" si="106"/>
        <v>66.046467390991779</v>
      </c>
      <c r="AL155">
        <f t="shared" si="107"/>
        <v>0</v>
      </c>
      <c r="AM155">
        <f t="shared" si="108"/>
        <v>0</v>
      </c>
      <c r="AN155">
        <f t="shared" si="109"/>
        <v>66.046467390991779</v>
      </c>
      <c r="AO155">
        <f t="shared" si="110"/>
        <v>0</v>
      </c>
      <c r="AP155">
        <f t="shared" si="111"/>
        <v>0</v>
      </c>
      <c r="AQ155">
        <f t="shared" si="112"/>
        <v>0</v>
      </c>
      <c r="AR155">
        <f t="shared" si="113"/>
        <v>739.25495101127706</v>
      </c>
      <c r="AS155">
        <f t="shared" si="114"/>
        <v>0</v>
      </c>
      <c r="AT155">
        <f t="shared" si="115"/>
        <v>0</v>
      </c>
      <c r="AU155">
        <f t="shared" si="116"/>
        <v>0</v>
      </c>
    </row>
    <row r="156" spans="1:47" x14ac:dyDescent="0.2">
      <c r="A156">
        <v>155</v>
      </c>
      <c r="B156">
        <f>PoolStates_V2!B156</f>
        <v>0</v>
      </c>
      <c r="C156">
        <f>PoolStates_V2!S156</f>
        <v>3.131811329021891</v>
      </c>
      <c r="D156">
        <f>PoolStates_V2!T156</f>
        <v>60.655942676966653</v>
      </c>
      <c r="E156">
        <f>PoolStates_V2!Q156</f>
        <v>3.0322314359381441E-2</v>
      </c>
      <c r="F156">
        <f t="shared" si="117"/>
        <v>0</v>
      </c>
      <c r="G156">
        <f t="shared" si="118"/>
        <v>0</v>
      </c>
      <c r="H156">
        <f t="shared" si="119"/>
        <v>739.25495101127706</v>
      </c>
      <c r="I156">
        <f t="shared" si="80"/>
        <v>3.0322314359381441E-2</v>
      </c>
      <c r="J156">
        <f t="shared" si="81"/>
        <v>0</v>
      </c>
      <c r="K156">
        <f t="shared" si="82"/>
        <v>0</v>
      </c>
      <c r="L156">
        <f t="shared" si="83"/>
        <v>0</v>
      </c>
      <c r="M156">
        <f t="shared" si="84"/>
        <v>0</v>
      </c>
      <c r="N156">
        <f t="shared" si="85"/>
        <v>0</v>
      </c>
      <c r="O156">
        <f t="shared" si="86"/>
        <v>739.22462869691765</v>
      </c>
      <c r="P156">
        <f>M156*Inputs!B6/12</f>
        <v>0</v>
      </c>
      <c r="Q156">
        <f t="shared" si="87"/>
        <v>0</v>
      </c>
      <c r="R156">
        <f>N156*Inputs!B6/12</f>
        <v>0</v>
      </c>
      <c r="S156">
        <f t="shared" si="88"/>
        <v>0</v>
      </c>
      <c r="T156">
        <f t="shared" si="89"/>
        <v>3.131811329021891</v>
      </c>
      <c r="U156">
        <f t="shared" si="90"/>
        <v>0</v>
      </c>
      <c r="V156">
        <f t="shared" si="91"/>
        <v>3.131811329021891</v>
      </c>
      <c r="W156">
        <f t="shared" si="92"/>
        <v>60.655942676966653</v>
      </c>
      <c r="X156">
        <f t="shared" si="93"/>
        <v>0</v>
      </c>
      <c r="Y156">
        <f t="shared" si="94"/>
        <v>0</v>
      </c>
      <c r="Z156">
        <f t="shared" si="95"/>
        <v>0</v>
      </c>
      <c r="AA156">
        <f t="shared" si="96"/>
        <v>0</v>
      </c>
      <c r="AB156">
        <f t="shared" si="97"/>
        <v>0</v>
      </c>
      <c r="AC156">
        <f t="shared" si="98"/>
        <v>60.655942676966653</v>
      </c>
      <c r="AD156">
        <f t="shared" si="99"/>
        <v>0</v>
      </c>
      <c r="AE156">
        <f t="shared" si="100"/>
        <v>60.655942676966653</v>
      </c>
      <c r="AF156">
        <f t="shared" si="101"/>
        <v>0</v>
      </c>
      <c r="AG156">
        <f t="shared" si="102"/>
        <v>60.655942676966653</v>
      </c>
      <c r="AH156">
        <f t="shared" si="103"/>
        <v>60.655942676966653</v>
      </c>
      <c r="AI156">
        <f t="shared" si="104"/>
        <v>0</v>
      </c>
      <c r="AJ156">
        <f t="shared" si="105"/>
        <v>0</v>
      </c>
      <c r="AK156">
        <f t="shared" si="106"/>
        <v>60.655942676966653</v>
      </c>
      <c r="AL156">
        <f t="shared" si="107"/>
        <v>0</v>
      </c>
      <c r="AM156">
        <f t="shared" si="108"/>
        <v>0</v>
      </c>
      <c r="AN156">
        <f t="shared" si="109"/>
        <v>60.655942676966653</v>
      </c>
      <c r="AO156">
        <f t="shared" si="110"/>
        <v>0</v>
      </c>
      <c r="AP156">
        <f t="shared" si="111"/>
        <v>0</v>
      </c>
      <c r="AQ156">
        <f t="shared" si="112"/>
        <v>0</v>
      </c>
      <c r="AR156">
        <f t="shared" si="113"/>
        <v>678.56868601995097</v>
      </c>
      <c r="AS156">
        <f t="shared" si="114"/>
        <v>0</v>
      </c>
      <c r="AT156">
        <f t="shared" si="115"/>
        <v>0</v>
      </c>
      <c r="AU156">
        <f t="shared" si="116"/>
        <v>0</v>
      </c>
    </row>
    <row r="157" spans="1:47" x14ac:dyDescent="0.2">
      <c r="A157">
        <v>156</v>
      </c>
      <c r="B157">
        <f>PoolStates_V2!B157</f>
        <v>0</v>
      </c>
      <c r="C157">
        <f>PoolStates_V2!S157</f>
        <v>2.8746674621486106</v>
      </c>
      <c r="D157">
        <f>PoolStates_V2!T157</f>
        <v>55.703382501905374</v>
      </c>
      <c r="E157">
        <f>PoolStates_V2!Q157</f>
        <v>2.7852819136989553E-2</v>
      </c>
      <c r="F157">
        <f t="shared" si="117"/>
        <v>0</v>
      </c>
      <c r="G157">
        <f t="shared" si="118"/>
        <v>0</v>
      </c>
      <c r="H157">
        <f t="shared" si="119"/>
        <v>678.56868601995097</v>
      </c>
      <c r="I157">
        <f t="shared" si="80"/>
        <v>2.7852819136989553E-2</v>
      </c>
      <c r="J157">
        <f t="shared" si="81"/>
        <v>0</v>
      </c>
      <c r="K157">
        <f t="shared" si="82"/>
        <v>0</v>
      </c>
      <c r="L157">
        <f t="shared" si="83"/>
        <v>0</v>
      </c>
      <c r="M157">
        <f t="shared" si="84"/>
        <v>0</v>
      </c>
      <c r="N157">
        <f t="shared" si="85"/>
        <v>0</v>
      </c>
      <c r="O157">
        <f t="shared" si="86"/>
        <v>678.54083320081395</v>
      </c>
      <c r="P157">
        <f>M157*Inputs!B6/12</f>
        <v>0</v>
      </c>
      <c r="Q157">
        <f t="shared" si="87"/>
        <v>0</v>
      </c>
      <c r="R157">
        <f>N157*Inputs!B6/12</f>
        <v>0</v>
      </c>
      <c r="S157">
        <f t="shared" si="88"/>
        <v>0</v>
      </c>
      <c r="T157">
        <f t="shared" si="89"/>
        <v>2.8746674621486106</v>
      </c>
      <c r="U157">
        <f t="shared" si="90"/>
        <v>0</v>
      </c>
      <c r="V157">
        <f t="shared" si="91"/>
        <v>2.8746674621486106</v>
      </c>
      <c r="W157">
        <f t="shared" si="92"/>
        <v>55.703382501905374</v>
      </c>
      <c r="X157">
        <f t="shared" si="93"/>
        <v>0</v>
      </c>
      <c r="Y157">
        <f t="shared" si="94"/>
        <v>0</v>
      </c>
      <c r="Z157">
        <f t="shared" si="95"/>
        <v>0</v>
      </c>
      <c r="AA157">
        <f t="shared" si="96"/>
        <v>0</v>
      </c>
      <c r="AB157">
        <f t="shared" si="97"/>
        <v>0</v>
      </c>
      <c r="AC157">
        <f t="shared" si="98"/>
        <v>55.703382501905374</v>
      </c>
      <c r="AD157">
        <f t="shared" si="99"/>
        <v>0</v>
      </c>
      <c r="AE157">
        <f t="shared" si="100"/>
        <v>55.703382501905374</v>
      </c>
      <c r="AF157">
        <f t="shared" si="101"/>
        <v>0</v>
      </c>
      <c r="AG157">
        <f t="shared" si="102"/>
        <v>55.703382501905374</v>
      </c>
      <c r="AH157">
        <f t="shared" si="103"/>
        <v>55.703382501905374</v>
      </c>
      <c r="AI157">
        <f t="shared" si="104"/>
        <v>0</v>
      </c>
      <c r="AJ157">
        <f t="shared" si="105"/>
        <v>0</v>
      </c>
      <c r="AK157">
        <f t="shared" si="106"/>
        <v>55.703382501905374</v>
      </c>
      <c r="AL157">
        <f t="shared" si="107"/>
        <v>0</v>
      </c>
      <c r="AM157">
        <f t="shared" si="108"/>
        <v>0</v>
      </c>
      <c r="AN157">
        <f t="shared" si="109"/>
        <v>55.703382501905374</v>
      </c>
      <c r="AO157">
        <f t="shared" si="110"/>
        <v>0</v>
      </c>
      <c r="AP157">
        <f t="shared" si="111"/>
        <v>0</v>
      </c>
      <c r="AQ157">
        <f t="shared" si="112"/>
        <v>0</v>
      </c>
      <c r="AR157">
        <f t="shared" si="113"/>
        <v>622.83745069890858</v>
      </c>
      <c r="AS157">
        <f t="shared" si="114"/>
        <v>0</v>
      </c>
      <c r="AT157">
        <f t="shared" si="115"/>
        <v>0</v>
      </c>
      <c r="AU157">
        <f t="shared" si="116"/>
        <v>0</v>
      </c>
    </row>
    <row r="158" spans="1:47" x14ac:dyDescent="0.2">
      <c r="A158">
        <v>157</v>
      </c>
      <c r="B158">
        <f>PoolStates_V2!B158</f>
        <v>0</v>
      </c>
      <c r="C158">
        <f>PoolStates_V2!S158</f>
        <v>2.6385228731810875</v>
      </c>
      <c r="D158">
        <f>PoolStates_V2!T158</f>
        <v>51.15334278272455</v>
      </c>
      <c r="E158">
        <f>PoolStates_V2!Q158</f>
        <v>2.5583579163244462E-2</v>
      </c>
      <c r="F158">
        <f t="shared" si="117"/>
        <v>0</v>
      </c>
      <c r="G158">
        <f t="shared" si="118"/>
        <v>0</v>
      </c>
      <c r="H158">
        <f t="shared" si="119"/>
        <v>622.83745069890858</v>
      </c>
      <c r="I158">
        <f t="shared" si="80"/>
        <v>2.5583579163244462E-2</v>
      </c>
      <c r="J158">
        <f t="shared" si="81"/>
        <v>0</v>
      </c>
      <c r="K158">
        <f t="shared" si="82"/>
        <v>0</v>
      </c>
      <c r="L158">
        <f t="shared" si="83"/>
        <v>0</v>
      </c>
      <c r="M158">
        <f t="shared" si="84"/>
        <v>0</v>
      </c>
      <c r="N158">
        <f t="shared" si="85"/>
        <v>0</v>
      </c>
      <c r="O158">
        <f t="shared" si="86"/>
        <v>622.81186711974533</v>
      </c>
      <c r="P158">
        <f>M158*Inputs!B6/12</f>
        <v>0</v>
      </c>
      <c r="Q158">
        <f t="shared" si="87"/>
        <v>0</v>
      </c>
      <c r="R158">
        <f>N158*Inputs!B6/12</f>
        <v>0</v>
      </c>
      <c r="S158">
        <f t="shared" si="88"/>
        <v>0</v>
      </c>
      <c r="T158">
        <f t="shared" si="89"/>
        <v>2.6385228731810875</v>
      </c>
      <c r="U158">
        <f t="shared" si="90"/>
        <v>0</v>
      </c>
      <c r="V158">
        <f t="shared" si="91"/>
        <v>2.6385228731810875</v>
      </c>
      <c r="W158">
        <f t="shared" si="92"/>
        <v>51.15334278272455</v>
      </c>
      <c r="X158">
        <f t="shared" si="93"/>
        <v>0</v>
      </c>
      <c r="Y158">
        <f t="shared" si="94"/>
        <v>0</v>
      </c>
      <c r="Z158">
        <f t="shared" si="95"/>
        <v>0</v>
      </c>
      <c r="AA158">
        <f t="shared" si="96"/>
        <v>0</v>
      </c>
      <c r="AB158">
        <f t="shared" si="97"/>
        <v>0</v>
      </c>
      <c r="AC158">
        <f t="shared" si="98"/>
        <v>51.15334278272455</v>
      </c>
      <c r="AD158">
        <f t="shared" si="99"/>
        <v>0</v>
      </c>
      <c r="AE158">
        <f t="shared" si="100"/>
        <v>51.15334278272455</v>
      </c>
      <c r="AF158">
        <f t="shared" si="101"/>
        <v>0</v>
      </c>
      <c r="AG158">
        <f t="shared" si="102"/>
        <v>51.15334278272455</v>
      </c>
      <c r="AH158">
        <f t="shared" si="103"/>
        <v>51.15334278272455</v>
      </c>
      <c r="AI158">
        <f t="shared" si="104"/>
        <v>0</v>
      </c>
      <c r="AJ158">
        <f t="shared" si="105"/>
        <v>0</v>
      </c>
      <c r="AK158">
        <f t="shared" si="106"/>
        <v>51.15334278272455</v>
      </c>
      <c r="AL158">
        <f t="shared" si="107"/>
        <v>0</v>
      </c>
      <c r="AM158">
        <f t="shared" si="108"/>
        <v>0</v>
      </c>
      <c r="AN158">
        <f t="shared" si="109"/>
        <v>51.15334278272455</v>
      </c>
      <c r="AO158">
        <f t="shared" si="110"/>
        <v>0</v>
      </c>
      <c r="AP158">
        <f t="shared" si="111"/>
        <v>0</v>
      </c>
      <c r="AQ158">
        <f t="shared" si="112"/>
        <v>0</v>
      </c>
      <c r="AR158">
        <f t="shared" si="113"/>
        <v>571.65852433702082</v>
      </c>
      <c r="AS158">
        <f t="shared" si="114"/>
        <v>0</v>
      </c>
      <c r="AT158">
        <f t="shared" si="115"/>
        <v>0</v>
      </c>
      <c r="AU158">
        <f t="shared" si="116"/>
        <v>0</v>
      </c>
    </row>
    <row r="159" spans="1:47" x14ac:dyDescent="0.2">
      <c r="A159">
        <v>158</v>
      </c>
      <c r="B159">
        <f>PoolStates_V2!B159</f>
        <v>0</v>
      </c>
      <c r="C159">
        <f>PoolStates_V2!S159</f>
        <v>2.4216705950267947</v>
      </c>
      <c r="D159">
        <f>PoolStates_V2!T159</f>
        <v>46.973238124018685</v>
      </c>
      <c r="E159">
        <f>PoolStates_V2!Q159</f>
        <v>2.349841644813825E-2</v>
      </c>
      <c r="F159">
        <f t="shared" si="117"/>
        <v>0</v>
      </c>
      <c r="G159">
        <f t="shared" si="118"/>
        <v>0</v>
      </c>
      <c r="H159">
        <f t="shared" si="119"/>
        <v>571.65852433702082</v>
      </c>
      <c r="I159">
        <f t="shared" si="80"/>
        <v>2.349841644813825E-2</v>
      </c>
      <c r="J159">
        <f t="shared" si="81"/>
        <v>0</v>
      </c>
      <c r="K159">
        <f t="shared" si="82"/>
        <v>0</v>
      </c>
      <c r="L159">
        <f t="shared" si="83"/>
        <v>0</v>
      </c>
      <c r="M159">
        <f t="shared" si="84"/>
        <v>0</v>
      </c>
      <c r="N159">
        <f t="shared" si="85"/>
        <v>0</v>
      </c>
      <c r="O159">
        <f t="shared" si="86"/>
        <v>571.63502592057273</v>
      </c>
      <c r="P159">
        <f>M159*Inputs!B6/12</f>
        <v>0</v>
      </c>
      <c r="Q159">
        <f t="shared" si="87"/>
        <v>0</v>
      </c>
      <c r="R159">
        <f>N159*Inputs!B6/12</f>
        <v>0</v>
      </c>
      <c r="S159">
        <f t="shared" si="88"/>
        <v>0</v>
      </c>
      <c r="T159">
        <f t="shared" si="89"/>
        <v>2.4216705950267947</v>
      </c>
      <c r="U159">
        <f t="shared" si="90"/>
        <v>0</v>
      </c>
      <c r="V159">
        <f t="shared" si="91"/>
        <v>2.4216705950267947</v>
      </c>
      <c r="W159">
        <f t="shared" si="92"/>
        <v>46.973238124018685</v>
      </c>
      <c r="X159">
        <f t="shared" si="93"/>
        <v>0</v>
      </c>
      <c r="Y159">
        <f t="shared" si="94"/>
        <v>0</v>
      </c>
      <c r="Z159">
        <f t="shared" si="95"/>
        <v>0</v>
      </c>
      <c r="AA159">
        <f t="shared" si="96"/>
        <v>0</v>
      </c>
      <c r="AB159">
        <f t="shared" si="97"/>
        <v>0</v>
      </c>
      <c r="AC159">
        <f t="shared" si="98"/>
        <v>46.973238124018685</v>
      </c>
      <c r="AD159">
        <f t="shared" si="99"/>
        <v>0</v>
      </c>
      <c r="AE159">
        <f t="shared" si="100"/>
        <v>46.973238124018685</v>
      </c>
      <c r="AF159">
        <f t="shared" si="101"/>
        <v>0</v>
      </c>
      <c r="AG159">
        <f t="shared" si="102"/>
        <v>46.973238124018685</v>
      </c>
      <c r="AH159">
        <f t="shared" si="103"/>
        <v>46.973238124018685</v>
      </c>
      <c r="AI159">
        <f t="shared" si="104"/>
        <v>0</v>
      </c>
      <c r="AJ159">
        <f t="shared" si="105"/>
        <v>0</v>
      </c>
      <c r="AK159">
        <f t="shared" si="106"/>
        <v>46.973238124018685</v>
      </c>
      <c r="AL159">
        <f t="shared" si="107"/>
        <v>0</v>
      </c>
      <c r="AM159">
        <f t="shared" si="108"/>
        <v>0</v>
      </c>
      <c r="AN159">
        <f t="shared" si="109"/>
        <v>46.973238124018685</v>
      </c>
      <c r="AO159">
        <f t="shared" si="110"/>
        <v>0</v>
      </c>
      <c r="AP159">
        <f t="shared" si="111"/>
        <v>0</v>
      </c>
      <c r="AQ159">
        <f t="shared" si="112"/>
        <v>0</v>
      </c>
      <c r="AR159">
        <f t="shared" si="113"/>
        <v>524.66178779655399</v>
      </c>
      <c r="AS159">
        <f t="shared" si="114"/>
        <v>0</v>
      </c>
      <c r="AT159">
        <f t="shared" si="115"/>
        <v>0</v>
      </c>
      <c r="AU159">
        <f t="shared" si="116"/>
        <v>0</v>
      </c>
    </row>
    <row r="160" spans="1:47" x14ac:dyDescent="0.2">
      <c r="A160">
        <v>159</v>
      </c>
      <c r="B160">
        <f>PoolStates_V2!B160</f>
        <v>0</v>
      </c>
      <c r="C160">
        <f>PoolStates_V2!S160</f>
        <v>2.2225418631004374</v>
      </c>
      <c r="D160">
        <f>PoolStates_V2!T160</f>
        <v>43.133111943086043</v>
      </c>
      <c r="E160">
        <f>PoolStates_V2!Q160</f>
        <v>2.1582455607706108E-2</v>
      </c>
      <c r="F160">
        <f t="shared" si="117"/>
        <v>0</v>
      </c>
      <c r="G160">
        <f t="shared" si="118"/>
        <v>0</v>
      </c>
      <c r="H160">
        <f t="shared" si="119"/>
        <v>524.66178779655399</v>
      </c>
      <c r="I160">
        <f t="shared" si="80"/>
        <v>2.1582455607706108E-2</v>
      </c>
      <c r="J160">
        <f t="shared" si="81"/>
        <v>0</v>
      </c>
      <c r="K160">
        <f t="shared" si="82"/>
        <v>0</v>
      </c>
      <c r="L160">
        <f t="shared" si="83"/>
        <v>0</v>
      </c>
      <c r="M160">
        <f t="shared" si="84"/>
        <v>0</v>
      </c>
      <c r="N160">
        <f t="shared" si="85"/>
        <v>0</v>
      </c>
      <c r="O160">
        <f t="shared" si="86"/>
        <v>524.6402053409463</v>
      </c>
      <c r="P160">
        <f>M160*Inputs!B6/12</f>
        <v>0</v>
      </c>
      <c r="Q160">
        <f t="shared" si="87"/>
        <v>0</v>
      </c>
      <c r="R160">
        <f>N160*Inputs!B6/12</f>
        <v>0</v>
      </c>
      <c r="S160">
        <f t="shared" si="88"/>
        <v>0</v>
      </c>
      <c r="T160">
        <f t="shared" si="89"/>
        <v>2.2225418631004374</v>
      </c>
      <c r="U160">
        <f t="shared" si="90"/>
        <v>0</v>
      </c>
      <c r="V160">
        <f t="shared" si="91"/>
        <v>2.2225418631004374</v>
      </c>
      <c r="W160">
        <f t="shared" si="92"/>
        <v>43.133111943086043</v>
      </c>
      <c r="X160">
        <f t="shared" si="93"/>
        <v>0</v>
      </c>
      <c r="Y160">
        <f t="shared" si="94"/>
        <v>0</v>
      </c>
      <c r="Z160">
        <f t="shared" si="95"/>
        <v>0</v>
      </c>
      <c r="AA160">
        <f t="shared" si="96"/>
        <v>0</v>
      </c>
      <c r="AB160">
        <f t="shared" si="97"/>
        <v>0</v>
      </c>
      <c r="AC160">
        <f t="shared" si="98"/>
        <v>43.133111943086043</v>
      </c>
      <c r="AD160">
        <f t="shared" si="99"/>
        <v>0</v>
      </c>
      <c r="AE160">
        <f t="shared" si="100"/>
        <v>43.133111943086043</v>
      </c>
      <c r="AF160">
        <f t="shared" si="101"/>
        <v>0</v>
      </c>
      <c r="AG160">
        <f t="shared" si="102"/>
        <v>43.133111943086043</v>
      </c>
      <c r="AH160">
        <f t="shared" si="103"/>
        <v>43.133111943086043</v>
      </c>
      <c r="AI160">
        <f t="shared" si="104"/>
        <v>0</v>
      </c>
      <c r="AJ160">
        <f t="shared" si="105"/>
        <v>0</v>
      </c>
      <c r="AK160">
        <f t="shared" si="106"/>
        <v>43.133111943086043</v>
      </c>
      <c r="AL160">
        <f t="shared" si="107"/>
        <v>0</v>
      </c>
      <c r="AM160">
        <f t="shared" si="108"/>
        <v>0</v>
      </c>
      <c r="AN160">
        <f t="shared" si="109"/>
        <v>43.133111943086043</v>
      </c>
      <c r="AO160">
        <f t="shared" si="110"/>
        <v>0</v>
      </c>
      <c r="AP160">
        <f t="shared" si="111"/>
        <v>0</v>
      </c>
      <c r="AQ160">
        <f t="shared" si="112"/>
        <v>0</v>
      </c>
      <c r="AR160">
        <f t="shared" si="113"/>
        <v>481.50709339786027</v>
      </c>
      <c r="AS160">
        <f t="shared" si="114"/>
        <v>0</v>
      </c>
      <c r="AT160">
        <f t="shared" si="115"/>
        <v>0</v>
      </c>
      <c r="AU160">
        <f t="shared" si="116"/>
        <v>0</v>
      </c>
    </row>
    <row r="161" spans="1:47" x14ac:dyDescent="0.2">
      <c r="A161">
        <v>160</v>
      </c>
      <c r="B161">
        <f>PoolStates_V2!B161</f>
        <v>0</v>
      </c>
      <c r="C161">
        <f>PoolStates_V2!S161</f>
        <v>2.0396949645854998</v>
      </c>
      <c r="D161">
        <f>PoolStates_V2!T161</f>
        <v>39.60542503125945</v>
      </c>
      <c r="E161">
        <f>PoolStates_V2!Q161</f>
        <v>1.9822019299274789E-2</v>
      </c>
      <c r="F161">
        <f t="shared" si="117"/>
        <v>0</v>
      </c>
      <c r="G161">
        <f t="shared" si="118"/>
        <v>0</v>
      </c>
      <c r="H161">
        <f t="shared" si="119"/>
        <v>481.50709339786027</v>
      </c>
      <c r="I161">
        <f t="shared" si="80"/>
        <v>1.9822019299274789E-2</v>
      </c>
      <c r="J161">
        <f t="shared" si="81"/>
        <v>0</v>
      </c>
      <c r="K161">
        <f t="shared" si="82"/>
        <v>0</v>
      </c>
      <c r="L161">
        <f t="shared" si="83"/>
        <v>0</v>
      </c>
      <c r="M161">
        <f t="shared" si="84"/>
        <v>0</v>
      </c>
      <c r="N161">
        <f t="shared" si="85"/>
        <v>0</v>
      </c>
      <c r="O161">
        <f t="shared" si="86"/>
        <v>481.48727137856099</v>
      </c>
      <c r="P161">
        <f>M161*Inputs!B6/12</f>
        <v>0</v>
      </c>
      <c r="Q161">
        <f t="shared" si="87"/>
        <v>0</v>
      </c>
      <c r="R161">
        <f>N161*Inputs!B6/12</f>
        <v>0</v>
      </c>
      <c r="S161">
        <f t="shared" si="88"/>
        <v>0</v>
      </c>
      <c r="T161">
        <f t="shared" si="89"/>
        <v>2.0396949645854998</v>
      </c>
      <c r="U161">
        <f t="shared" si="90"/>
        <v>0</v>
      </c>
      <c r="V161">
        <f t="shared" si="91"/>
        <v>2.0396949645854998</v>
      </c>
      <c r="W161">
        <f t="shared" si="92"/>
        <v>39.60542503125945</v>
      </c>
      <c r="X161">
        <f t="shared" si="93"/>
        <v>0</v>
      </c>
      <c r="Y161">
        <f t="shared" si="94"/>
        <v>0</v>
      </c>
      <c r="Z161">
        <f t="shared" si="95"/>
        <v>0</v>
      </c>
      <c r="AA161">
        <f t="shared" si="96"/>
        <v>0</v>
      </c>
      <c r="AB161">
        <f t="shared" si="97"/>
        <v>0</v>
      </c>
      <c r="AC161">
        <f t="shared" si="98"/>
        <v>39.60542503125945</v>
      </c>
      <c r="AD161">
        <f t="shared" si="99"/>
        <v>0</v>
      </c>
      <c r="AE161">
        <f t="shared" si="100"/>
        <v>39.60542503125945</v>
      </c>
      <c r="AF161">
        <f t="shared" si="101"/>
        <v>0</v>
      </c>
      <c r="AG161">
        <f t="shared" si="102"/>
        <v>39.60542503125945</v>
      </c>
      <c r="AH161">
        <f t="shared" si="103"/>
        <v>39.60542503125945</v>
      </c>
      <c r="AI161">
        <f t="shared" si="104"/>
        <v>0</v>
      </c>
      <c r="AJ161">
        <f t="shared" si="105"/>
        <v>0</v>
      </c>
      <c r="AK161">
        <f t="shared" si="106"/>
        <v>39.60542503125945</v>
      </c>
      <c r="AL161">
        <f t="shared" si="107"/>
        <v>0</v>
      </c>
      <c r="AM161">
        <f t="shared" si="108"/>
        <v>0</v>
      </c>
      <c r="AN161">
        <f t="shared" si="109"/>
        <v>39.60542503125945</v>
      </c>
      <c r="AO161">
        <f t="shared" si="110"/>
        <v>0</v>
      </c>
      <c r="AP161">
        <f t="shared" si="111"/>
        <v>0</v>
      </c>
      <c r="AQ161">
        <f t="shared" si="112"/>
        <v>0</v>
      </c>
      <c r="AR161">
        <f t="shared" si="113"/>
        <v>441.88184634730152</v>
      </c>
      <c r="AS161">
        <f t="shared" si="114"/>
        <v>0</v>
      </c>
      <c r="AT161">
        <f t="shared" si="115"/>
        <v>0</v>
      </c>
      <c r="AU161">
        <f t="shared" si="116"/>
        <v>0</v>
      </c>
    </row>
    <row r="162" spans="1:47" x14ac:dyDescent="0.2">
      <c r="A162">
        <v>161</v>
      </c>
      <c r="B162">
        <f>PoolStates_V2!B162</f>
        <v>0</v>
      </c>
      <c r="C162">
        <f>PoolStates_V2!S162</f>
        <v>1.8718049846641653</v>
      </c>
      <c r="D162">
        <f>PoolStates_V2!T162</f>
        <v>36.364861076356704</v>
      </c>
      <c r="E162">
        <f>PoolStates_V2!Q162</f>
        <v>1.8204532026777808E-2</v>
      </c>
      <c r="F162">
        <f t="shared" si="117"/>
        <v>0</v>
      </c>
      <c r="G162">
        <f t="shared" si="118"/>
        <v>0</v>
      </c>
      <c r="H162">
        <f t="shared" si="119"/>
        <v>441.88184634730152</v>
      </c>
      <c r="I162">
        <f t="shared" si="80"/>
        <v>1.8204532026777808E-2</v>
      </c>
      <c r="J162">
        <f t="shared" si="81"/>
        <v>0</v>
      </c>
      <c r="K162">
        <f t="shared" si="82"/>
        <v>0</v>
      </c>
      <c r="L162">
        <f t="shared" si="83"/>
        <v>0</v>
      </c>
      <c r="M162">
        <f t="shared" si="84"/>
        <v>0</v>
      </c>
      <c r="N162">
        <f t="shared" si="85"/>
        <v>0</v>
      </c>
      <c r="O162">
        <f t="shared" si="86"/>
        <v>441.86364181527472</v>
      </c>
      <c r="P162">
        <f>M162*Inputs!B6/12</f>
        <v>0</v>
      </c>
      <c r="Q162">
        <f t="shared" si="87"/>
        <v>0</v>
      </c>
      <c r="R162">
        <f>N162*Inputs!B6/12</f>
        <v>0</v>
      </c>
      <c r="S162">
        <f t="shared" si="88"/>
        <v>0</v>
      </c>
      <c r="T162">
        <f t="shared" si="89"/>
        <v>1.8718049846641653</v>
      </c>
      <c r="U162">
        <f t="shared" si="90"/>
        <v>0</v>
      </c>
      <c r="V162">
        <f t="shared" si="91"/>
        <v>1.8718049846641653</v>
      </c>
      <c r="W162">
        <f t="shared" si="92"/>
        <v>36.364861076356704</v>
      </c>
      <c r="X162">
        <f t="shared" si="93"/>
        <v>0</v>
      </c>
      <c r="Y162">
        <f t="shared" si="94"/>
        <v>0</v>
      </c>
      <c r="Z162">
        <f t="shared" si="95"/>
        <v>0</v>
      </c>
      <c r="AA162">
        <f t="shared" si="96"/>
        <v>0</v>
      </c>
      <c r="AB162">
        <f t="shared" si="97"/>
        <v>0</v>
      </c>
      <c r="AC162">
        <f t="shared" si="98"/>
        <v>36.364861076356704</v>
      </c>
      <c r="AD162">
        <f t="shared" si="99"/>
        <v>0</v>
      </c>
      <c r="AE162">
        <f t="shared" si="100"/>
        <v>36.364861076356704</v>
      </c>
      <c r="AF162">
        <f t="shared" si="101"/>
        <v>0</v>
      </c>
      <c r="AG162">
        <f t="shared" si="102"/>
        <v>36.364861076356704</v>
      </c>
      <c r="AH162">
        <f t="shared" si="103"/>
        <v>36.364861076356704</v>
      </c>
      <c r="AI162">
        <f t="shared" si="104"/>
        <v>0</v>
      </c>
      <c r="AJ162">
        <f t="shared" si="105"/>
        <v>0</v>
      </c>
      <c r="AK162">
        <f t="shared" si="106"/>
        <v>36.364861076356704</v>
      </c>
      <c r="AL162">
        <f t="shared" si="107"/>
        <v>0</v>
      </c>
      <c r="AM162">
        <f t="shared" si="108"/>
        <v>0</v>
      </c>
      <c r="AN162">
        <f t="shared" si="109"/>
        <v>36.364861076356704</v>
      </c>
      <c r="AO162">
        <f t="shared" si="110"/>
        <v>0</v>
      </c>
      <c r="AP162">
        <f t="shared" si="111"/>
        <v>0</v>
      </c>
      <c r="AQ162">
        <f t="shared" si="112"/>
        <v>0</v>
      </c>
      <c r="AR162">
        <f t="shared" si="113"/>
        <v>405.49878073891801</v>
      </c>
      <c r="AS162">
        <f t="shared" si="114"/>
        <v>0</v>
      </c>
      <c r="AT162">
        <f t="shared" si="115"/>
        <v>0</v>
      </c>
      <c r="AU162">
        <f t="shared" si="116"/>
        <v>0</v>
      </c>
    </row>
    <row r="163" spans="1:47" x14ac:dyDescent="0.2">
      <c r="A163">
        <v>162</v>
      </c>
      <c r="B163">
        <f>PoolStates_V2!B163</f>
        <v>0</v>
      </c>
      <c r="C163">
        <f>PoolStates_V2!S163</f>
        <v>1.7176543777547142</v>
      </c>
      <c r="D163">
        <f>PoolStates_V2!T163</f>
        <v>33.388147788859655</v>
      </c>
      <c r="E163">
        <f>PoolStates_V2!Q163</f>
        <v>1.6718431647985744E-2</v>
      </c>
      <c r="F163">
        <f t="shared" si="117"/>
        <v>0</v>
      </c>
      <c r="G163">
        <f t="shared" si="118"/>
        <v>0</v>
      </c>
      <c r="H163">
        <f t="shared" si="119"/>
        <v>405.49878073891801</v>
      </c>
      <c r="I163">
        <f t="shared" si="80"/>
        <v>1.6718431647985744E-2</v>
      </c>
      <c r="J163">
        <f t="shared" si="81"/>
        <v>0</v>
      </c>
      <c r="K163">
        <f t="shared" si="82"/>
        <v>0</v>
      </c>
      <c r="L163">
        <f t="shared" si="83"/>
        <v>0</v>
      </c>
      <c r="M163">
        <f t="shared" si="84"/>
        <v>0</v>
      </c>
      <c r="N163">
        <f t="shared" si="85"/>
        <v>0</v>
      </c>
      <c r="O163">
        <f t="shared" si="86"/>
        <v>405.48206230727004</v>
      </c>
      <c r="P163">
        <f>M163*Inputs!B6/12</f>
        <v>0</v>
      </c>
      <c r="Q163">
        <f t="shared" si="87"/>
        <v>0</v>
      </c>
      <c r="R163">
        <f>N163*Inputs!B6/12</f>
        <v>0</v>
      </c>
      <c r="S163">
        <f t="shared" si="88"/>
        <v>0</v>
      </c>
      <c r="T163">
        <f t="shared" si="89"/>
        <v>1.7176543777547142</v>
      </c>
      <c r="U163">
        <f t="shared" si="90"/>
        <v>0</v>
      </c>
      <c r="V163">
        <f t="shared" si="91"/>
        <v>1.7176543777547142</v>
      </c>
      <c r="W163">
        <f t="shared" si="92"/>
        <v>33.388147788859655</v>
      </c>
      <c r="X163">
        <f t="shared" si="93"/>
        <v>0</v>
      </c>
      <c r="Y163">
        <f t="shared" si="94"/>
        <v>0</v>
      </c>
      <c r="Z163">
        <f t="shared" si="95"/>
        <v>0</v>
      </c>
      <c r="AA163">
        <f t="shared" si="96"/>
        <v>0</v>
      </c>
      <c r="AB163">
        <f t="shared" si="97"/>
        <v>0</v>
      </c>
      <c r="AC163">
        <f t="shared" si="98"/>
        <v>33.388147788859655</v>
      </c>
      <c r="AD163">
        <f t="shared" si="99"/>
        <v>0</v>
      </c>
      <c r="AE163">
        <f t="shared" si="100"/>
        <v>33.388147788859655</v>
      </c>
      <c r="AF163">
        <f t="shared" si="101"/>
        <v>0</v>
      </c>
      <c r="AG163">
        <f t="shared" si="102"/>
        <v>33.388147788859655</v>
      </c>
      <c r="AH163">
        <f t="shared" si="103"/>
        <v>33.388147788859655</v>
      </c>
      <c r="AI163">
        <f t="shared" si="104"/>
        <v>0</v>
      </c>
      <c r="AJ163">
        <f t="shared" si="105"/>
        <v>0</v>
      </c>
      <c r="AK163">
        <f t="shared" si="106"/>
        <v>33.388147788859655</v>
      </c>
      <c r="AL163">
        <f t="shared" si="107"/>
        <v>0</v>
      </c>
      <c r="AM163">
        <f t="shared" si="108"/>
        <v>0</v>
      </c>
      <c r="AN163">
        <f t="shared" si="109"/>
        <v>33.388147788859655</v>
      </c>
      <c r="AO163">
        <f t="shared" si="110"/>
        <v>0</v>
      </c>
      <c r="AP163">
        <f t="shared" si="111"/>
        <v>0</v>
      </c>
      <c r="AQ163">
        <f t="shared" si="112"/>
        <v>0</v>
      </c>
      <c r="AR163">
        <f t="shared" si="113"/>
        <v>372.09391451841037</v>
      </c>
      <c r="AS163">
        <f t="shared" si="114"/>
        <v>0</v>
      </c>
      <c r="AT163">
        <f t="shared" si="115"/>
        <v>0</v>
      </c>
      <c r="AU163">
        <f t="shared" si="116"/>
        <v>0</v>
      </c>
    </row>
    <row r="164" spans="1:47" x14ac:dyDescent="0.2">
      <c r="A164">
        <v>163</v>
      </c>
      <c r="B164">
        <f>PoolStates_V2!B164</f>
        <v>0</v>
      </c>
      <c r="C164">
        <f>PoolStates_V2!S164</f>
        <v>1.5761242975552237</v>
      </c>
      <c r="D164">
        <f>PoolStates_V2!T164</f>
        <v>30.653892382837963</v>
      </c>
      <c r="E164">
        <f>PoolStates_V2!Q164</f>
        <v>1.5353087968683808E-2</v>
      </c>
      <c r="F164">
        <f t="shared" si="117"/>
        <v>0</v>
      </c>
      <c r="G164">
        <f t="shared" si="118"/>
        <v>0</v>
      </c>
      <c r="H164">
        <f t="shared" si="119"/>
        <v>372.09391451841037</v>
      </c>
      <c r="I164">
        <f t="shared" si="80"/>
        <v>1.5353087968683808E-2</v>
      </c>
      <c r="J164">
        <f t="shared" si="81"/>
        <v>0</v>
      </c>
      <c r="K164">
        <f t="shared" si="82"/>
        <v>0</v>
      </c>
      <c r="L164">
        <f t="shared" si="83"/>
        <v>0</v>
      </c>
      <c r="M164">
        <f t="shared" si="84"/>
        <v>0</v>
      </c>
      <c r="N164">
        <f t="shared" si="85"/>
        <v>0</v>
      </c>
      <c r="O164">
        <f t="shared" si="86"/>
        <v>372.07856143044171</v>
      </c>
      <c r="P164">
        <f>M164*Inputs!B6/12</f>
        <v>0</v>
      </c>
      <c r="Q164">
        <f t="shared" si="87"/>
        <v>0</v>
      </c>
      <c r="R164">
        <f>N164*Inputs!B6/12</f>
        <v>0</v>
      </c>
      <c r="S164">
        <f t="shared" si="88"/>
        <v>0</v>
      </c>
      <c r="T164">
        <f t="shared" si="89"/>
        <v>1.5761242975552237</v>
      </c>
      <c r="U164">
        <f t="shared" si="90"/>
        <v>0</v>
      </c>
      <c r="V164">
        <f t="shared" si="91"/>
        <v>1.5761242975552237</v>
      </c>
      <c r="W164">
        <f t="shared" si="92"/>
        <v>30.653892382837963</v>
      </c>
      <c r="X164">
        <f t="shared" si="93"/>
        <v>0</v>
      </c>
      <c r="Y164">
        <f t="shared" si="94"/>
        <v>0</v>
      </c>
      <c r="Z164">
        <f t="shared" si="95"/>
        <v>0</v>
      </c>
      <c r="AA164">
        <f t="shared" si="96"/>
        <v>0</v>
      </c>
      <c r="AB164">
        <f t="shared" si="97"/>
        <v>0</v>
      </c>
      <c r="AC164">
        <f t="shared" si="98"/>
        <v>30.653892382837963</v>
      </c>
      <c r="AD164">
        <f t="shared" si="99"/>
        <v>0</v>
      </c>
      <c r="AE164">
        <f t="shared" si="100"/>
        <v>30.653892382837963</v>
      </c>
      <c r="AF164">
        <f t="shared" si="101"/>
        <v>0</v>
      </c>
      <c r="AG164">
        <f t="shared" si="102"/>
        <v>30.653892382837963</v>
      </c>
      <c r="AH164">
        <f t="shared" si="103"/>
        <v>30.653892382837963</v>
      </c>
      <c r="AI164">
        <f t="shared" si="104"/>
        <v>0</v>
      </c>
      <c r="AJ164">
        <f t="shared" si="105"/>
        <v>0</v>
      </c>
      <c r="AK164">
        <f t="shared" si="106"/>
        <v>30.653892382837963</v>
      </c>
      <c r="AL164">
        <f t="shared" si="107"/>
        <v>0</v>
      </c>
      <c r="AM164">
        <f t="shared" si="108"/>
        <v>0</v>
      </c>
      <c r="AN164">
        <f t="shared" si="109"/>
        <v>30.653892382837963</v>
      </c>
      <c r="AO164">
        <f t="shared" si="110"/>
        <v>0</v>
      </c>
      <c r="AP164">
        <f t="shared" si="111"/>
        <v>0</v>
      </c>
      <c r="AQ164">
        <f t="shared" si="112"/>
        <v>0</v>
      </c>
      <c r="AR164">
        <f t="shared" si="113"/>
        <v>341.42466904760374</v>
      </c>
      <c r="AS164">
        <f t="shared" si="114"/>
        <v>0</v>
      </c>
      <c r="AT164">
        <f t="shared" si="115"/>
        <v>0</v>
      </c>
      <c r="AU164">
        <f t="shared" si="116"/>
        <v>0</v>
      </c>
    </row>
    <row r="165" spans="1:47" x14ac:dyDescent="0.2">
      <c r="A165">
        <v>164</v>
      </c>
      <c r="B165">
        <f>PoolStates_V2!B165</f>
        <v>0</v>
      </c>
      <c r="C165">
        <f>PoolStates_V2!S165</f>
        <v>1.4461866249920377</v>
      </c>
      <c r="D165">
        <f>PoolStates_V2!T165</f>
        <v>28.142430262397099</v>
      </c>
      <c r="E165">
        <f>PoolStates_V2!Q165</f>
        <v>1.4098727857792809E-2</v>
      </c>
      <c r="F165">
        <f t="shared" si="117"/>
        <v>0</v>
      </c>
      <c r="G165">
        <f t="shared" si="118"/>
        <v>0</v>
      </c>
      <c r="H165">
        <f t="shared" si="119"/>
        <v>341.42466904760374</v>
      </c>
      <c r="I165">
        <f t="shared" si="80"/>
        <v>1.4098727857792809E-2</v>
      </c>
      <c r="J165">
        <f t="shared" si="81"/>
        <v>0</v>
      </c>
      <c r="K165">
        <f t="shared" si="82"/>
        <v>0</v>
      </c>
      <c r="L165">
        <f t="shared" si="83"/>
        <v>0</v>
      </c>
      <c r="M165">
        <f t="shared" si="84"/>
        <v>0</v>
      </c>
      <c r="N165">
        <f t="shared" si="85"/>
        <v>0</v>
      </c>
      <c r="O165">
        <f t="shared" si="86"/>
        <v>341.41057031974594</v>
      </c>
      <c r="P165">
        <f>M165*Inputs!B6/12</f>
        <v>0</v>
      </c>
      <c r="Q165">
        <f t="shared" si="87"/>
        <v>0</v>
      </c>
      <c r="R165">
        <f>N165*Inputs!B6/12</f>
        <v>0</v>
      </c>
      <c r="S165">
        <f t="shared" si="88"/>
        <v>0</v>
      </c>
      <c r="T165">
        <f t="shared" si="89"/>
        <v>1.4461866249920377</v>
      </c>
      <c r="U165">
        <f t="shared" si="90"/>
        <v>0</v>
      </c>
      <c r="V165">
        <f t="shared" si="91"/>
        <v>1.4461866249920377</v>
      </c>
      <c r="W165">
        <f t="shared" si="92"/>
        <v>28.142430262397099</v>
      </c>
      <c r="X165">
        <f t="shared" si="93"/>
        <v>0</v>
      </c>
      <c r="Y165">
        <f t="shared" si="94"/>
        <v>0</v>
      </c>
      <c r="Z165">
        <f t="shared" si="95"/>
        <v>0</v>
      </c>
      <c r="AA165">
        <f t="shared" si="96"/>
        <v>0</v>
      </c>
      <c r="AB165">
        <f t="shared" si="97"/>
        <v>0</v>
      </c>
      <c r="AC165">
        <f t="shared" si="98"/>
        <v>28.142430262397099</v>
      </c>
      <c r="AD165">
        <f t="shared" si="99"/>
        <v>0</v>
      </c>
      <c r="AE165">
        <f t="shared" si="100"/>
        <v>28.142430262397099</v>
      </c>
      <c r="AF165">
        <f t="shared" si="101"/>
        <v>0</v>
      </c>
      <c r="AG165">
        <f t="shared" si="102"/>
        <v>28.142430262397099</v>
      </c>
      <c r="AH165">
        <f t="shared" si="103"/>
        <v>28.142430262397099</v>
      </c>
      <c r="AI165">
        <f t="shared" si="104"/>
        <v>0</v>
      </c>
      <c r="AJ165">
        <f t="shared" si="105"/>
        <v>0</v>
      </c>
      <c r="AK165">
        <f t="shared" si="106"/>
        <v>28.142430262397099</v>
      </c>
      <c r="AL165">
        <f t="shared" si="107"/>
        <v>0</v>
      </c>
      <c r="AM165">
        <f t="shared" si="108"/>
        <v>0</v>
      </c>
      <c r="AN165">
        <f t="shared" si="109"/>
        <v>28.142430262397099</v>
      </c>
      <c r="AO165">
        <f t="shared" si="110"/>
        <v>0</v>
      </c>
      <c r="AP165">
        <f t="shared" si="111"/>
        <v>0</v>
      </c>
      <c r="AQ165">
        <f t="shared" si="112"/>
        <v>0</v>
      </c>
      <c r="AR165">
        <f t="shared" si="113"/>
        <v>313.26814005734883</v>
      </c>
      <c r="AS165">
        <f t="shared" si="114"/>
        <v>0</v>
      </c>
      <c r="AT165">
        <f t="shared" si="115"/>
        <v>0</v>
      </c>
      <c r="AU165">
        <f t="shared" si="116"/>
        <v>0</v>
      </c>
    </row>
    <row r="166" spans="1:47" x14ac:dyDescent="0.2">
      <c r="A166">
        <v>165</v>
      </c>
      <c r="B166">
        <f>PoolStates_V2!B166</f>
        <v>0</v>
      </c>
      <c r="C166">
        <f>PoolStates_V2!S166</f>
        <v>1.3268966380477636</v>
      </c>
      <c r="D166">
        <f>PoolStates_V2!T166</f>
        <v>25.835685856240591</v>
      </c>
      <c r="E166">
        <f>PoolStates_V2!Q166</f>
        <v>1.294636636250744E-2</v>
      </c>
      <c r="F166">
        <f t="shared" si="117"/>
        <v>0</v>
      </c>
      <c r="G166">
        <f t="shared" si="118"/>
        <v>0</v>
      </c>
      <c r="H166">
        <f t="shared" si="119"/>
        <v>313.26814005734883</v>
      </c>
      <c r="I166">
        <f t="shared" si="80"/>
        <v>1.294636636250744E-2</v>
      </c>
      <c r="J166">
        <f t="shared" si="81"/>
        <v>0</v>
      </c>
      <c r="K166">
        <f t="shared" si="82"/>
        <v>0</v>
      </c>
      <c r="L166">
        <f t="shared" si="83"/>
        <v>0</v>
      </c>
      <c r="M166">
        <f t="shared" si="84"/>
        <v>0</v>
      </c>
      <c r="N166">
        <f t="shared" si="85"/>
        <v>0</v>
      </c>
      <c r="O166">
        <f t="shared" si="86"/>
        <v>313.25519369098635</v>
      </c>
      <c r="P166">
        <f>M166*Inputs!B6/12</f>
        <v>0</v>
      </c>
      <c r="Q166">
        <f t="shared" si="87"/>
        <v>0</v>
      </c>
      <c r="R166">
        <f>N166*Inputs!B6/12</f>
        <v>0</v>
      </c>
      <c r="S166">
        <f t="shared" si="88"/>
        <v>0</v>
      </c>
      <c r="T166">
        <f t="shared" si="89"/>
        <v>1.3268966380477636</v>
      </c>
      <c r="U166">
        <f t="shared" si="90"/>
        <v>0</v>
      </c>
      <c r="V166">
        <f t="shared" si="91"/>
        <v>1.3268966380477636</v>
      </c>
      <c r="W166">
        <f t="shared" si="92"/>
        <v>25.835685856240591</v>
      </c>
      <c r="X166">
        <f t="shared" si="93"/>
        <v>0</v>
      </c>
      <c r="Y166">
        <f t="shared" si="94"/>
        <v>0</v>
      </c>
      <c r="Z166">
        <f t="shared" si="95"/>
        <v>0</v>
      </c>
      <c r="AA166">
        <f t="shared" si="96"/>
        <v>0</v>
      </c>
      <c r="AB166">
        <f t="shared" si="97"/>
        <v>0</v>
      </c>
      <c r="AC166">
        <f t="shared" si="98"/>
        <v>25.835685856240591</v>
      </c>
      <c r="AD166">
        <f t="shared" si="99"/>
        <v>0</v>
      </c>
      <c r="AE166">
        <f t="shared" si="100"/>
        <v>25.835685856240591</v>
      </c>
      <c r="AF166">
        <f t="shared" si="101"/>
        <v>0</v>
      </c>
      <c r="AG166">
        <f t="shared" si="102"/>
        <v>25.835685856240591</v>
      </c>
      <c r="AH166">
        <f t="shared" si="103"/>
        <v>25.835685856240591</v>
      </c>
      <c r="AI166">
        <f t="shared" si="104"/>
        <v>0</v>
      </c>
      <c r="AJ166">
        <f t="shared" si="105"/>
        <v>0</v>
      </c>
      <c r="AK166">
        <f t="shared" si="106"/>
        <v>25.835685856240591</v>
      </c>
      <c r="AL166">
        <f t="shared" si="107"/>
        <v>0</v>
      </c>
      <c r="AM166">
        <f t="shared" si="108"/>
        <v>0</v>
      </c>
      <c r="AN166">
        <f t="shared" si="109"/>
        <v>25.835685856240591</v>
      </c>
      <c r="AO166">
        <f t="shared" si="110"/>
        <v>0</v>
      </c>
      <c r="AP166">
        <f t="shared" si="111"/>
        <v>0</v>
      </c>
      <c r="AQ166">
        <f t="shared" si="112"/>
        <v>0</v>
      </c>
      <c r="AR166">
        <f t="shared" si="113"/>
        <v>287.41950783474573</v>
      </c>
      <c r="AS166">
        <f t="shared" si="114"/>
        <v>0</v>
      </c>
      <c r="AT166">
        <f t="shared" si="115"/>
        <v>0</v>
      </c>
      <c r="AU166">
        <f t="shared" si="116"/>
        <v>0</v>
      </c>
    </row>
    <row r="167" spans="1:47" x14ac:dyDescent="0.2">
      <c r="A167">
        <v>166</v>
      </c>
      <c r="B167">
        <f>PoolStates_V2!B167</f>
        <v>0</v>
      </c>
      <c r="C167">
        <f>PoolStates_V2!S167</f>
        <v>1.2173862719301922</v>
      </c>
      <c r="D167">
        <f>PoolStates_V2!T167</f>
        <v>23.717044627425615</v>
      </c>
      <c r="E167">
        <f>PoolStates_V2!Q167</f>
        <v>1.1887743344024612E-2</v>
      </c>
      <c r="F167">
        <f t="shared" si="117"/>
        <v>0</v>
      </c>
      <c r="G167">
        <f t="shared" si="118"/>
        <v>0</v>
      </c>
      <c r="H167">
        <f t="shared" si="119"/>
        <v>287.41950783474573</v>
      </c>
      <c r="I167">
        <f t="shared" si="80"/>
        <v>1.1887743344024612E-2</v>
      </c>
      <c r="J167">
        <f t="shared" si="81"/>
        <v>0</v>
      </c>
      <c r="K167">
        <f t="shared" si="82"/>
        <v>0</v>
      </c>
      <c r="L167">
        <f t="shared" si="83"/>
        <v>0</v>
      </c>
      <c r="M167">
        <f t="shared" si="84"/>
        <v>0</v>
      </c>
      <c r="N167">
        <f t="shared" si="85"/>
        <v>0</v>
      </c>
      <c r="O167">
        <f t="shared" si="86"/>
        <v>287.40762009140172</v>
      </c>
      <c r="P167">
        <f>M167*Inputs!B6/12</f>
        <v>0</v>
      </c>
      <c r="Q167">
        <f t="shared" si="87"/>
        <v>0</v>
      </c>
      <c r="R167">
        <f>N167*Inputs!B6/12</f>
        <v>0</v>
      </c>
      <c r="S167">
        <f t="shared" si="88"/>
        <v>0</v>
      </c>
      <c r="T167">
        <f t="shared" si="89"/>
        <v>1.2173862719301922</v>
      </c>
      <c r="U167">
        <f t="shared" si="90"/>
        <v>0</v>
      </c>
      <c r="V167">
        <f t="shared" si="91"/>
        <v>1.2173862719301922</v>
      </c>
      <c r="W167">
        <f t="shared" si="92"/>
        <v>23.717044627425615</v>
      </c>
      <c r="X167">
        <f t="shared" si="93"/>
        <v>0</v>
      </c>
      <c r="Y167">
        <f t="shared" si="94"/>
        <v>0</v>
      </c>
      <c r="Z167">
        <f t="shared" si="95"/>
        <v>0</v>
      </c>
      <c r="AA167">
        <f t="shared" si="96"/>
        <v>0</v>
      </c>
      <c r="AB167">
        <f t="shared" si="97"/>
        <v>0</v>
      </c>
      <c r="AC167">
        <f t="shared" si="98"/>
        <v>23.717044627425615</v>
      </c>
      <c r="AD167">
        <f t="shared" si="99"/>
        <v>0</v>
      </c>
      <c r="AE167">
        <f t="shared" si="100"/>
        <v>23.717044627425615</v>
      </c>
      <c r="AF167">
        <f t="shared" si="101"/>
        <v>0</v>
      </c>
      <c r="AG167">
        <f t="shared" si="102"/>
        <v>23.717044627425615</v>
      </c>
      <c r="AH167">
        <f t="shared" si="103"/>
        <v>23.717044627425615</v>
      </c>
      <c r="AI167">
        <f t="shared" si="104"/>
        <v>0</v>
      </c>
      <c r="AJ167">
        <f t="shared" si="105"/>
        <v>0</v>
      </c>
      <c r="AK167">
        <f t="shared" si="106"/>
        <v>23.717044627425615</v>
      </c>
      <c r="AL167">
        <f t="shared" si="107"/>
        <v>0</v>
      </c>
      <c r="AM167">
        <f t="shared" si="108"/>
        <v>0</v>
      </c>
      <c r="AN167">
        <f t="shared" si="109"/>
        <v>23.717044627425615</v>
      </c>
      <c r="AO167">
        <f t="shared" si="110"/>
        <v>0</v>
      </c>
      <c r="AP167">
        <f t="shared" si="111"/>
        <v>0</v>
      </c>
      <c r="AQ167">
        <f t="shared" si="112"/>
        <v>0</v>
      </c>
      <c r="AR167">
        <f t="shared" si="113"/>
        <v>263.69057546397613</v>
      </c>
      <c r="AS167">
        <f t="shared" si="114"/>
        <v>0</v>
      </c>
      <c r="AT167">
        <f t="shared" si="115"/>
        <v>0</v>
      </c>
      <c r="AU167">
        <f t="shared" si="116"/>
        <v>0</v>
      </c>
    </row>
    <row r="168" spans="1:47" x14ac:dyDescent="0.2">
      <c r="A168">
        <v>167</v>
      </c>
      <c r="B168">
        <f>PoolStates_V2!B168</f>
        <v>0</v>
      </c>
      <c r="C168">
        <f>PoolStates_V2!S168</f>
        <v>1.1168579221716703</v>
      </c>
      <c r="D168">
        <f>PoolStates_V2!T168</f>
        <v>21.771235363142374</v>
      </c>
      <c r="E168">
        <f>PoolStates_V2!Q168</f>
        <v>1.0915265192637405E-2</v>
      </c>
      <c r="F168">
        <f t="shared" si="117"/>
        <v>0</v>
      </c>
      <c r="G168">
        <f t="shared" si="118"/>
        <v>0</v>
      </c>
      <c r="H168">
        <f t="shared" si="119"/>
        <v>263.69057546397613</v>
      </c>
      <c r="I168">
        <f t="shared" si="80"/>
        <v>1.0915265192637405E-2</v>
      </c>
      <c r="J168">
        <f t="shared" si="81"/>
        <v>0</v>
      </c>
      <c r="K168">
        <f t="shared" si="82"/>
        <v>0</v>
      </c>
      <c r="L168">
        <f t="shared" si="83"/>
        <v>0</v>
      </c>
      <c r="M168">
        <f t="shared" si="84"/>
        <v>0</v>
      </c>
      <c r="N168">
        <f t="shared" si="85"/>
        <v>0</v>
      </c>
      <c r="O168">
        <f t="shared" si="86"/>
        <v>263.67966019878349</v>
      </c>
      <c r="P168">
        <f>M168*Inputs!B6/12</f>
        <v>0</v>
      </c>
      <c r="Q168">
        <f t="shared" si="87"/>
        <v>0</v>
      </c>
      <c r="R168">
        <f>N168*Inputs!B6/12</f>
        <v>0</v>
      </c>
      <c r="S168">
        <f t="shared" si="88"/>
        <v>0</v>
      </c>
      <c r="T168">
        <f t="shared" si="89"/>
        <v>1.1168579221716703</v>
      </c>
      <c r="U168">
        <f t="shared" si="90"/>
        <v>0</v>
      </c>
      <c r="V168">
        <f t="shared" si="91"/>
        <v>1.1168579221716703</v>
      </c>
      <c r="W168">
        <f t="shared" si="92"/>
        <v>21.771235363142374</v>
      </c>
      <c r="X168">
        <f t="shared" si="93"/>
        <v>0</v>
      </c>
      <c r="Y168">
        <f t="shared" si="94"/>
        <v>0</v>
      </c>
      <c r="Z168">
        <f t="shared" si="95"/>
        <v>0</v>
      </c>
      <c r="AA168">
        <f t="shared" si="96"/>
        <v>0</v>
      </c>
      <c r="AB168">
        <f t="shared" si="97"/>
        <v>0</v>
      </c>
      <c r="AC168">
        <f t="shared" si="98"/>
        <v>21.771235363142374</v>
      </c>
      <c r="AD168">
        <f t="shared" si="99"/>
        <v>0</v>
      </c>
      <c r="AE168">
        <f t="shared" si="100"/>
        <v>21.771235363142374</v>
      </c>
      <c r="AF168">
        <f t="shared" si="101"/>
        <v>0</v>
      </c>
      <c r="AG168">
        <f t="shared" si="102"/>
        <v>21.771235363142374</v>
      </c>
      <c r="AH168">
        <f t="shared" si="103"/>
        <v>21.771235363142374</v>
      </c>
      <c r="AI168">
        <f t="shared" si="104"/>
        <v>0</v>
      </c>
      <c r="AJ168">
        <f t="shared" si="105"/>
        <v>0</v>
      </c>
      <c r="AK168">
        <f t="shared" si="106"/>
        <v>21.771235363142374</v>
      </c>
      <c r="AL168">
        <f t="shared" si="107"/>
        <v>0</v>
      </c>
      <c r="AM168">
        <f t="shared" si="108"/>
        <v>0</v>
      </c>
      <c r="AN168">
        <f t="shared" si="109"/>
        <v>21.771235363142374</v>
      </c>
      <c r="AO168">
        <f t="shared" si="110"/>
        <v>0</v>
      </c>
      <c r="AP168">
        <f t="shared" si="111"/>
        <v>0</v>
      </c>
      <c r="AQ168">
        <f t="shared" si="112"/>
        <v>0</v>
      </c>
      <c r="AR168">
        <f t="shared" si="113"/>
        <v>241.90842483564111</v>
      </c>
      <c r="AS168">
        <f t="shared" si="114"/>
        <v>0</v>
      </c>
      <c r="AT168">
        <f t="shared" si="115"/>
        <v>0</v>
      </c>
      <c r="AU168">
        <f t="shared" si="116"/>
        <v>0</v>
      </c>
    </row>
    <row r="169" spans="1:47" x14ac:dyDescent="0.2">
      <c r="A169">
        <v>168</v>
      </c>
      <c r="B169">
        <f>PoolStates_V2!B169</f>
        <v>0</v>
      </c>
      <c r="C169">
        <f>PoolStates_V2!S169</f>
        <v>1.024578747046613</v>
      </c>
      <c r="D169">
        <f>PoolStates_V2!T169</f>
        <v>19.98422192089669</v>
      </c>
      <c r="E169">
        <f>PoolStates_V2!Q169</f>
        <v>1.0021951216138017E-2</v>
      </c>
      <c r="F169">
        <f t="shared" si="117"/>
        <v>0</v>
      </c>
      <c r="G169">
        <f t="shared" si="118"/>
        <v>0</v>
      </c>
      <c r="H169">
        <f t="shared" si="119"/>
        <v>241.90842483564111</v>
      </c>
      <c r="I169">
        <f t="shared" si="80"/>
        <v>1.0021951216138017E-2</v>
      </c>
      <c r="J169">
        <f t="shared" si="81"/>
        <v>0</v>
      </c>
      <c r="K169">
        <f t="shared" si="82"/>
        <v>0</v>
      </c>
      <c r="L169">
        <f t="shared" si="83"/>
        <v>0</v>
      </c>
      <c r="M169">
        <f t="shared" si="84"/>
        <v>0</v>
      </c>
      <c r="N169">
        <f t="shared" si="85"/>
        <v>0</v>
      </c>
      <c r="O169">
        <f t="shared" si="86"/>
        <v>241.89840288442497</v>
      </c>
      <c r="P169">
        <f>M169*Inputs!B6/12</f>
        <v>0</v>
      </c>
      <c r="Q169">
        <f t="shared" si="87"/>
        <v>0</v>
      </c>
      <c r="R169">
        <f>N169*Inputs!B6/12</f>
        <v>0</v>
      </c>
      <c r="S169">
        <f t="shared" si="88"/>
        <v>0</v>
      </c>
      <c r="T169">
        <f t="shared" si="89"/>
        <v>1.024578747046613</v>
      </c>
      <c r="U169">
        <f t="shared" si="90"/>
        <v>0</v>
      </c>
      <c r="V169">
        <f t="shared" si="91"/>
        <v>1.024578747046613</v>
      </c>
      <c r="W169">
        <f t="shared" si="92"/>
        <v>19.98422192089669</v>
      </c>
      <c r="X169">
        <f t="shared" si="93"/>
        <v>0</v>
      </c>
      <c r="Y169">
        <f t="shared" si="94"/>
        <v>0</v>
      </c>
      <c r="Z169">
        <f t="shared" si="95"/>
        <v>0</v>
      </c>
      <c r="AA169">
        <f t="shared" si="96"/>
        <v>0</v>
      </c>
      <c r="AB169">
        <f t="shared" si="97"/>
        <v>0</v>
      </c>
      <c r="AC169">
        <f t="shared" si="98"/>
        <v>19.98422192089669</v>
      </c>
      <c r="AD169">
        <f t="shared" si="99"/>
        <v>0</v>
      </c>
      <c r="AE169">
        <f t="shared" si="100"/>
        <v>19.98422192089669</v>
      </c>
      <c r="AF169">
        <f t="shared" si="101"/>
        <v>0</v>
      </c>
      <c r="AG169">
        <f t="shared" si="102"/>
        <v>19.98422192089669</v>
      </c>
      <c r="AH169">
        <f t="shared" si="103"/>
        <v>19.98422192089669</v>
      </c>
      <c r="AI169">
        <f t="shared" si="104"/>
        <v>0</v>
      </c>
      <c r="AJ169">
        <f t="shared" si="105"/>
        <v>0</v>
      </c>
      <c r="AK169">
        <f t="shared" si="106"/>
        <v>19.98422192089669</v>
      </c>
      <c r="AL169">
        <f t="shared" si="107"/>
        <v>0</v>
      </c>
      <c r="AM169">
        <f t="shared" si="108"/>
        <v>0</v>
      </c>
      <c r="AN169">
        <f t="shared" si="109"/>
        <v>19.98422192089669</v>
      </c>
      <c r="AO169">
        <f t="shared" si="110"/>
        <v>0</v>
      </c>
      <c r="AP169">
        <f t="shared" si="111"/>
        <v>0</v>
      </c>
      <c r="AQ169">
        <f t="shared" si="112"/>
        <v>0</v>
      </c>
      <c r="AR169">
        <f t="shared" si="113"/>
        <v>221.91418096352828</v>
      </c>
      <c r="AS169">
        <f t="shared" si="114"/>
        <v>0</v>
      </c>
      <c r="AT169">
        <f t="shared" si="115"/>
        <v>0</v>
      </c>
      <c r="AU169">
        <f t="shared" si="116"/>
        <v>0</v>
      </c>
    </row>
    <row r="170" spans="1:47" x14ac:dyDescent="0.2">
      <c r="A170">
        <v>169</v>
      </c>
      <c r="B170">
        <f>PoolStates_V2!B170</f>
        <v>0</v>
      </c>
      <c r="C170">
        <f>PoolStates_V2!S170</f>
        <v>0.93987542918940847</v>
      </c>
      <c r="D170">
        <f>PoolStates_V2!T170</f>
        <v>18.343103673317511</v>
      </c>
      <c r="E170">
        <f>PoolStates_V2!Q170</f>
        <v>9.2013843278460523E-3</v>
      </c>
      <c r="F170">
        <f t="shared" si="117"/>
        <v>0</v>
      </c>
      <c r="G170">
        <f t="shared" si="118"/>
        <v>0</v>
      </c>
      <c r="H170">
        <f t="shared" si="119"/>
        <v>221.91418096352828</v>
      </c>
      <c r="I170">
        <f t="shared" si="80"/>
        <v>9.2013843278460523E-3</v>
      </c>
      <c r="J170">
        <f t="shared" si="81"/>
        <v>0</v>
      </c>
      <c r="K170">
        <f t="shared" si="82"/>
        <v>0</v>
      </c>
      <c r="L170">
        <f t="shared" si="83"/>
        <v>0</v>
      </c>
      <c r="M170">
        <f t="shared" si="84"/>
        <v>0</v>
      </c>
      <c r="N170">
        <f t="shared" si="85"/>
        <v>0</v>
      </c>
      <c r="O170">
        <f t="shared" si="86"/>
        <v>221.90497957920044</v>
      </c>
      <c r="P170">
        <f>M170*Inputs!B6/12</f>
        <v>0</v>
      </c>
      <c r="Q170">
        <f t="shared" si="87"/>
        <v>0</v>
      </c>
      <c r="R170">
        <f>N170*Inputs!B6/12</f>
        <v>0</v>
      </c>
      <c r="S170">
        <f t="shared" si="88"/>
        <v>0</v>
      </c>
      <c r="T170">
        <f t="shared" si="89"/>
        <v>0.93987542918940847</v>
      </c>
      <c r="U170">
        <f t="shared" si="90"/>
        <v>0</v>
      </c>
      <c r="V170">
        <f t="shared" si="91"/>
        <v>0.93987542918940847</v>
      </c>
      <c r="W170">
        <f t="shared" si="92"/>
        <v>18.343103673317511</v>
      </c>
      <c r="X170">
        <f t="shared" si="93"/>
        <v>0</v>
      </c>
      <c r="Y170">
        <f t="shared" si="94"/>
        <v>0</v>
      </c>
      <c r="Z170">
        <f t="shared" si="95"/>
        <v>0</v>
      </c>
      <c r="AA170">
        <f t="shared" si="96"/>
        <v>0</v>
      </c>
      <c r="AB170">
        <f t="shared" si="97"/>
        <v>0</v>
      </c>
      <c r="AC170">
        <f t="shared" si="98"/>
        <v>18.343103673317511</v>
      </c>
      <c r="AD170">
        <f t="shared" si="99"/>
        <v>0</v>
      </c>
      <c r="AE170">
        <f t="shared" si="100"/>
        <v>18.343103673317511</v>
      </c>
      <c r="AF170">
        <f t="shared" si="101"/>
        <v>0</v>
      </c>
      <c r="AG170">
        <f t="shared" si="102"/>
        <v>18.343103673317511</v>
      </c>
      <c r="AH170">
        <f t="shared" si="103"/>
        <v>18.343103673317511</v>
      </c>
      <c r="AI170">
        <f t="shared" si="104"/>
        <v>0</v>
      </c>
      <c r="AJ170">
        <f t="shared" si="105"/>
        <v>0</v>
      </c>
      <c r="AK170">
        <f t="shared" si="106"/>
        <v>18.343103673317511</v>
      </c>
      <c r="AL170">
        <f t="shared" si="107"/>
        <v>0</v>
      </c>
      <c r="AM170">
        <f t="shared" si="108"/>
        <v>0</v>
      </c>
      <c r="AN170">
        <f t="shared" si="109"/>
        <v>18.343103673317511</v>
      </c>
      <c r="AO170">
        <f t="shared" si="110"/>
        <v>0</v>
      </c>
      <c r="AP170">
        <f t="shared" si="111"/>
        <v>0</v>
      </c>
      <c r="AQ170">
        <f t="shared" si="112"/>
        <v>0</v>
      </c>
      <c r="AR170">
        <f t="shared" si="113"/>
        <v>203.56187590588294</v>
      </c>
      <c r="AS170">
        <f t="shared" si="114"/>
        <v>0</v>
      </c>
      <c r="AT170">
        <f t="shared" si="115"/>
        <v>0</v>
      </c>
      <c r="AU170">
        <f t="shared" si="116"/>
        <v>0</v>
      </c>
    </row>
    <row r="171" spans="1:47" x14ac:dyDescent="0.2">
      <c r="A171">
        <v>170</v>
      </c>
      <c r="B171">
        <f>PoolStates_V2!B171</f>
        <v>0</v>
      </c>
      <c r="C171">
        <f>PoolStates_V2!S171</f>
        <v>0.86212935951010783</v>
      </c>
      <c r="D171">
        <f>PoolStates_V2!T171</f>
        <v>16.836023954398911</v>
      </c>
      <c r="E171">
        <f>PoolStates_V2!Q171</f>
        <v>8.4476656903779701E-3</v>
      </c>
      <c r="F171">
        <f t="shared" si="117"/>
        <v>0</v>
      </c>
      <c r="G171">
        <f t="shared" si="118"/>
        <v>0</v>
      </c>
      <c r="H171">
        <f t="shared" si="119"/>
        <v>203.56187590588294</v>
      </c>
      <c r="I171">
        <f t="shared" si="80"/>
        <v>8.4476656903779701E-3</v>
      </c>
      <c r="J171">
        <f t="shared" si="81"/>
        <v>0</v>
      </c>
      <c r="K171">
        <f t="shared" si="82"/>
        <v>0</v>
      </c>
      <c r="L171">
        <f t="shared" si="83"/>
        <v>0</v>
      </c>
      <c r="M171">
        <f t="shared" si="84"/>
        <v>0</v>
      </c>
      <c r="N171">
        <f t="shared" si="85"/>
        <v>0</v>
      </c>
      <c r="O171">
        <f t="shared" si="86"/>
        <v>203.55342824019257</v>
      </c>
      <c r="P171">
        <f>M171*Inputs!B6/12</f>
        <v>0</v>
      </c>
      <c r="Q171">
        <f t="shared" si="87"/>
        <v>0</v>
      </c>
      <c r="R171">
        <f>N171*Inputs!B6/12</f>
        <v>0</v>
      </c>
      <c r="S171">
        <f t="shared" si="88"/>
        <v>0</v>
      </c>
      <c r="T171">
        <f t="shared" si="89"/>
        <v>0.86212935951010783</v>
      </c>
      <c r="U171">
        <f t="shared" si="90"/>
        <v>0</v>
      </c>
      <c r="V171">
        <f t="shared" si="91"/>
        <v>0.86212935951010783</v>
      </c>
      <c r="W171">
        <f t="shared" si="92"/>
        <v>16.836023954398911</v>
      </c>
      <c r="X171">
        <f t="shared" si="93"/>
        <v>0</v>
      </c>
      <c r="Y171">
        <f t="shared" si="94"/>
        <v>0</v>
      </c>
      <c r="Z171">
        <f t="shared" si="95"/>
        <v>0</v>
      </c>
      <c r="AA171">
        <f t="shared" si="96"/>
        <v>0</v>
      </c>
      <c r="AB171">
        <f t="shared" si="97"/>
        <v>0</v>
      </c>
      <c r="AC171">
        <f t="shared" si="98"/>
        <v>16.836023954398911</v>
      </c>
      <c r="AD171">
        <f t="shared" si="99"/>
        <v>0</v>
      </c>
      <c r="AE171">
        <f t="shared" si="100"/>
        <v>16.836023954398911</v>
      </c>
      <c r="AF171">
        <f t="shared" si="101"/>
        <v>0</v>
      </c>
      <c r="AG171">
        <f t="shared" si="102"/>
        <v>16.836023954398911</v>
      </c>
      <c r="AH171">
        <f t="shared" si="103"/>
        <v>16.836023954398911</v>
      </c>
      <c r="AI171">
        <f t="shared" si="104"/>
        <v>0</v>
      </c>
      <c r="AJ171">
        <f t="shared" si="105"/>
        <v>0</v>
      </c>
      <c r="AK171">
        <f t="shared" si="106"/>
        <v>16.836023954398911</v>
      </c>
      <c r="AL171">
        <f t="shared" si="107"/>
        <v>0</v>
      </c>
      <c r="AM171">
        <f t="shared" si="108"/>
        <v>0</v>
      </c>
      <c r="AN171">
        <f t="shared" si="109"/>
        <v>16.836023954398911</v>
      </c>
      <c r="AO171">
        <f t="shared" si="110"/>
        <v>0</v>
      </c>
      <c r="AP171">
        <f t="shared" si="111"/>
        <v>0</v>
      </c>
      <c r="AQ171">
        <f t="shared" si="112"/>
        <v>0</v>
      </c>
      <c r="AR171">
        <f t="shared" si="113"/>
        <v>186.71740428579366</v>
      </c>
      <c r="AS171">
        <f t="shared" si="114"/>
        <v>0</v>
      </c>
      <c r="AT171">
        <f t="shared" si="115"/>
        <v>0</v>
      </c>
      <c r="AU171">
        <f t="shared" si="116"/>
        <v>0</v>
      </c>
    </row>
    <row r="172" spans="1:47" x14ac:dyDescent="0.2">
      <c r="A172">
        <v>171</v>
      </c>
      <c r="B172">
        <f>PoolStates_V2!B172</f>
        <v>0</v>
      </c>
      <c r="C172">
        <f>PoolStates_V2!S172</f>
        <v>0.79077220946335935</v>
      </c>
      <c r="D172">
        <f>PoolStates_V2!T172</f>
        <v>15.452085865740244</v>
      </c>
      <c r="E172">
        <f>PoolStates_V2!Q172</f>
        <v>7.755372998703455E-3</v>
      </c>
      <c r="F172">
        <f t="shared" si="117"/>
        <v>0</v>
      </c>
      <c r="G172">
        <f t="shared" si="118"/>
        <v>0</v>
      </c>
      <c r="H172">
        <f t="shared" si="119"/>
        <v>186.71740428579366</v>
      </c>
      <c r="I172">
        <f t="shared" si="80"/>
        <v>7.755372998703455E-3</v>
      </c>
      <c r="J172">
        <f t="shared" si="81"/>
        <v>0</v>
      </c>
      <c r="K172">
        <f t="shared" si="82"/>
        <v>0</v>
      </c>
      <c r="L172">
        <f t="shared" si="83"/>
        <v>0</v>
      </c>
      <c r="M172">
        <f t="shared" si="84"/>
        <v>0</v>
      </c>
      <c r="N172">
        <f t="shared" si="85"/>
        <v>0</v>
      </c>
      <c r="O172">
        <f t="shared" si="86"/>
        <v>186.70964891279496</v>
      </c>
      <c r="P172">
        <f>M172*Inputs!B6/12</f>
        <v>0</v>
      </c>
      <c r="Q172">
        <f t="shared" si="87"/>
        <v>0</v>
      </c>
      <c r="R172">
        <f>N172*Inputs!B6/12</f>
        <v>0</v>
      </c>
      <c r="S172">
        <f t="shared" si="88"/>
        <v>0</v>
      </c>
      <c r="T172">
        <f t="shared" si="89"/>
        <v>0.79077220946335935</v>
      </c>
      <c r="U172">
        <f t="shared" si="90"/>
        <v>0</v>
      </c>
      <c r="V172">
        <f t="shared" si="91"/>
        <v>0.79077220946335935</v>
      </c>
      <c r="W172">
        <f t="shared" si="92"/>
        <v>15.452085865740244</v>
      </c>
      <c r="X172">
        <f t="shared" si="93"/>
        <v>0</v>
      </c>
      <c r="Y172">
        <f t="shared" si="94"/>
        <v>0</v>
      </c>
      <c r="Z172">
        <f t="shared" si="95"/>
        <v>0</v>
      </c>
      <c r="AA172">
        <f t="shared" si="96"/>
        <v>0</v>
      </c>
      <c r="AB172">
        <f t="shared" si="97"/>
        <v>0</v>
      </c>
      <c r="AC172">
        <f t="shared" si="98"/>
        <v>15.452085865740244</v>
      </c>
      <c r="AD172">
        <f t="shared" si="99"/>
        <v>0</v>
      </c>
      <c r="AE172">
        <f t="shared" si="100"/>
        <v>15.452085865740244</v>
      </c>
      <c r="AF172">
        <f t="shared" si="101"/>
        <v>0</v>
      </c>
      <c r="AG172">
        <f t="shared" si="102"/>
        <v>15.452085865740244</v>
      </c>
      <c r="AH172">
        <f t="shared" si="103"/>
        <v>15.452085865740244</v>
      </c>
      <c r="AI172">
        <f t="shared" si="104"/>
        <v>0</v>
      </c>
      <c r="AJ172">
        <f t="shared" si="105"/>
        <v>0</v>
      </c>
      <c r="AK172">
        <f t="shared" si="106"/>
        <v>15.452085865740244</v>
      </c>
      <c r="AL172">
        <f t="shared" si="107"/>
        <v>0</v>
      </c>
      <c r="AM172">
        <f t="shared" si="108"/>
        <v>0</v>
      </c>
      <c r="AN172">
        <f t="shared" si="109"/>
        <v>15.452085865740244</v>
      </c>
      <c r="AO172">
        <f t="shared" si="110"/>
        <v>0</v>
      </c>
      <c r="AP172">
        <f t="shared" si="111"/>
        <v>0</v>
      </c>
      <c r="AQ172">
        <f t="shared" si="112"/>
        <v>0</v>
      </c>
      <c r="AR172">
        <f t="shared" si="113"/>
        <v>171.2575630470547</v>
      </c>
      <c r="AS172">
        <f t="shared" si="114"/>
        <v>0</v>
      </c>
      <c r="AT172">
        <f t="shared" si="115"/>
        <v>0</v>
      </c>
      <c r="AU172">
        <f t="shared" si="116"/>
        <v>0</v>
      </c>
    </row>
    <row r="173" spans="1:47" x14ac:dyDescent="0.2">
      <c r="A173">
        <v>172</v>
      </c>
      <c r="B173">
        <f>PoolStates_V2!B173</f>
        <v>0</v>
      </c>
      <c r="C173">
        <f>PoolStates_V2!S173</f>
        <v>0.72528186044750642</v>
      </c>
      <c r="D173">
        <f>PoolStates_V2!T173</f>
        <v>14.181274852651653</v>
      </c>
      <c r="E173">
        <f>PoolStates_V2!Q173</f>
        <v>7.1195221112826087E-3</v>
      </c>
      <c r="F173">
        <f t="shared" si="117"/>
        <v>0</v>
      </c>
      <c r="G173">
        <f t="shared" si="118"/>
        <v>0</v>
      </c>
      <c r="H173">
        <f t="shared" si="119"/>
        <v>171.2575630470547</v>
      </c>
      <c r="I173">
        <f t="shared" si="80"/>
        <v>7.1195221112826087E-3</v>
      </c>
      <c r="J173">
        <f t="shared" si="81"/>
        <v>0</v>
      </c>
      <c r="K173">
        <f t="shared" si="82"/>
        <v>0</v>
      </c>
      <c r="L173">
        <f t="shared" si="83"/>
        <v>0</v>
      </c>
      <c r="M173">
        <f t="shared" si="84"/>
        <v>0</v>
      </c>
      <c r="N173">
        <f t="shared" si="85"/>
        <v>0</v>
      </c>
      <c r="O173">
        <f t="shared" si="86"/>
        <v>171.25044352494342</v>
      </c>
      <c r="P173">
        <f>M173*Inputs!B6/12</f>
        <v>0</v>
      </c>
      <c r="Q173">
        <f t="shared" si="87"/>
        <v>0</v>
      </c>
      <c r="R173">
        <f>N173*Inputs!B6/12</f>
        <v>0</v>
      </c>
      <c r="S173">
        <f t="shared" si="88"/>
        <v>0</v>
      </c>
      <c r="T173">
        <f t="shared" si="89"/>
        <v>0.72528186044750642</v>
      </c>
      <c r="U173">
        <f t="shared" si="90"/>
        <v>0</v>
      </c>
      <c r="V173">
        <f t="shared" si="91"/>
        <v>0.72528186044750642</v>
      </c>
      <c r="W173">
        <f t="shared" si="92"/>
        <v>14.181274852651653</v>
      </c>
      <c r="X173">
        <f t="shared" si="93"/>
        <v>0</v>
      </c>
      <c r="Y173">
        <f t="shared" si="94"/>
        <v>0</v>
      </c>
      <c r="Z173">
        <f t="shared" si="95"/>
        <v>0</v>
      </c>
      <c r="AA173">
        <f t="shared" si="96"/>
        <v>0</v>
      </c>
      <c r="AB173">
        <f t="shared" si="97"/>
        <v>0</v>
      </c>
      <c r="AC173">
        <f t="shared" si="98"/>
        <v>14.181274852651653</v>
      </c>
      <c r="AD173">
        <f t="shared" si="99"/>
        <v>0</v>
      </c>
      <c r="AE173">
        <f t="shared" si="100"/>
        <v>14.181274852651653</v>
      </c>
      <c r="AF173">
        <f t="shared" si="101"/>
        <v>0</v>
      </c>
      <c r="AG173">
        <f t="shared" si="102"/>
        <v>14.181274852651653</v>
      </c>
      <c r="AH173">
        <f t="shared" si="103"/>
        <v>14.181274852651653</v>
      </c>
      <c r="AI173">
        <f t="shared" si="104"/>
        <v>0</v>
      </c>
      <c r="AJ173">
        <f t="shared" si="105"/>
        <v>0</v>
      </c>
      <c r="AK173">
        <f t="shared" si="106"/>
        <v>14.181274852651653</v>
      </c>
      <c r="AL173">
        <f t="shared" si="107"/>
        <v>0</v>
      </c>
      <c r="AM173">
        <f t="shared" si="108"/>
        <v>0</v>
      </c>
      <c r="AN173">
        <f t="shared" si="109"/>
        <v>14.181274852651653</v>
      </c>
      <c r="AO173">
        <f t="shared" si="110"/>
        <v>0</v>
      </c>
      <c r="AP173">
        <f t="shared" si="111"/>
        <v>0</v>
      </c>
      <c r="AQ173">
        <f t="shared" si="112"/>
        <v>0</v>
      </c>
      <c r="AR173">
        <f t="shared" si="113"/>
        <v>157.06916867229177</v>
      </c>
      <c r="AS173">
        <f t="shared" si="114"/>
        <v>0</v>
      </c>
      <c r="AT173">
        <f t="shared" si="115"/>
        <v>0</v>
      </c>
      <c r="AU173">
        <f t="shared" si="116"/>
        <v>0</v>
      </c>
    </row>
    <row r="174" spans="1:47" x14ac:dyDescent="0.2">
      <c r="A174">
        <v>173</v>
      </c>
      <c r="B174">
        <f>PoolStates_V2!B174</f>
        <v>0</v>
      </c>
      <c r="C174">
        <f>PoolStates_V2!S174</f>
        <v>0.66517866161455252</v>
      </c>
      <c r="D174">
        <f>PoolStates_V2!T174</f>
        <v>13.014387507201246</v>
      </c>
      <c r="E174">
        <f>PoolStates_V2!Q174</f>
        <v>6.5355317613171203E-3</v>
      </c>
      <c r="F174">
        <f t="shared" si="117"/>
        <v>0</v>
      </c>
      <c r="G174">
        <f t="shared" si="118"/>
        <v>0</v>
      </c>
      <c r="H174">
        <f t="shared" si="119"/>
        <v>157.06916867229177</v>
      </c>
      <c r="I174">
        <f t="shared" si="80"/>
        <v>6.5355317613171203E-3</v>
      </c>
      <c r="J174">
        <f t="shared" si="81"/>
        <v>0</v>
      </c>
      <c r="K174">
        <f t="shared" si="82"/>
        <v>0</v>
      </c>
      <c r="L174">
        <f t="shared" si="83"/>
        <v>0</v>
      </c>
      <c r="M174">
        <f t="shared" si="84"/>
        <v>0</v>
      </c>
      <c r="N174">
        <f t="shared" si="85"/>
        <v>0</v>
      </c>
      <c r="O174">
        <f t="shared" si="86"/>
        <v>157.06263314053044</v>
      </c>
      <c r="P174">
        <f>M174*Inputs!B6/12</f>
        <v>0</v>
      </c>
      <c r="Q174">
        <f t="shared" si="87"/>
        <v>0</v>
      </c>
      <c r="R174">
        <f>N174*Inputs!B6/12</f>
        <v>0</v>
      </c>
      <c r="S174">
        <f t="shared" si="88"/>
        <v>0</v>
      </c>
      <c r="T174">
        <f t="shared" si="89"/>
        <v>0.66517866161455252</v>
      </c>
      <c r="U174">
        <f t="shared" si="90"/>
        <v>0</v>
      </c>
      <c r="V174">
        <f t="shared" si="91"/>
        <v>0.66517866161455252</v>
      </c>
      <c r="W174">
        <f t="shared" si="92"/>
        <v>13.014387507201246</v>
      </c>
      <c r="X174">
        <f t="shared" si="93"/>
        <v>0</v>
      </c>
      <c r="Y174">
        <f t="shared" si="94"/>
        <v>0</v>
      </c>
      <c r="Z174">
        <f t="shared" si="95"/>
        <v>0</v>
      </c>
      <c r="AA174">
        <f t="shared" si="96"/>
        <v>0</v>
      </c>
      <c r="AB174">
        <f t="shared" si="97"/>
        <v>0</v>
      </c>
      <c r="AC174">
        <f t="shared" si="98"/>
        <v>13.014387507201246</v>
      </c>
      <c r="AD174">
        <f t="shared" si="99"/>
        <v>0</v>
      </c>
      <c r="AE174">
        <f t="shared" si="100"/>
        <v>13.014387507201246</v>
      </c>
      <c r="AF174">
        <f t="shared" si="101"/>
        <v>0</v>
      </c>
      <c r="AG174">
        <f t="shared" si="102"/>
        <v>13.014387507201246</v>
      </c>
      <c r="AH174">
        <f t="shared" si="103"/>
        <v>13.014387507201246</v>
      </c>
      <c r="AI174">
        <f t="shared" si="104"/>
        <v>0</v>
      </c>
      <c r="AJ174">
        <f t="shared" si="105"/>
        <v>0</v>
      </c>
      <c r="AK174">
        <f t="shared" si="106"/>
        <v>13.014387507201246</v>
      </c>
      <c r="AL174">
        <f t="shared" si="107"/>
        <v>0</v>
      </c>
      <c r="AM174">
        <f t="shared" si="108"/>
        <v>0</v>
      </c>
      <c r="AN174">
        <f t="shared" si="109"/>
        <v>13.014387507201246</v>
      </c>
      <c r="AO174">
        <f t="shared" si="110"/>
        <v>0</v>
      </c>
      <c r="AP174">
        <f t="shared" si="111"/>
        <v>0</v>
      </c>
      <c r="AQ174">
        <f t="shared" si="112"/>
        <v>0</v>
      </c>
      <c r="AR174">
        <f t="shared" si="113"/>
        <v>144.0482456333292</v>
      </c>
      <c r="AS174">
        <f t="shared" si="114"/>
        <v>0</v>
      </c>
      <c r="AT174">
        <f t="shared" si="115"/>
        <v>0</v>
      </c>
      <c r="AU174">
        <f t="shared" si="116"/>
        <v>0</v>
      </c>
    </row>
    <row r="175" spans="1:47" x14ac:dyDescent="0.2">
      <c r="A175">
        <v>174</v>
      </c>
      <c r="B175">
        <f>PoolStates_V2!B175</f>
        <v>0</v>
      </c>
      <c r="C175">
        <f>PoolStates_V2!S175</f>
        <v>0.61002198967514598</v>
      </c>
      <c r="D175">
        <f>PoolStates_V2!T175</f>
        <v>11.942966098719827</v>
      </c>
      <c r="E175">
        <f>PoolStates_V2!Q175</f>
        <v>5.9991911015385346E-3</v>
      </c>
      <c r="F175">
        <f t="shared" si="117"/>
        <v>0</v>
      </c>
      <c r="G175">
        <f t="shared" si="118"/>
        <v>0</v>
      </c>
      <c r="H175">
        <f t="shared" si="119"/>
        <v>144.0482456333292</v>
      </c>
      <c r="I175">
        <f t="shared" si="80"/>
        <v>5.9991911015385346E-3</v>
      </c>
      <c r="J175">
        <f t="shared" si="81"/>
        <v>0</v>
      </c>
      <c r="K175">
        <f t="shared" si="82"/>
        <v>0</v>
      </c>
      <c r="L175">
        <f t="shared" si="83"/>
        <v>0</v>
      </c>
      <c r="M175">
        <f t="shared" si="84"/>
        <v>0</v>
      </c>
      <c r="N175">
        <f t="shared" si="85"/>
        <v>0</v>
      </c>
      <c r="O175">
        <f t="shared" si="86"/>
        <v>144.04224644222765</v>
      </c>
      <c r="P175">
        <f>M175*Inputs!B6/12</f>
        <v>0</v>
      </c>
      <c r="Q175">
        <f t="shared" si="87"/>
        <v>0</v>
      </c>
      <c r="R175">
        <f>N175*Inputs!B6/12</f>
        <v>0</v>
      </c>
      <c r="S175">
        <f t="shared" si="88"/>
        <v>0</v>
      </c>
      <c r="T175">
        <f t="shared" si="89"/>
        <v>0.61002198967514598</v>
      </c>
      <c r="U175">
        <f t="shared" si="90"/>
        <v>0</v>
      </c>
      <c r="V175">
        <f t="shared" si="91"/>
        <v>0.61002198967514598</v>
      </c>
      <c r="W175">
        <f t="shared" si="92"/>
        <v>11.942966098719827</v>
      </c>
      <c r="X175">
        <f t="shared" si="93"/>
        <v>0</v>
      </c>
      <c r="Y175">
        <f t="shared" si="94"/>
        <v>0</v>
      </c>
      <c r="Z175">
        <f t="shared" si="95"/>
        <v>0</v>
      </c>
      <c r="AA175">
        <f t="shared" si="96"/>
        <v>0</v>
      </c>
      <c r="AB175">
        <f t="shared" si="97"/>
        <v>0</v>
      </c>
      <c r="AC175">
        <f t="shared" si="98"/>
        <v>11.942966098719827</v>
      </c>
      <c r="AD175">
        <f t="shared" si="99"/>
        <v>0</v>
      </c>
      <c r="AE175">
        <f t="shared" si="100"/>
        <v>11.942966098719827</v>
      </c>
      <c r="AF175">
        <f t="shared" si="101"/>
        <v>0</v>
      </c>
      <c r="AG175">
        <f t="shared" si="102"/>
        <v>11.942966098719827</v>
      </c>
      <c r="AH175">
        <f t="shared" si="103"/>
        <v>11.942966098719827</v>
      </c>
      <c r="AI175">
        <f t="shared" si="104"/>
        <v>0</v>
      </c>
      <c r="AJ175">
        <f t="shared" si="105"/>
        <v>0</v>
      </c>
      <c r="AK175">
        <f t="shared" si="106"/>
        <v>11.942966098719827</v>
      </c>
      <c r="AL175">
        <f t="shared" si="107"/>
        <v>0</v>
      </c>
      <c r="AM175">
        <f t="shared" si="108"/>
        <v>0</v>
      </c>
      <c r="AN175">
        <f t="shared" si="109"/>
        <v>11.942966098719827</v>
      </c>
      <c r="AO175">
        <f t="shared" si="110"/>
        <v>0</v>
      </c>
      <c r="AP175">
        <f t="shared" si="111"/>
        <v>0</v>
      </c>
      <c r="AQ175">
        <f t="shared" si="112"/>
        <v>0</v>
      </c>
      <c r="AR175">
        <f t="shared" si="113"/>
        <v>132.09928034350781</v>
      </c>
      <c r="AS175">
        <f t="shared" si="114"/>
        <v>0</v>
      </c>
      <c r="AT175">
        <f t="shared" si="115"/>
        <v>0</v>
      </c>
      <c r="AU175">
        <f t="shared" si="116"/>
        <v>0</v>
      </c>
    </row>
    <row r="176" spans="1:47" x14ac:dyDescent="0.2">
      <c r="A176">
        <v>175</v>
      </c>
      <c r="B176">
        <f>PoolStates_V2!B176</f>
        <v>0</v>
      </c>
      <c r="C176">
        <f>PoolStates_V2!S176</f>
        <v>0.55940708640187242</v>
      </c>
      <c r="D176">
        <f>PoolStates_V2!T176</f>
        <v>10.959238372250734</v>
      </c>
      <c r="E176">
        <f>PoolStates_V2!Q176</f>
        <v>5.5066298556437536E-3</v>
      </c>
      <c r="F176">
        <f t="shared" si="117"/>
        <v>0</v>
      </c>
      <c r="G176">
        <f t="shared" si="118"/>
        <v>0</v>
      </c>
      <c r="H176">
        <f t="shared" si="119"/>
        <v>132.09928034350781</v>
      </c>
      <c r="I176">
        <f t="shared" si="80"/>
        <v>5.5066298556437536E-3</v>
      </c>
      <c r="J176">
        <f t="shared" si="81"/>
        <v>0</v>
      </c>
      <c r="K176">
        <f t="shared" si="82"/>
        <v>0</v>
      </c>
      <c r="L176">
        <f t="shared" si="83"/>
        <v>0</v>
      </c>
      <c r="M176">
        <f t="shared" si="84"/>
        <v>0</v>
      </c>
      <c r="N176">
        <f t="shared" si="85"/>
        <v>0</v>
      </c>
      <c r="O176">
        <f t="shared" si="86"/>
        <v>132.09377371365218</v>
      </c>
      <c r="P176">
        <f>M176*Inputs!B6/12</f>
        <v>0</v>
      </c>
      <c r="Q176">
        <f t="shared" si="87"/>
        <v>0</v>
      </c>
      <c r="R176">
        <f>N176*Inputs!B6/12</f>
        <v>0</v>
      </c>
      <c r="S176">
        <f t="shared" si="88"/>
        <v>0</v>
      </c>
      <c r="T176">
        <f t="shared" si="89"/>
        <v>0.55940708640187242</v>
      </c>
      <c r="U176">
        <f t="shared" si="90"/>
        <v>0</v>
      </c>
      <c r="V176">
        <f t="shared" si="91"/>
        <v>0.55940708640187242</v>
      </c>
      <c r="W176">
        <f t="shared" si="92"/>
        <v>10.959238372250734</v>
      </c>
      <c r="X176">
        <f t="shared" si="93"/>
        <v>0</v>
      </c>
      <c r="Y176">
        <f t="shared" si="94"/>
        <v>0</v>
      </c>
      <c r="Z176">
        <f t="shared" si="95"/>
        <v>0</v>
      </c>
      <c r="AA176">
        <f t="shared" si="96"/>
        <v>0</v>
      </c>
      <c r="AB176">
        <f t="shared" si="97"/>
        <v>0</v>
      </c>
      <c r="AC176">
        <f t="shared" si="98"/>
        <v>10.959238372250734</v>
      </c>
      <c r="AD176">
        <f t="shared" si="99"/>
        <v>0</v>
      </c>
      <c r="AE176">
        <f t="shared" si="100"/>
        <v>10.959238372250734</v>
      </c>
      <c r="AF176">
        <f t="shared" si="101"/>
        <v>0</v>
      </c>
      <c r="AG176">
        <f t="shared" si="102"/>
        <v>10.959238372250734</v>
      </c>
      <c r="AH176">
        <f t="shared" si="103"/>
        <v>10.959238372250734</v>
      </c>
      <c r="AI176">
        <f t="shared" si="104"/>
        <v>0</v>
      </c>
      <c r="AJ176">
        <f t="shared" si="105"/>
        <v>0</v>
      </c>
      <c r="AK176">
        <f t="shared" si="106"/>
        <v>10.959238372250734</v>
      </c>
      <c r="AL176">
        <f t="shared" si="107"/>
        <v>0</v>
      </c>
      <c r="AM176">
        <f t="shared" si="108"/>
        <v>0</v>
      </c>
      <c r="AN176">
        <f t="shared" si="109"/>
        <v>10.959238372250734</v>
      </c>
      <c r="AO176">
        <f t="shared" si="110"/>
        <v>0</v>
      </c>
      <c r="AP176">
        <f t="shared" si="111"/>
        <v>0</v>
      </c>
      <c r="AQ176">
        <f t="shared" si="112"/>
        <v>0</v>
      </c>
      <c r="AR176">
        <f t="shared" si="113"/>
        <v>121.13453534140145</v>
      </c>
      <c r="AS176">
        <f t="shared" si="114"/>
        <v>0</v>
      </c>
      <c r="AT176">
        <f t="shared" si="115"/>
        <v>0</v>
      </c>
      <c r="AU176">
        <f t="shared" si="116"/>
        <v>0</v>
      </c>
    </row>
    <row r="177" spans="1:47" x14ac:dyDescent="0.2">
      <c r="A177">
        <v>176</v>
      </c>
      <c r="B177">
        <f>PoolStates_V2!B177</f>
        <v>0</v>
      </c>
      <c r="C177">
        <f>PoolStates_V2!S177</f>
        <v>0.51296215148367286</v>
      </c>
      <c r="D177">
        <f>PoolStates_V2!T177</f>
        <v>10.056062192211265</v>
      </c>
      <c r="E177">
        <f>PoolStates_V2!Q177</f>
        <v>5.0542908676074715E-3</v>
      </c>
      <c r="F177">
        <f t="shared" si="117"/>
        <v>0</v>
      </c>
      <c r="G177">
        <f t="shared" si="118"/>
        <v>0</v>
      </c>
      <c r="H177">
        <f t="shared" si="119"/>
        <v>121.13453534140145</v>
      </c>
      <c r="I177">
        <f t="shared" si="80"/>
        <v>5.0542908676074715E-3</v>
      </c>
      <c r="J177">
        <f t="shared" si="81"/>
        <v>0</v>
      </c>
      <c r="K177">
        <f t="shared" si="82"/>
        <v>0</v>
      </c>
      <c r="L177">
        <f t="shared" si="83"/>
        <v>0</v>
      </c>
      <c r="M177">
        <f t="shared" si="84"/>
        <v>0</v>
      </c>
      <c r="N177">
        <f t="shared" si="85"/>
        <v>0</v>
      </c>
      <c r="O177">
        <f t="shared" si="86"/>
        <v>121.12948105053384</v>
      </c>
      <c r="P177">
        <f>M177*Inputs!B6/12</f>
        <v>0</v>
      </c>
      <c r="Q177">
        <f t="shared" si="87"/>
        <v>0</v>
      </c>
      <c r="R177">
        <f>N177*Inputs!B6/12</f>
        <v>0</v>
      </c>
      <c r="S177">
        <f t="shared" si="88"/>
        <v>0</v>
      </c>
      <c r="T177">
        <f t="shared" si="89"/>
        <v>0.51296215148367286</v>
      </c>
      <c r="U177">
        <f t="shared" si="90"/>
        <v>0</v>
      </c>
      <c r="V177">
        <f t="shared" si="91"/>
        <v>0.51296215148367286</v>
      </c>
      <c r="W177">
        <f t="shared" si="92"/>
        <v>10.056062192211265</v>
      </c>
      <c r="X177">
        <f t="shared" si="93"/>
        <v>0</v>
      </c>
      <c r="Y177">
        <f t="shared" si="94"/>
        <v>0</v>
      </c>
      <c r="Z177">
        <f t="shared" si="95"/>
        <v>0</v>
      </c>
      <c r="AA177">
        <f t="shared" si="96"/>
        <v>0</v>
      </c>
      <c r="AB177">
        <f t="shared" si="97"/>
        <v>0</v>
      </c>
      <c r="AC177">
        <f t="shared" si="98"/>
        <v>10.056062192211265</v>
      </c>
      <c r="AD177">
        <f t="shared" si="99"/>
        <v>0</v>
      </c>
      <c r="AE177">
        <f t="shared" si="100"/>
        <v>10.056062192211265</v>
      </c>
      <c r="AF177">
        <f t="shared" si="101"/>
        <v>0</v>
      </c>
      <c r="AG177">
        <f t="shared" si="102"/>
        <v>10.056062192211265</v>
      </c>
      <c r="AH177">
        <f t="shared" si="103"/>
        <v>10.056062192211265</v>
      </c>
      <c r="AI177">
        <f t="shared" si="104"/>
        <v>0</v>
      </c>
      <c r="AJ177">
        <f t="shared" si="105"/>
        <v>0</v>
      </c>
      <c r="AK177">
        <f t="shared" si="106"/>
        <v>10.056062192211265</v>
      </c>
      <c r="AL177">
        <f t="shared" si="107"/>
        <v>0</v>
      </c>
      <c r="AM177">
        <f t="shared" si="108"/>
        <v>0</v>
      </c>
      <c r="AN177">
        <f t="shared" si="109"/>
        <v>10.056062192211265</v>
      </c>
      <c r="AO177">
        <f t="shared" si="110"/>
        <v>0</v>
      </c>
      <c r="AP177">
        <f t="shared" si="111"/>
        <v>0</v>
      </c>
      <c r="AQ177">
        <f t="shared" si="112"/>
        <v>0</v>
      </c>
      <c r="AR177">
        <f t="shared" si="113"/>
        <v>111.07341885832258</v>
      </c>
      <c r="AS177">
        <f t="shared" si="114"/>
        <v>0</v>
      </c>
      <c r="AT177">
        <f t="shared" si="115"/>
        <v>0</v>
      </c>
      <c r="AU177">
        <f t="shared" si="116"/>
        <v>0</v>
      </c>
    </row>
    <row r="178" spans="1:47" x14ac:dyDescent="0.2">
      <c r="A178">
        <v>177</v>
      </c>
      <c r="B178">
        <f>PoolStates_V2!B178</f>
        <v>0</v>
      </c>
      <c r="C178">
        <f>PoolStates_V2!S178</f>
        <v>0.47034567017767515</v>
      </c>
      <c r="D178">
        <f>PoolStates_V2!T178</f>
        <v>9.2268746423742076</v>
      </c>
      <c r="E178">
        <f>PoolStates_V2!Q178</f>
        <v>4.6389048567775856E-3</v>
      </c>
      <c r="F178">
        <f t="shared" si="117"/>
        <v>0</v>
      </c>
      <c r="G178">
        <f t="shared" si="118"/>
        <v>0</v>
      </c>
      <c r="H178">
        <f t="shared" si="119"/>
        <v>111.07341885832258</v>
      </c>
      <c r="I178">
        <f t="shared" si="80"/>
        <v>4.6389048567775856E-3</v>
      </c>
      <c r="J178">
        <f t="shared" si="81"/>
        <v>0</v>
      </c>
      <c r="K178">
        <f t="shared" si="82"/>
        <v>0</v>
      </c>
      <c r="L178">
        <f t="shared" si="83"/>
        <v>0</v>
      </c>
      <c r="M178">
        <f t="shared" si="84"/>
        <v>0</v>
      </c>
      <c r="N178">
        <f t="shared" si="85"/>
        <v>0</v>
      </c>
      <c r="O178">
        <f t="shared" si="86"/>
        <v>111.06877995346581</v>
      </c>
      <c r="P178">
        <f>M178*Inputs!B6/12</f>
        <v>0</v>
      </c>
      <c r="Q178">
        <f t="shared" si="87"/>
        <v>0</v>
      </c>
      <c r="R178">
        <f>N178*Inputs!B6/12</f>
        <v>0</v>
      </c>
      <c r="S178">
        <f t="shared" si="88"/>
        <v>0</v>
      </c>
      <c r="T178">
        <f t="shared" si="89"/>
        <v>0.47034567017767515</v>
      </c>
      <c r="U178">
        <f t="shared" si="90"/>
        <v>0</v>
      </c>
      <c r="V178">
        <f t="shared" si="91"/>
        <v>0.47034567017767515</v>
      </c>
      <c r="W178">
        <f t="shared" si="92"/>
        <v>9.2268746423742076</v>
      </c>
      <c r="X178">
        <f t="shared" si="93"/>
        <v>0</v>
      </c>
      <c r="Y178">
        <f t="shared" si="94"/>
        <v>0</v>
      </c>
      <c r="Z178">
        <f t="shared" si="95"/>
        <v>0</v>
      </c>
      <c r="AA178">
        <f t="shared" si="96"/>
        <v>0</v>
      </c>
      <c r="AB178">
        <f t="shared" si="97"/>
        <v>0</v>
      </c>
      <c r="AC178">
        <f t="shared" si="98"/>
        <v>9.2268746423742076</v>
      </c>
      <c r="AD178">
        <f t="shared" si="99"/>
        <v>0</v>
      </c>
      <c r="AE178">
        <f t="shared" si="100"/>
        <v>9.2268746423742076</v>
      </c>
      <c r="AF178">
        <f t="shared" si="101"/>
        <v>0</v>
      </c>
      <c r="AG178">
        <f t="shared" si="102"/>
        <v>9.2268746423742076</v>
      </c>
      <c r="AH178">
        <f t="shared" si="103"/>
        <v>9.2268746423742076</v>
      </c>
      <c r="AI178">
        <f t="shared" si="104"/>
        <v>0</v>
      </c>
      <c r="AJ178">
        <f t="shared" si="105"/>
        <v>0</v>
      </c>
      <c r="AK178">
        <f t="shared" si="106"/>
        <v>9.2268746423742076</v>
      </c>
      <c r="AL178">
        <f t="shared" si="107"/>
        <v>0</v>
      </c>
      <c r="AM178">
        <f t="shared" si="108"/>
        <v>0</v>
      </c>
      <c r="AN178">
        <f t="shared" si="109"/>
        <v>9.2268746423742076</v>
      </c>
      <c r="AO178">
        <f t="shared" si="110"/>
        <v>0</v>
      </c>
      <c r="AP178">
        <f t="shared" si="111"/>
        <v>0</v>
      </c>
      <c r="AQ178">
        <f t="shared" si="112"/>
        <v>0</v>
      </c>
      <c r="AR178">
        <f t="shared" si="113"/>
        <v>101.84190531109159</v>
      </c>
      <c r="AS178">
        <f t="shared" si="114"/>
        <v>0</v>
      </c>
      <c r="AT178">
        <f t="shared" si="115"/>
        <v>0</v>
      </c>
      <c r="AU178">
        <f t="shared" si="116"/>
        <v>0</v>
      </c>
    </row>
    <row r="179" spans="1:47" x14ac:dyDescent="0.2">
      <c r="A179">
        <v>178</v>
      </c>
      <c r="B179">
        <f>PoolStates_V2!B179</f>
        <v>0</v>
      </c>
      <c r="C179">
        <f>PoolStates_V2!S179</f>
        <v>0.43124395685460565</v>
      </c>
      <c r="D179">
        <f>PoolStates_V2!T179</f>
        <v>8.4656452244159208</v>
      </c>
      <c r="E179">
        <f>PoolStates_V2!Q179</f>
        <v>4.2574672020074412E-3</v>
      </c>
      <c r="F179">
        <f t="shared" si="117"/>
        <v>0</v>
      </c>
      <c r="G179">
        <f t="shared" si="118"/>
        <v>0</v>
      </c>
      <c r="H179">
        <f t="shared" si="119"/>
        <v>101.84190531109159</v>
      </c>
      <c r="I179">
        <f t="shared" si="80"/>
        <v>4.2574672020074412E-3</v>
      </c>
      <c r="J179">
        <f t="shared" si="81"/>
        <v>0</v>
      </c>
      <c r="K179">
        <f t="shared" si="82"/>
        <v>0</v>
      </c>
      <c r="L179">
        <f t="shared" si="83"/>
        <v>0</v>
      </c>
      <c r="M179">
        <f t="shared" si="84"/>
        <v>0</v>
      </c>
      <c r="N179">
        <f t="shared" si="85"/>
        <v>0</v>
      </c>
      <c r="O179">
        <f t="shared" si="86"/>
        <v>101.83764784388958</v>
      </c>
      <c r="P179">
        <f>M179*Inputs!B6/12</f>
        <v>0</v>
      </c>
      <c r="Q179">
        <f t="shared" si="87"/>
        <v>0</v>
      </c>
      <c r="R179">
        <f>N179*Inputs!B6/12</f>
        <v>0</v>
      </c>
      <c r="S179">
        <f t="shared" si="88"/>
        <v>0</v>
      </c>
      <c r="T179">
        <f t="shared" si="89"/>
        <v>0.43124395685460565</v>
      </c>
      <c r="U179">
        <f t="shared" si="90"/>
        <v>0</v>
      </c>
      <c r="V179">
        <f t="shared" si="91"/>
        <v>0.43124395685460565</v>
      </c>
      <c r="W179">
        <f t="shared" si="92"/>
        <v>8.4656452244159208</v>
      </c>
      <c r="X179">
        <f t="shared" si="93"/>
        <v>0</v>
      </c>
      <c r="Y179">
        <f t="shared" si="94"/>
        <v>0</v>
      </c>
      <c r="Z179">
        <f t="shared" si="95"/>
        <v>0</v>
      </c>
      <c r="AA179">
        <f t="shared" si="96"/>
        <v>0</v>
      </c>
      <c r="AB179">
        <f t="shared" si="97"/>
        <v>0</v>
      </c>
      <c r="AC179">
        <f t="shared" si="98"/>
        <v>8.4656452244159208</v>
      </c>
      <c r="AD179">
        <f t="shared" si="99"/>
        <v>0</v>
      </c>
      <c r="AE179">
        <f t="shared" si="100"/>
        <v>8.4656452244159208</v>
      </c>
      <c r="AF179">
        <f t="shared" si="101"/>
        <v>0</v>
      </c>
      <c r="AG179">
        <f t="shared" si="102"/>
        <v>8.4656452244159208</v>
      </c>
      <c r="AH179">
        <f t="shared" si="103"/>
        <v>8.4656452244159208</v>
      </c>
      <c r="AI179">
        <f t="shared" si="104"/>
        <v>0</v>
      </c>
      <c r="AJ179">
        <f t="shared" si="105"/>
        <v>0</v>
      </c>
      <c r="AK179">
        <f t="shared" si="106"/>
        <v>8.4656452244159208</v>
      </c>
      <c r="AL179">
        <f t="shared" si="107"/>
        <v>0</v>
      </c>
      <c r="AM179">
        <f t="shared" si="108"/>
        <v>0</v>
      </c>
      <c r="AN179">
        <f t="shared" si="109"/>
        <v>8.4656452244159208</v>
      </c>
      <c r="AO179">
        <f t="shared" si="110"/>
        <v>0</v>
      </c>
      <c r="AP179">
        <f t="shared" si="111"/>
        <v>0</v>
      </c>
      <c r="AQ179">
        <f t="shared" si="112"/>
        <v>0</v>
      </c>
      <c r="AR179">
        <f t="shared" si="113"/>
        <v>93.372002619473662</v>
      </c>
      <c r="AS179">
        <f t="shared" si="114"/>
        <v>0</v>
      </c>
      <c r="AT179">
        <f t="shared" si="115"/>
        <v>0</v>
      </c>
      <c r="AU179">
        <f t="shared" si="116"/>
        <v>0</v>
      </c>
    </row>
    <row r="180" spans="1:47" x14ac:dyDescent="0.2">
      <c r="A180">
        <v>179</v>
      </c>
      <c r="B180">
        <f>PoolStates_V2!B180</f>
        <v>0</v>
      </c>
      <c r="C180">
        <f>PoolStates_V2!S180</f>
        <v>0.39536889705171363</v>
      </c>
      <c r="D180">
        <f>PoolStates_V2!T180</f>
        <v>7.7668328259278248</v>
      </c>
      <c r="E180">
        <f>PoolStates_V2!Q180</f>
        <v>3.9072165922035525E-3</v>
      </c>
      <c r="F180">
        <f t="shared" si="117"/>
        <v>0</v>
      </c>
      <c r="G180">
        <f t="shared" si="118"/>
        <v>0</v>
      </c>
      <c r="H180">
        <f t="shared" si="119"/>
        <v>93.372002619473662</v>
      </c>
      <c r="I180">
        <f t="shared" si="80"/>
        <v>3.9072165922035525E-3</v>
      </c>
      <c r="J180">
        <f t="shared" si="81"/>
        <v>0</v>
      </c>
      <c r="K180">
        <f t="shared" si="82"/>
        <v>0</v>
      </c>
      <c r="L180">
        <f t="shared" si="83"/>
        <v>0</v>
      </c>
      <c r="M180">
        <f t="shared" si="84"/>
        <v>0</v>
      </c>
      <c r="N180">
        <f t="shared" si="85"/>
        <v>0</v>
      </c>
      <c r="O180">
        <f t="shared" si="86"/>
        <v>93.368095402881465</v>
      </c>
      <c r="P180">
        <f>M180*Inputs!B6/12</f>
        <v>0</v>
      </c>
      <c r="Q180">
        <f t="shared" si="87"/>
        <v>0</v>
      </c>
      <c r="R180">
        <f>N180*Inputs!B6/12</f>
        <v>0</v>
      </c>
      <c r="S180">
        <f t="shared" si="88"/>
        <v>0</v>
      </c>
      <c r="T180">
        <f t="shared" si="89"/>
        <v>0.39536889705171363</v>
      </c>
      <c r="U180">
        <f t="shared" si="90"/>
        <v>0</v>
      </c>
      <c r="V180">
        <f t="shared" si="91"/>
        <v>0.39536889705171363</v>
      </c>
      <c r="W180">
        <f t="shared" si="92"/>
        <v>7.7668328259278248</v>
      </c>
      <c r="X180">
        <f t="shared" si="93"/>
        <v>0</v>
      </c>
      <c r="Y180">
        <f t="shared" si="94"/>
        <v>0</v>
      </c>
      <c r="Z180">
        <f t="shared" si="95"/>
        <v>0</v>
      </c>
      <c r="AA180">
        <f t="shared" si="96"/>
        <v>0</v>
      </c>
      <c r="AB180">
        <f t="shared" si="97"/>
        <v>0</v>
      </c>
      <c r="AC180">
        <f t="shared" si="98"/>
        <v>7.7668328259278248</v>
      </c>
      <c r="AD180">
        <f t="shared" si="99"/>
        <v>0</v>
      </c>
      <c r="AE180">
        <f t="shared" si="100"/>
        <v>7.7668328259278248</v>
      </c>
      <c r="AF180">
        <f t="shared" si="101"/>
        <v>0</v>
      </c>
      <c r="AG180">
        <f t="shared" si="102"/>
        <v>7.7668328259278248</v>
      </c>
      <c r="AH180">
        <f t="shared" si="103"/>
        <v>7.7668328259278248</v>
      </c>
      <c r="AI180">
        <f t="shared" si="104"/>
        <v>0</v>
      </c>
      <c r="AJ180">
        <f t="shared" si="105"/>
        <v>0</v>
      </c>
      <c r="AK180">
        <f t="shared" si="106"/>
        <v>7.7668328259278248</v>
      </c>
      <c r="AL180">
        <f t="shared" si="107"/>
        <v>0</v>
      </c>
      <c r="AM180">
        <f t="shared" si="108"/>
        <v>0</v>
      </c>
      <c r="AN180">
        <f t="shared" si="109"/>
        <v>7.7668328259278248</v>
      </c>
      <c r="AO180">
        <f t="shared" si="110"/>
        <v>0</v>
      </c>
      <c r="AP180">
        <f t="shared" si="111"/>
        <v>0</v>
      </c>
      <c r="AQ180">
        <f t="shared" si="112"/>
        <v>0</v>
      </c>
      <c r="AR180">
        <f t="shared" si="113"/>
        <v>85.601262576953644</v>
      </c>
      <c r="AS180">
        <f t="shared" si="114"/>
        <v>0</v>
      </c>
      <c r="AT180">
        <f t="shared" si="115"/>
        <v>0</v>
      </c>
      <c r="AU180">
        <f t="shared" si="116"/>
        <v>0</v>
      </c>
    </row>
    <row r="181" spans="1:47" x14ac:dyDescent="0.2">
      <c r="A181">
        <v>180</v>
      </c>
      <c r="B181">
        <f>PoolStates_V2!B181</f>
        <v>0</v>
      </c>
      <c r="C181">
        <f>PoolStates_V2!S181</f>
        <v>0.36245587204333318</v>
      </c>
      <c r="D181">
        <f>PoolStates_V2!T181</f>
        <v>7.1253461551491517</v>
      </c>
      <c r="E181">
        <f>PoolStates_V2!Q181</f>
        <v>3.5856153936664721E-3</v>
      </c>
      <c r="F181">
        <f t="shared" si="117"/>
        <v>0</v>
      </c>
      <c r="G181">
        <f t="shared" si="118"/>
        <v>0</v>
      </c>
      <c r="H181">
        <f t="shared" si="119"/>
        <v>85.601262576953644</v>
      </c>
      <c r="I181">
        <f t="shared" si="80"/>
        <v>3.5856153936664721E-3</v>
      </c>
      <c r="J181">
        <f t="shared" si="81"/>
        <v>0</v>
      </c>
      <c r="K181">
        <f t="shared" si="82"/>
        <v>0</v>
      </c>
      <c r="L181">
        <f t="shared" si="83"/>
        <v>0</v>
      </c>
      <c r="M181">
        <f t="shared" si="84"/>
        <v>0</v>
      </c>
      <c r="N181">
        <f t="shared" si="85"/>
        <v>0</v>
      </c>
      <c r="O181">
        <f t="shared" si="86"/>
        <v>85.597676961559984</v>
      </c>
      <c r="P181">
        <f>M181*Inputs!B6/12</f>
        <v>0</v>
      </c>
      <c r="Q181">
        <f t="shared" si="87"/>
        <v>0</v>
      </c>
      <c r="R181">
        <f>N181*Inputs!B6/12</f>
        <v>0</v>
      </c>
      <c r="S181">
        <f t="shared" si="88"/>
        <v>0</v>
      </c>
      <c r="T181">
        <f t="shared" si="89"/>
        <v>0.36245587204333318</v>
      </c>
      <c r="U181">
        <f t="shared" si="90"/>
        <v>0</v>
      </c>
      <c r="V181">
        <f t="shared" si="91"/>
        <v>0.36245587204333318</v>
      </c>
      <c r="W181">
        <f t="shared" si="92"/>
        <v>7.1253461551491517</v>
      </c>
      <c r="X181">
        <f t="shared" si="93"/>
        <v>0</v>
      </c>
      <c r="Y181">
        <f t="shared" si="94"/>
        <v>0</v>
      </c>
      <c r="Z181">
        <f t="shared" si="95"/>
        <v>0</v>
      </c>
      <c r="AA181">
        <f t="shared" si="96"/>
        <v>0</v>
      </c>
      <c r="AB181">
        <f t="shared" si="97"/>
        <v>0</v>
      </c>
      <c r="AC181">
        <f t="shared" si="98"/>
        <v>7.1253461551491517</v>
      </c>
      <c r="AD181">
        <f t="shared" si="99"/>
        <v>0</v>
      </c>
      <c r="AE181">
        <f t="shared" si="100"/>
        <v>7.1253461551491517</v>
      </c>
      <c r="AF181">
        <f t="shared" si="101"/>
        <v>0</v>
      </c>
      <c r="AG181">
        <f t="shared" si="102"/>
        <v>7.1253461551491517</v>
      </c>
      <c r="AH181">
        <f t="shared" si="103"/>
        <v>7.1253461551491517</v>
      </c>
      <c r="AI181">
        <f t="shared" si="104"/>
        <v>0</v>
      </c>
      <c r="AJ181">
        <f t="shared" si="105"/>
        <v>0</v>
      </c>
      <c r="AK181">
        <f t="shared" si="106"/>
        <v>7.1253461551491517</v>
      </c>
      <c r="AL181">
        <f t="shared" si="107"/>
        <v>0</v>
      </c>
      <c r="AM181">
        <f t="shared" si="108"/>
        <v>0</v>
      </c>
      <c r="AN181">
        <f t="shared" si="109"/>
        <v>7.1253461551491517</v>
      </c>
      <c r="AO181">
        <f t="shared" si="110"/>
        <v>0</v>
      </c>
      <c r="AP181">
        <f t="shared" si="111"/>
        <v>0</v>
      </c>
      <c r="AQ181">
        <f t="shared" si="112"/>
        <v>0</v>
      </c>
      <c r="AR181">
        <f t="shared" si="113"/>
        <v>78.472330806410838</v>
      </c>
      <c r="AS181">
        <f t="shared" si="114"/>
        <v>0</v>
      </c>
      <c r="AT181">
        <f t="shared" si="115"/>
        <v>0</v>
      </c>
      <c r="AU181">
        <f t="shared" si="116"/>
        <v>0</v>
      </c>
    </row>
    <row r="182" spans="1:47" x14ac:dyDescent="0.2">
      <c r="A182">
        <v>181</v>
      </c>
      <c r="B182">
        <f>PoolStates_V2!B182</f>
        <v>0</v>
      </c>
      <c r="C182">
        <f>PoolStates_V2!S182</f>
        <v>0.33226185122356733</v>
      </c>
      <c r="D182">
        <f>PoolStates_V2!T182</f>
        <v>6.5365073639326745</v>
      </c>
      <c r="E182">
        <f>PoolStates_V2!Q182</f>
        <v>3.2903315965650431E-3</v>
      </c>
      <c r="F182">
        <f t="shared" si="117"/>
        <v>0</v>
      </c>
      <c r="G182">
        <f t="shared" si="118"/>
        <v>0</v>
      </c>
      <c r="H182">
        <f t="shared" si="119"/>
        <v>78.472330806410838</v>
      </c>
      <c r="I182">
        <f t="shared" si="80"/>
        <v>3.2903315965650431E-3</v>
      </c>
      <c r="J182">
        <f t="shared" si="81"/>
        <v>0</v>
      </c>
      <c r="K182">
        <f t="shared" si="82"/>
        <v>0</v>
      </c>
      <c r="L182">
        <f t="shared" si="83"/>
        <v>0</v>
      </c>
      <c r="M182">
        <f t="shared" si="84"/>
        <v>0</v>
      </c>
      <c r="N182">
        <f t="shared" si="85"/>
        <v>0</v>
      </c>
      <c r="O182">
        <f t="shared" si="86"/>
        <v>78.469040474814278</v>
      </c>
      <c r="P182">
        <f>M182*Inputs!B6/12</f>
        <v>0</v>
      </c>
      <c r="Q182">
        <f t="shared" si="87"/>
        <v>0</v>
      </c>
      <c r="R182">
        <f>N182*Inputs!B6/12</f>
        <v>0</v>
      </c>
      <c r="S182">
        <f t="shared" si="88"/>
        <v>0</v>
      </c>
      <c r="T182">
        <f t="shared" si="89"/>
        <v>0.33226185122356733</v>
      </c>
      <c r="U182">
        <f t="shared" si="90"/>
        <v>0</v>
      </c>
      <c r="V182">
        <f t="shared" si="91"/>
        <v>0.33226185122356733</v>
      </c>
      <c r="W182">
        <f t="shared" si="92"/>
        <v>6.5365073639326745</v>
      </c>
      <c r="X182">
        <f t="shared" si="93"/>
        <v>0</v>
      </c>
      <c r="Y182">
        <f t="shared" si="94"/>
        <v>0</v>
      </c>
      <c r="Z182">
        <f t="shared" si="95"/>
        <v>0</v>
      </c>
      <c r="AA182">
        <f t="shared" si="96"/>
        <v>0</v>
      </c>
      <c r="AB182">
        <f t="shared" si="97"/>
        <v>0</v>
      </c>
      <c r="AC182">
        <f t="shared" si="98"/>
        <v>6.5365073639326745</v>
      </c>
      <c r="AD182">
        <f t="shared" si="99"/>
        <v>0</v>
      </c>
      <c r="AE182">
        <f t="shared" si="100"/>
        <v>6.5365073639326745</v>
      </c>
      <c r="AF182">
        <f t="shared" si="101"/>
        <v>0</v>
      </c>
      <c r="AG182">
        <f t="shared" si="102"/>
        <v>6.5365073639326745</v>
      </c>
      <c r="AH182">
        <f t="shared" si="103"/>
        <v>6.5365073639326745</v>
      </c>
      <c r="AI182">
        <f t="shared" si="104"/>
        <v>0</v>
      </c>
      <c r="AJ182">
        <f t="shared" si="105"/>
        <v>0</v>
      </c>
      <c r="AK182">
        <f t="shared" si="106"/>
        <v>6.5365073639326745</v>
      </c>
      <c r="AL182">
        <f t="shared" si="107"/>
        <v>0</v>
      </c>
      <c r="AM182">
        <f t="shared" si="108"/>
        <v>0</v>
      </c>
      <c r="AN182">
        <f t="shared" si="109"/>
        <v>6.5365073639326745</v>
      </c>
      <c r="AO182">
        <f t="shared" si="110"/>
        <v>0</v>
      </c>
      <c r="AP182">
        <f t="shared" si="111"/>
        <v>0</v>
      </c>
      <c r="AQ182">
        <f t="shared" si="112"/>
        <v>0</v>
      </c>
      <c r="AR182">
        <f t="shared" si="113"/>
        <v>71.932533110881607</v>
      </c>
      <c r="AS182">
        <f t="shared" si="114"/>
        <v>0</v>
      </c>
      <c r="AT182">
        <f t="shared" si="115"/>
        <v>0</v>
      </c>
      <c r="AU182">
        <f t="shared" si="116"/>
        <v>0</v>
      </c>
    </row>
    <row r="183" spans="1:47" x14ac:dyDescent="0.2">
      <c r="A183">
        <v>182</v>
      </c>
      <c r="B183">
        <f>PoolStates_V2!B183</f>
        <v>0</v>
      </c>
      <c r="C183">
        <f>PoolStates_V2!S183</f>
        <v>0.30456363877701886</v>
      </c>
      <c r="D183">
        <f>PoolStates_V2!T183</f>
        <v>5.9960186027703166</v>
      </c>
      <c r="E183">
        <f>PoolStates_V2!Q183</f>
        <v>3.0192222138930381E-3</v>
      </c>
      <c r="F183">
        <f t="shared" si="117"/>
        <v>0</v>
      </c>
      <c r="G183">
        <f t="shared" si="118"/>
        <v>0</v>
      </c>
      <c r="H183">
        <f t="shared" si="119"/>
        <v>71.932533110881607</v>
      </c>
      <c r="I183">
        <f t="shared" si="80"/>
        <v>3.0192222138930381E-3</v>
      </c>
      <c r="J183">
        <f t="shared" si="81"/>
        <v>0</v>
      </c>
      <c r="K183">
        <f t="shared" si="82"/>
        <v>0</v>
      </c>
      <c r="L183">
        <f t="shared" si="83"/>
        <v>0</v>
      </c>
      <c r="M183">
        <f t="shared" si="84"/>
        <v>0</v>
      </c>
      <c r="N183">
        <f t="shared" si="85"/>
        <v>0</v>
      </c>
      <c r="O183">
        <f t="shared" si="86"/>
        <v>71.929513888667714</v>
      </c>
      <c r="P183">
        <f>M183*Inputs!B6/12</f>
        <v>0</v>
      </c>
      <c r="Q183">
        <f t="shared" si="87"/>
        <v>0</v>
      </c>
      <c r="R183">
        <f>N183*Inputs!B6/12</f>
        <v>0</v>
      </c>
      <c r="S183">
        <f t="shared" si="88"/>
        <v>0</v>
      </c>
      <c r="T183">
        <f t="shared" si="89"/>
        <v>0.30456363877701886</v>
      </c>
      <c r="U183">
        <f t="shared" si="90"/>
        <v>0</v>
      </c>
      <c r="V183">
        <f t="shared" si="91"/>
        <v>0.30456363877701886</v>
      </c>
      <c r="W183">
        <f t="shared" si="92"/>
        <v>5.9960186027703166</v>
      </c>
      <c r="X183">
        <f t="shared" si="93"/>
        <v>0</v>
      </c>
      <c r="Y183">
        <f t="shared" si="94"/>
        <v>0</v>
      </c>
      <c r="Z183">
        <f t="shared" si="95"/>
        <v>0</v>
      </c>
      <c r="AA183">
        <f t="shared" si="96"/>
        <v>0</v>
      </c>
      <c r="AB183">
        <f t="shared" si="97"/>
        <v>0</v>
      </c>
      <c r="AC183">
        <f t="shared" si="98"/>
        <v>5.9960186027703166</v>
      </c>
      <c r="AD183">
        <f t="shared" si="99"/>
        <v>0</v>
      </c>
      <c r="AE183">
        <f t="shared" si="100"/>
        <v>5.9960186027703166</v>
      </c>
      <c r="AF183">
        <f t="shared" si="101"/>
        <v>0</v>
      </c>
      <c r="AG183">
        <f t="shared" si="102"/>
        <v>5.9960186027703166</v>
      </c>
      <c r="AH183">
        <f t="shared" si="103"/>
        <v>5.9960186027703166</v>
      </c>
      <c r="AI183">
        <f t="shared" si="104"/>
        <v>0</v>
      </c>
      <c r="AJ183">
        <f t="shared" si="105"/>
        <v>0</v>
      </c>
      <c r="AK183">
        <f t="shared" si="106"/>
        <v>5.9960186027703166</v>
      </c>
      <c r="AL183">
        <f t="shared" si="107"/>
        <v>0</v>
      </c>
      <c r="AM183">
        <f t="shared" si="108"/>
        <v>0</v>
      </c>
      <c r="AN183">
        <f t="shared" si="109"/>
        <v>5.9960186027703166</v>
      </c>
      <c r="AO183">
        <f t="shared" si="110"/>
        <v>0</v>
      </c>
      <c r="AP183">
        <f t="shared" si="111"/>
        <v>0</v>
      </c>
      <c r="AQ183">
        <f t="shared" si="112"/>
        <v>0</v>
      </c>
      <c r="AR183">
        <f t="shared" si="113"/>
        <v>65.933495285897394</v>
      </c>
      <c r="AS183">
        <f t="shared" si="114"/>
        <v>0</v>
      </c>
      <c r="AT183">
        <f t="shared" si="115"/>
        <v>0</v>
      </c>
      <c r="AU183">
        <f t="shared" si="116"/>
        <v>0</v>
      </c>
    </row>
    <row r="184" spans="1:47" x14ac:dyDescent="0.2">
      <c r="A184">
        <v>183</v>
      </c>
      <c r="B184">
        <f>PoolStates_V2!B184</f>
        <v>0</v>
      </c>
      <c r="C184">
        <f>PoolStates_V2!S184</f>
        <v>0.27915626220026629</v>
      </c>
      <c r="D184">
        <f>PoolStates_V2!T184</f>
        <v>5.4999312722367701</v>
      </c>
      <c r="E184">
        <f>PoolStates_V2!Q184</f>
        <v>2.7703180163877318E-3</v>
      </c>
      <c r="F184">
        <f t="shared" si="117"/>
        <v>0</v>
      </c>
      <c r="G184">
        <f t="shared" si="118"/>
        <v>0</v>
      </c>
      <c r="H184">
        <f t="shared" si="119"/>
        <v>65.933495285897394</v>
      </c>
      <c r="I184">
        <f t="shared" si="80"/>
        <v>2.7703180163877318E-3</v>
      </c>
      <c r="J184">
        <f t="shared" si="81"/>
        <v>0</v>
      </c>
      <c r="K184">
        <f t="shared" si="82"/>
        <v>0</v>
      </c>
      <c r="L184">
        <f t="shared" si="83"/>
        <v>0</v>
      </c>
      <c r="M184">
        <f t="shared" si="84"/>
        <v>0</v>
      </c>
      <c r="N184">
        <f t="shared" si="85"/>
        <v>0</v>
      </c>
      <c r="O184">
        <f t="shared" si="86"/>
        <v>65.930724967881005</v>
      </c>
      <c r="P184">
        <f>M184*Inputs!B6/12</f>
        <v>0</v>
      </c>
      <c r="Q184">
        <f t="shared" si="87"/>
        <v>0</v>
      </c>
      <c r="R184">
        <f>N184*Inputs!B6/12</f>
        <v>0</v>
      </c>
      <c r="S184">
        <f t="shared" si="88"/>
        <v>0</v>
      </c>
      <c r="T184">
        <f t="shared" si="89"/>
        <v>0.27915626220026629</v>
      </c>
      <c r="U184">
        <f t="shared" si="90"/>
        <v>0</v>
      </c>
      <c r="V184">
        <f t="shared" si="91"/>
        <v>0.27915626220026629</v>
      </c>
      <c r="W184">
        <f t="shared" si="92"/>
        <v>5.4999312722367701</v>
      </c>
      <c r="X184">
        <f t="shared" si="93"/>
        <v>0</v>
      </c>
      <c r="Y184">
        <f t="shared" si="94"/>
        <v>0</v>
      </c>
      <c r="Z184">
        <f t="shared" si="95"/>
        <v>0</v>
      </c>
      <c r="AA184">
        <f t="shared" si="96"/>
        <v>0</v>
      </c>
      <c r="AB184">
        <f t="shared" si="97"/>
        <v>0</v>
      </c>
      <c r="AC184">
        <f t="shared" si="98"/>
        <v>5.4999312722367701</v>
      </c>
      <c r="AD184">
        <f t="shared" si="99"/>
        <v>0</v>
      </c>
      <c r="AE184">
        <f t="shared" si="100"/>
        <v>5.4999312722367701</v>
      </c>
      <c r="AF184">
        <f t="shared" si="101"/>
        <v>0</v>
      </c>
      <c r="AG184">
        <f t="shared" si="102"/>
        <v>5.4999312722367701</v>
      </c>
      <c r="AH184">
        <f t="shared" si="103"/>
        <v>5.4999312722367701</v>
      </c>
      <c r="AI184">
        <f t="shared" si="104"/>
        <v>0</v>
      </c>
      <c r="AJ184">
        <f t="shared" si="105"/>
        <v>0</v>
      </c>
      <c r="AK184">
        <f t="shared" si="106"/>
        <v>5.4999312722367701</v>
      </c>
      <c r="AL184">
        <f t="shared" si="107"/>
        <v>0</v>
      </c>
      <c r="AM184">
        <f t="shared" si="108"/>
        <v>0</v>
      </c>
      <c r="AN184">
        <f t="shared" si="109"/>
        <v>5.4999312722367701</v>
      </c>
      <c r="AO184">
        <f t="shared" si="110"/>
        <v>0</v>
      </c>
      <c r="AP184">
        <f t="shared" si="111"/>
        <v>0</v>
      </c>
      <c r="AQ184">
        <f t="shared" si="112"/>
        <v>0</v>
      </c>
      <c r="AR184">
        <f t="shared" si="113"/>
        <v>60.430793695644233</v>
      </c>
      <c r="AS184">
        <f t="shared" si="114"/>
        <v>0</v>
      </c>
      <c r="AT184">
        <f t="shared" si="115"/>
        <v>0</v>
      </c>
      <c r="AU184">
        <f t="shared" si="116"/>
        <v>0</v>
      </c>
    </row>
    <row r="185" spans="1:47" x14ac:dyDescent="0.2">
      <c r="A185">
        <v>184</v>
      </c>
      <c r="B185">
        <f>PoolStates_V2!B185</f>
        <v>0</v>
      </c>
      <c r="C185">
        <f>PoolStates_V2!S185</f>
        <v>0.25585149123643663</v>
      </c>
      <c r="D185">
        <f>PoolStates_V2!T185</f>
        <v>5.0446177540983301</v>
      </c>
      <c r="E185">
        <f>PoolStates_V2!Q185</f>
        <v>2.5418094962123797E-3</v>
      </c>
      <c r="F185">
        <f t="shared" si="117"/>
        <v>0</v>
      </c>
      <c r="G185">
        <f t="shared" si="118"/>
        <v>0</v>
      </c>
      <c r="H185">
        <f t="shared" si="119"/>
        <v>60.430793695644233</v>
      </c>
      <c r="I185">
        <f t="shared" si="80"/>
        <v>2.5418094962123797E-3</v>
      </c>
      <c r="J185">
        <f t="shared" si="81"/>
        <v>0</v>
      </c>
      <c r="K185">
        <f t="shared" si="82"/>
        <v>0</v>
      </c>
      <c r="L185">
        <f t="shared" si="83"/>
        <v>0</v>
      </c>
      <c r="M185">
        <f t="shared" si="84"/>
        <v>0</v>
      </c>
      <c r="N185">
        <f t="shared" si="85"/>
        <v>0</v>
      </c>
      <c r="O185">
        <f t="shared" si="86"/>
        <v>60.428251886148018</v>
      </c>
      <c r="P185">
        <f>M185*Inputs!B6/12</f>
        <v>0</v>
      </c>
      <c r="Q185">
        <f t="shared" si="87"/>
        <v>0</v>
      </c>
      <c r="R185">
        <f>N185*Inputs!B6/12</f>
        <v>0</v>
      </c>
      <c r="S185">
        <f t="shared" si="88"/>
        <v>0</v>
      </c>
      <c r="T185">
        <f t="shared" si="89"/>
        <v>0.25585149123643663</v>
      </c>
      <c r="U185">
        <f t="shared" si="90"/>
        <v>0</v>
      </c>
      <c r="V185">
        <f t="shared" si="91"/>
        <v>0.25585149123643663</v>
      </c>
      <c r="W185">
        <f t="shared" si="92"/>
        <v>5.0446177540983301</v>
      </c>
      <c r="X185">
        <f t="shared" si="93"/>
        <v>0</v>
      </c>
      <c r="Y185">
        <f t="shared" si="94"/>
        <v>0</v>
      </c>
      <c r="Z185">
        <f t="shared" si="95"/>
        <v>0</v>
      </c>
      <c r="AA185">
        <f t="shared" si="96"/>
        <v>0</v>
      </c>
      <c r="AB185">
        <f t="shared" si="97"/>
        <v>0</v>
      </c>
      <c r="AC185">
        <f t="shared" si="98"/>
        <v>5.0446177540983301</v>
      </c>
      <c r="AD185">
        <f t="shared" si="99"/>
        <v>0</v>
      </c>
      <c r="AE185">
        <f t="shared" si="100"/>
        <v>5.0446177540983301</v>
      </c>
      <c r="AF185">
        <f t="shared" si="101"/>
        <v>0</v>
      </c>
      <c r="AG185">
        <f t="shared" si="102"/>
        <v>5.0446177540983301</v>
      </c>
      <c r="AH185">
        <f t="shared" si="103"/>
        <v>5.0446177540983301</v>
      </c>
      <c r="AI185">
        <f t="shared" si="104"/>
        <v>0</v>
      </c>
      <c r="AJ185">
        <f t="shared" si="105"/>
        <v>0</v>
      </c>
      <c r="AK185">
        <f t="shared" si="106"/>
        <v>5.0446177540983301</v>
      </c>
      <c r="AL185">
        <f t="shared" si="107"/>
        <v>0</v>
      </c>
      <c r="AM185">
        <f t="shared" si="108"/>
        <v>0</v>
      </c>
      <c r="AN185">
        <f t="shared" si="109"/>
        <v>5.0446177540983301</v>
      </c>
      <c r="AO185">
        <f t="shared" si="110"/>
        <v>0</v>
      </c>
      <c r="AP185">
        <f t="shared" si="111"/>
        <v>0</v>
      </c>
      <c r="AQ185">
        <f t="shared" si="112"/>
        <v>0</v>
      </c>
      <c r="AR185">
        <f t="shared" si="113"/>
        <v>55.383634132049686</v>
      </c>
      <c r="AS185">
        <f t="shared" si="114"/>
        <v>0</v>
      </c>
      <c r="AT185">
        <f t="shared" si="115"/>
        <v>0</v>
      </c>
      <c r="AU185">
        <f t="shared" si="116"/>
        <v>0</v>
      </c>
    </row>
    <row r="186" spans="1:47" x14ac:dyDescent="0.2">
      <c r="A186">
        <v>185</v>
      </c>
      <c r="B186">
        <f>PoolStates_V2!B186</f>
        <v>0</v>
      </c>
      <c r="C186">
        <f>PoolStates_V2!S186</f>
        <v>0.23447647670474861</v>
      </c>
      <c r="D186">
        <f>PoolStates_V2!T186</f>
        <v>4.6267454227129221</v>
      </c>
      <c r="E186">
        <f>PoolStates_V2!Q186</f>
        <v>2.3320339607829947E-3</v>
      </c>
      <c r="F186">
        <f t="shared" si="117"/>
        <v>0</v>
      </c>
      <c r="G186">
        <f t="shared" si="118"/>
        <v>0</v>
      </c>
      <c r="H186">
        <f t="shared" si="119"/>
        <v>55.383634132049686</v>
      </c>
      <c r="I186">
        <f t="shared" si="80"/>
        <v>2.3320339607829947E-3</v>
      </c>
      <c r="J186">
        <f t="shared" si="81"/>
        <v>0</v>
      </c>
      <c r="K186">
        <f t="shared" si="82"/>
        <v>0</v>
      </c>
      <c r="L186">
        <f t="shared" si="83"/>
        <v>0</v>
      </c>
      <c r="M186">
        <f t="shared" si="84"/>
        <v>0</v>
      </c>
      <c r="N186">
        <f t="shared" si="85"/>
        <v>0</v>
      </c>
      <c r="O186">
        <f t="shared" si="86"/>
        <v>55.381302098088902</v>
      </c>
      <c r="P186">
        <f>M186*Inputs!B6/12</f>
        <v>0</v>
      </c>
      <c r="Q186">
        <f t="shared" si="87"/>
        <v>0</v>
      </c>
      <c r="R186">
        <f>N186*Inputs!B6/12</f>
        <v>0</v>
      </c>
      <c r="S186">
        <f t="shared" si="88"/>
        <v>0</v>
      </c>
      <c r="T186">
        <f t="shared" si="89"/>
        <v>0.23447647670474861</v>
      </c>
      <c r="U186">
        <f t="shared" si="90"/>
        <v>0</v>
      </c>
      <c r="V186">
        <f t="shared" si="91"/>
        <v>0.23447647670474861</v>
      </c>
      <c r="W186">
        <f t="shared" si="92"/>
        <v>4.6267454227129221</v>
      </c>
      <c r="X186">
        <f t="shared" si="93"/>
        <v>0</v>
      </c>
      <c r="Y186">
        <f t="shared" si="94"/>
        <v>0</v>
      </c>
      <c r="Z186">
        <f t="shared" si="95"/>
        <v>0</v>
      </c>
      <c r="AA186">
        <f t="shared" si="96"/>
        <v>0</v>
      </c>
      <c r="AB186">
        <f t="shared" si="97"/>
        <v>0</v>
      </c>
      <c r="AC186">
        <f t="shared" si="98"/>
        <v>4.6267454227129221</v>
      </c>
      <c r="AD186">
        <f t="shared" si="99"/>
        <v>0</v>
      </c>
      <c r="AE186">
        <f t="shared" si="100"/>
        <v>4.6267454227129221</v>
      </c>
      <c r="AF186">
        <f t="shared" si="101"/>
        <v>0</v>
      </c>
      <c r="AG186">
        <f t="shared" si="102"/>
        <v>4.6267454227129221</v>
      </c>
      <c r="AH186">
        <f t="shared" si="103"/>
        <v>4.6267454227129221</v>
      </c>
      <c r="AI186">
        <f t="shared" si="104"/>
        <v>0</v>
      </c>
      <c r="AJ186">
        <f t="shared" si="105"/>
        <v>0</v>
      </c>
      <c r="AK186">
        <f t="shared" si="106"/>
        <v>4.6267454227129221</v>
      </c>
      <c r="AL186">
        <f t="shared" si="107"/>
        <v>0</v>
      </c>
      <c r="AM186">
        <f t="shared" si="108"/>
        <v>0</v>
      </c>
      <c r="AN186">
        <f t="shared" si="109"/>
        <v>4.6267454227129221</v>
      </c>
      <c r="AO186">
        <f t="shared" si="110"/>
        <v>0</v>
      </c>
      <c r="AP186">
        <f t="shared" si="111"/>
        <v>0</v>
      </c>
      <c r="AQ186">
        <f t="shared" si="112"/>
        <v>0</v>
      </c>
      <c r="AR186">
        <f t="shared" si="113"/>
        <v>50.75455667537598</v>
      </c>
      <c r="AS186">
        <f t="shared" si="114"/>
        <v>0</v>
      </c>
      <c r="AT186">
        <f t="shared" si="115"/>
        <v>0</v>
      </c>
      <c r="AU186">
        <f t="shared" si="116"/>
        <v>0</v>
      </c>
    </row>
    <row r="187" spans="1:47" x14ac:dyDescent="0.2">
      <c r="A187">
        <v>186</v>
      </c>
      <c r="B187">
        <f>PoolStates_V2!B187</f>
        <v>0</v>
      </c>
      <c r="C187">
        <f>PoolStates_V2!S187</f>
        <v>0.2148724995526804</v>
      </c>
      <c r="D187">
        <f>PoolStates_V2!T187</f>
        <v>4.2432527533355389</v>
      </c>
      <c r="E187">
        <f>PoolStates_V2!Q187</f>
        <v>2.1394636660135827E-3</v>
      </c>
      <c r="F187">
        <f t="shared" si="117"/>
        <v>0</v>
      </c>
      <c r="G187">
        <f t="shared" si="118"/>
        <v>0</v>
      </c>
      <c r="H187">
        <f t="shared" si="119"/>
        <v>50.75455667537598</v>
      </c>
      <c r="I187">
        <f t="shared" si="80"/>
        <v>2.1394636660135827E-3</v>
      </c>
      <c r="J187">
        <f t="shared" si="81"/>
        <v>0</v>
      </c>
      <c r="K187">
        <f t="shared" si="82"/>
        <v>0</v>
      </c>
      <c r="L187">
        <f t="shared" si="83"/>
        <v>0</v>
      </c>
      <c r="M187">
        <f t="shared" si="84"/>
        <v>0</v>
      </c>
      <c r="N187">
        <f t="shared" si="85"/>
        <v>0</v>
      </c>
      <c r="O187">
        <f t="shared" si="86"/>
        <v>50.752417211709968</v>
      </c>
      <c r="P187">
        <f>M187*Inputs!B6/12</f>
        <v>0</v>
      </c>
      <c r="Q187">
        <f t="shared" si="87"/>
        <v>0</v>
      </c>
      <c r="R187">
        <f>N187*Inputs!B6/12</f>
        <v>0</v>
      </c>
      <c r="S187">
        <f t="shared" si="88"/>
        <v>0</v>
      </c>
      <c r="T187">
        <f t="shared" si="89"/>
        <v>0.2148724995526804</v>
      </c>
      <c r="U187">
        <f t="shared" si="90"/>
        <v>0</v>
      </c>
      <c r="V187">
        <f t="shared" si="91"/>
        <v>0.2148724995526804</v>
      </c>
      <c r="W187">
        <f t="shared" si="92"/>
        <v>4.2432527533355389</v>
      </c>
      <c r="X187">
        <f t="shared" si="93"/>
        <v>0</v>
      </c>
      <c r="Y187">
        <f t="shared" si="94"/>
        <v>0</v>
      </c>
      <c r="Z187">
        <f t="shared" si="95"/>
        <v>0</v>
      </c>
      <c r="AA187">
        <f t="shared" si="96"/>
        <v>0</v>
      </c>
      <c r="AB187">
        <f t="shared" si="97"/>
        <v>0</v>
      </c>
      <c r="AC187">
        <f t="shared" si="98"/>
        <v>4.2432527533355389</v>
      </c>
      <c r="AD187">
        <f t="shared" si="99"/>
        <v>0</v>
      </c>
      <c r="AE187">
        <f t="shared" si="100"/>
        <v>4.2432527533355389</v>
      </c>
      <c r="AF187">
        <f t="shared" si="101"/>
        <v>0</v>
      </c>
      <c r="AG187">
        <f t="shared" si="102"/>
        <v>4.2432527533355389</v>
      </c>
      <c r="AH187">
        <f t="shared" si="103"/>
        <v>4.2432527533355389</v>
      </c>
      <c r="AI187">
        <f t="shared" si="104"/>
        <v>0</v>
      </c>
      <c r="AJ187">
        <f t="shared" si="105"/>
        <v>0</v>
      </c>
      <c r="AK187">
        <f t="shared" si="106"/>
        <v>4.2432527533355389</v>
      </c>
      <c r="AL187">
        <f t="shared" si="107"/>
        <v>0</v>
      </c>
      <c r="AM187">
        <f t="shared" si="108"/>
        <v>0</v>
      </c>
      <c r="AN187">
        <f t="shared" si="109"/>
        <v>4.2432527533355389</v>
      </c>
      <c r="AO187">
        <f t="shared" si="110"/>
        <v>0</v>
      </c>
      <c r="AP187">
        <f t="shared" si="111"/>
        <v>0</v>
      </c>
      <c r="AQ187">
        <f t="shared" si="112"/>
        <v>0</v>
      </c>
      <c r="AR187">
        <f t="shared" si="113"/>
        <v>46.509164458374428</v>
      </c>
      <c r="AS187">
        <f t="shared" si="114"/>
        <v>0</v>
      </c>
      <c r="AT187">
        <f t="shared" si="115"/>
        <v>0</v>
      </c>
      <c r="AU187">
        <f t="shared" si="116"/>
        <v>0</v>
      </c>
    </row>
    <row r="188" spans="1:47" x14ac:dyDescent="0.2">
      <c r="A188">
        <v>187</v>
      </c>
      <c r="B188">
        <f>PoolStates_V2!B188</f>
        <v>0</v>
      </c>
      <c r="C188">
        <f>PoolStates_V2!S188</f>
        <v>0.19689382123637245</v>
      </c>
      <c r="D188">
        <f>PoolStates_V2!T188</f>
        <v>3.8913273586526227</v>
      </c>
      <c r="E188">
        <f>PoolStates_V2!Q188</f>
        <v>1.9626949055175204E-3</v>
      </c>
      <c r="F188">
        <f t="shared" si="117"/>
        <v>0</v>
      </c>
      <c r="G188">
        <f t="shared" si="118"/>
        <v>0</v>
      </c>
      <c r="H188">
        <f t="shared" si="119"/>
        <v>46.509164458374428</v>
      </c>
      <c r="I188">
        <f t="shared" si="80"/>
        <v>1.9626949055175204E-3</v>
      </c>
      <c r="J188">
        <f t="shared" si="81"/>
        <v>0</v>
      </c>
      <c r="K188">
        <f t="shared" si="82"/>
        <v>0</v>
      </c>
      <c r="L188">
        <f t="shared" si="83"/>
        <v>0</v>
      </c>
      <c r="M188">
        <f t="shared" si="84"/>
        <v>0</v>
      </c>
      <c r="N188">
        <f t="shared" si="85"/>
        <v>0</v>
      </c>
      <c r="O188">
        <f t="shared" si="86"/>
        <v>46.507201763468913</v>
      </c>
      <c r="P188">
        <f>M188*Inputs!B6/12</f>
        <v>0</v>
      </c>
      <c r="Q188">
        <f t="shared" si="87"/>
        <v>0</v>
      </c>
      <c r="R188">
        <f>N188*Inputs!B6/12</f>
        <v>0</v>
      </c>
      <c r="S188">
        <f t="shared" si="88"/>
        <v>0</v>
      </c>
      <c r="T188">
        <f t="shared" si="89"/>
        <v>0.19689382123637245</v>
      </c>
      <c r="U188">
        <f t="shared" si="90"/>
        <v>0</v>
      </c>
      <c r="V188">
        <f t="shared" si="91"/>
        <v>0.19689382123637245</v>
      </c>
      <c r="W188">
        <f t="shared" si="92"/>
        <v>3.8913273586526227</v>
      </c>
      <c r="X188">
        <f t="shared" si="93"/>
        <v>0</v>
      </c>
      <c r="Y188">
        <f t="shared" si="94"/>
        <v>0</v>
      </c>
      <c r="Z188">
        <f t="shared" si="95"/>
        <v>0</v>
      </c>
      <c r="AA188">
        <f t="shared" si="96"/>
        <v>0</v>
      </c>
      <c r="AB188">
        <f t="shared" si="97"/>
        <v>0</v>
      </c>
      <c r="AC188">
        <f t="shared" si="98"/>
        <v>3.8913273586526227</v>
      </c>
      <c r="AD188">
        <f t="shared" si="99"/>
        <v>0</v>
      </c>
      <c r="AE188">
        <f t="shared" si="100"/>
        <v>3.8913273586526227</v>
      </c>
      <c r="AF188">
        <f t="shared" si="101"/>
        <v>0</v>
      </c>
      <c r="AG188">
        <f t="shared" si="102"/>
        <v>3.8913273586526227</v>
      </c>
      <c r="AH188">
        <f t="shared" si="103"/>
        <v>3.8913273586526227</v>
      </c>
      <c r="AI188">
        <f t="shared" si="104"/>
        <v>0</v>
      </c>
      <c r="AJ188">
        <f t="shared" si="105"/>
        <v>0</v>
      </c>
      <c r="AK188">
        <f t="shared" si="106"/>
        <v>3.8913273586526227</v>
      </c>
      <c r="AL188">
        <f t="shared" si="107"/>
        <v>0</v>
      </c>
      <c r="AM188">
        <f t="shared" si="108"/>
        <v>0</v>
      </c>
      <c r="AN188">
        <f t="shared" si="109"/>
        <v>3.8913273586526227</v>
      </c>
      <c r="AO188">
        <f t="shared" si="110"/>
        <v>0</v>
      </c>
      <c r="AP188">
        <f t="shared" si="111"/>
        <v>0</v>
      </c>
      <c r="AQ188">
        <f t="shared" si="112"/>
        <v>0</v>
      </c>
      <c r="AR188">
        <f t="shared" si="113"/>
        <v>42.615874404816289</v>
      </c>
      <c r="AS188">
        <f t="shared" si="114"/>
        <v>0</v>
      </c>
      <c r="AT188">
        <f t="shared" si="115"/>
        <v>0</v>
      </c>
      <c r="AU188">
        <f t="shared" si="116"/>
        <v>0</v>
      </c>
    </row>
    <row r="189" spans="1:47" x14ac:dyDescent="0.2">
      <c r="A189">
        <v>188</v>
      </c>
      <c r="B189">
        <f>PoolStates_V2!B189</f>
        <v>0</v>
      </c>
      <c r="C189">
        <f>PoolStates_V2!S189</f>
        <v>0.18040662725041884</v>
      </c>
      <c r="D189">
        <f>PoolStates_V2!T189</f>
        <v>3.5683857984010237</v>
      </c>
      <c r="E189">
        <f>PoolStates_V2!Q189</f>
        <v>1.8004379789862827E-3</v>
      </c>
      <c r="F189">
        <f t="shared" si="117"/>
        <v>0</v>
      </c>
      <c r="G189">
        <f t="shared" si="118"/>
        <v>0</v>
      </c>
      <c r="H189">
        <f t="shared" si="119"/>
        <v>42.615874404816289</v>
      </c>
      <c r="I189">
        <f t="shared" si="80"/>
        <v>1.8004379789862827E-3</v>
      </c>
      <c r="J189">
        <f t="shared" si="81"/>
        <v>0</v>
      </c>
      <c r="K189">
        <f t="shared" si="82"/>
        <v>0</v>
      </c>
      <c r="L189">
        <f t="shared" si="83"/>
        <v>0</v>
      </c>
      <c r="M189">
        <f t="shared" si="84"/>
        <v>0</v>
      </c>
      <c r="N189">
        <f t="shared" si="85"/>
        <v>0</v>
      </c>
      <c r="O189">
        <f t="shared" si="86"/>
        <v>42.614073966837303</v>
      </c>
      <c r="P189">
        <f>M189*Inputs!B6/12</f>
        <v>0</v>
      </c>
      <c r="Q189">
        <f t="shared" si="87"/>
        <v>0</v>
      </c>
      <c r="R189">
        <f>N189*Inputs!B6/12</f>
        <v>0</v>
      </c>
      <c r="S189">
        <f t="shared" si="88"/>
        <v>0</v>
      </c>
      <c r="T189">
        <f t="shared" si="89"/>
        <v>0.18040662725041884</v>
      </c>
      <c r="U189">
        <f t="shared" si="90"/>
        <v>0</v>
      </c>
      <c r="V189">
        <f t="shared" si="91"/>
        <v>0.18040662725041884</v>
      </c>
      <c r="W189">
        <f t="shared" si="92"/>
        <v>3.5683857984010237</v>
      </c>
      <c r="X189">
        <f t="shared" si="93"/>
        <v>0</v>
      </c>
      <c r="Y189">
        <f t="shared" si="94"/>
        <v>0</v>
      </c>
      <c r="Z189">
        <f t="shared" si="95"/>
        <v>0</v>
      </c>
      <c r="AA189">
        <f t="shared" si="96"/>
        <v>0</v>
      </c>
      <c r="AB189">
        <f t="shared" si="97"/>
        <v>0</v>
      </c>
      <c r="AC189">
        <f t="shared" si="98"/>
        <v>3.5683857984010237</v>
      </c>
      <c r="AD189">
        <f t="shared" si="99"/>
        <v>0</v>
      </c>
      <c r="AE189">
        <f t="shared" si="100"/>
        <v>3.5683857984010237</v>
      </c>
      <c r="AF189">
        <f t="shared" si="101"/>
        <v>0</v>
      </c>
      <c r="AG189">
        <f t="shared" si="102"/>
        <v>3.5683857984010237</v>
      </c>
      <c r="AH189">
        <f t="shared" si="103"/>
        <v>3.5683857984010237</v>
      </c>
      <c r="AI189">
        <f t="shared" si="104"/>
        <v>0</v>
      </c>
      <c r="AJ189">
        <f t="shared" si="105"/>
        <v>0</v>
      </c>
      <c r="AK189">
        <f t="shared" si="106"/>
        <v>3.5683857984010237</v>
      </c>
      <c r="AL189">
        <f t="shared" si="107"/>
        <v>0</v>
      </c>
      <c r="AM189">
        <f t="shared" si="108"/>
        <v>0</v>
      </c>
      <c r="AN189">
        <f t="shared" si="109"/>
        <v>3.5683857984010237</v>
      </c>
      <c r="AO189">
        <f t="shared" si="110"/>
        <v>0</v>
      </c>
      <c r="AP189">
        <f t="shared" si="111"/>
        <v>0</v>
      </c>
      <c r="AQ189">
        <f t="shared" si="112"/>
        <v>0</v>
      </c>
      <c r="AR189">
        <f t="shared" si="113"/>
        <v>39.045688168436278</v>
      </c>
      <c r="AS189">
        <f t="shared" si="114"/>
        <v>0</v>
      </c>
      <c r="AT189">
        <f t="shared" si="115"/>
        <v>0</v>
      </c>
      <c r="AU189">
        <f t="shared" si="116"/>
        <v>0</v>
      </c>
    </row>
    <row r="190" spans="1:47" x14ac:dyDescent="0.2">
      <c r="A190">
        <v>189</v>
      </c>
      <c r="B190">
        <f>PoolStates_V2!B190</f>
        <v>0</v>
      </c>
      <c r="C190">
        <f>PoolStates_V2!S190</f>
        <v>0.16528805628633955</v>
      </c>
      <c r="D190">
        <f>PoolStates_V2!T190</f>
        <v>3.2720550193763467</v>
      </c>
      <c r="E190">
        <f>PoolStates_V2!Q190</f>
        <v>1.6515079691164188E-3</v>
      </c>
      <c r="F190">
        <f t="shared" si="117"/>
        <v>0</v>
      </c>
      <c r="G190">
        <f t="shared" si="118"/>
        <v>0</v>
      </c>
      <c r="H190">
        <f t="shared" si="119"/>
        <v>39.045688168436278</v>
      </c>
      <c r="I190">
        <f t="shared" si="80"/>
        <v>1.6515079691164188E-3</v>
      </c>
      <c r="J190">
        <f t="shared" si="81"/>
        <v>0</v>
      </c>
      <c r="K190">
        <f t="shared" si="82"/>
        <v>0</v>
      </c>
      <c r="L190">
        <f t="shared" si="83"/>
        <v>0</v>
      </c>
      <c r="M190">
        <f t="shared" si="84"/>
        <v>0</v>
      </c>
      <c r="N190">
        <f t="shared" si="85"/>
        <v>0</v>
      </c>
      <c r="O190">
        <f t="shared" si="86"/>
        <v>39.044036660467164</v>
      </c>
      <c r="P190">
        <f>M190*Inputs!B6/12</f>
        <v>0</v>
      </c>
      <c r="Q190">
        <f t="shared" si="87"/>
        <v>0</v>
      </c>
      <c r="R190">
        <f>N190*Inputs!B6/12</f>
        <v>0</v>
      </c>
      <c r="S190">
        <f t="shared" si="88"/>
        <v>0</v>
      </c>
      <c r="T190">
        <f t="shared" si="89"/>
        <v>0.16528805628633955</v>
      </c>
      <c r="U190">
        <f t="shared" si="90"/>
        <v>0</v>
      </c>
      <c r="V190">
        <f t="shared" si="91"/>
        <v>0.16528805628633955</v>
      </c>
      <c r="W190">
        <f t="shared" si="92"/>
        <v>3.2720550193763467</v>
      </c>
      <c r="X190">
        <f t="shared" si="93"/>
        <v>0</v>
      </c>
      <c r="Y190">
        <f t="shared" si="94"/>
        <v>0</v>
      </c>
      <c r="Z190">
        <f t="shared" si="95"/>
        <v>0</v>
      </c>
      <c r="AA190">
        <f t="shared" si="96"/>
        <v>0</v>
      </c>
      <c r="AB190">
        <f t="shared" si="97"/>
        <v>0</v>
      </c>
      <c r="AC190">
        <f t="shared" si="98"/>
        <v>3.2720550193763467</v>
      </c>
      <c r="AD190">
        <f t="shared" si="99"/>
        <v>0</v>
      </c>
      <c r="AE190">
        <f t="shared" si="100"/>
        <v>3.2720550193763467</v>
      </c>
      <c r="AF190">
        <f t="shared" si="101"/>
        <v>0</v>
      </c>
      <c r="AG190">
        <f t="shared" si="102"/>
        <v>3.2720550193763467</v>
      </c>
      <c r="AH190">
        <f t="shared" si="103"/>
        <v>3.2720550193763467</v>
      </c>
      <c r="AI190">
        <f t="shared" si="104"/>
        <v>0</v>
      </c>
      <c r="AJ190">
        <f t="shared" si="105"/>
        <v>0</v>
      </c>
      <c r="AK190">
        <f t="shared" si="106"/>
        <v>3.2720550193763467</v>
      </c>
      <c r="AL190">
        <f t="shared" si="107"/>
        <v>0</v>
      </c>
      <c r="AM190">
        <f t="shared" si="108"/>
        <v>0</v>
      </c>
      <c r="AN190">
        <f t="shared" si="109"/>
        <v>3.2720550193763467</v>
      </c>
      <c r="AO190">
        <f t="shared" si="110"/>
        <v>0</v>
      </c>
      <c r="AP190">
        <f t="shared" si="111"/>
        <v>0</v>
      </c>
      <c r="AQ190">
        <f t="shared" si="112"/>
        <v>0</v>
      </c>
      <c r="AR190">
        <f t="shared" si="113"/>
        <v>35.771981641090818</v>
      </c>
      <c r="AS190">
        <f t="shared" si="114"/>
        <v>0</v>
      </c>
      <c r="AT190">
        <f t="shared" si="115"/>
        <v>0</v>
      </c>
      <c r="AU190">
        <f t="shared" si="116"/>
        <v>0</v>
      </c>
    </row>
    <row r="191" spans="1:47" x14ac:dyDescent="0.2">
      <c r="A191">
        <v>190</v>
      </c>
      <c r="B191">
        <f>PoolStates_V2!B191</f>
        <v>0</v>
      </c>
      <c r="C191">
        <f>PoolStates_V2!S191</f>
        <v>0.1514253081043439</v>
      </c>
      <c r="D191">
        <f>PoolStates_V2!T191</f>
        <v>3.0001552945879864</v>
      </c>
      <c r="E191">
        <f>PoolStates_V2!Q191</f>
        <v>1.514816262114077E-3</v>
      </c>
      <c r="F191">
        <f t="shared" si="117"/>
        <v>0</v>
      </c>
      <c r="G191">
        <f t="shared" si="118"/>
        <v>0</v>
      </c>
      <c r="H191">
        <f t="shared" si="119"/>
        <v>35.771981641090818</v>
      </c>
      <c r="I191">
        <f t="shared" si="80"/>
        <v>1.514816262114077E-3</v>
      </c>
      <c r="J191">
        <f t="shared" si="81"/>
        <v>0</v>
      </c>
      <c r="K191">
        <f t="shared" si="82"/>
        <v>0</v>
      </c>
      <c r="L191">
        <f t="shared" si="83"/>
        <v>0</v>
      </c>
      <c r="M191">
        <f t="shared" si="84"/>
        <v>0</v>
      </c>
      <c r="N191">
        <f t="shared" si="85"/>
        <v>0</v>
      </c>
      <c r="O191">
        <f t="shared" si="86"/>
        <v>35.770466824828702</v>
      </c>
      <c r="P191">
        <f>M191*Inputs!B6/12</f>
        <v>0</v>
      </c>
      <c r="Q191">
        <f t="shared" si="87"/>
        <v>0</v>
      </c>
      <c r="R191">
        <f>N191*Inputs!B6/12</f>
        <v>0</v>
      </c>
      <c r="S191">
        <f t="shared" si="88"/>
        <v>0</v>
      </c>
      <c r="T191">
        <f t="shared" si="89"/>
        <v>0.1514253081043439</v>
      </c>
      <c r="U191">
        <f t="shared" si="90"/>
        <v>0</v>
      </c>
      <c r="V191">
        <f t="shared" si="91"/>
        <v>0.1514253081043439</v>
      </c>
      <c r="W191">
        <f t="shared" si="92"/>
        <v>3.0001552945879864</v>
      </c>
      <c r="X191">
        <f t="shared" si="93"/>
        <v>0</v>
      </c>
      <c r="Y191">
        <f t="shared" si="94"/>
        <v>0</v>
      </c>
      <c r="Z191">
        <f t="shared" si="95"/>
        <v>0</v>
      </c>
      <c r="AA191">
        <f t="shared" si="96"/>
        <v>0</v>
      </c>
      <c r="AB191">
        <f t="shared" si="97"/>
        <v>0</v>
      </c>
      <c r="AC191">
        <f t="shared" si="98"/>
        <v>3.0001552945879864</v>
      </c>
      <c r="AD191">
        <f t="shared" si="99"/>
        <v>0</v>
      </c>
      <c r="AE191">
        <f t="shared" si="100"/>
        <v>3.0001552945879864</v>
      </c>
      <c r="AF191">
        <f t="shared" si="101"/>
        <v>0</v>
      </c>
      <c r="AG191">
        <f t="shared" si="102"/>
        <v>3.0001552945879864</v>
      </c>
      <c r="AH191">
        <f t="shared" si="103"/>
        <v>3.0001552945879864</v>
      </c>
      <c r="AI191">
        <f t="shared" si="104"/>
        <v>0</v>
      </c>
      <c r="AJ191">
        <f t="shared" si="105"/>
        <v>0</v>
      </c>
      <c r="AK191">
        <f t="shared" si="106"/>
        <v>3.0001552945879864</v>
      </c>
      <c r="AL191">
        <f t="shared" si="107"/>
        <v>0</v>
      </c>
      <c r="AM191">
        <f t="shared" si="108"/>
        <v>0</v>
      </c>
      <c r="AN191">
        <f t="shared" si="109"/>
        <v>3.0001552945879864</v>
      </c>
      <c r="AO191">
        <f t="shared" si="110"/>
        <v>0</v>
      </c>
      <c r="AP191">
        <f t="shared" si="111"/>
        <v>0</v>
      </c>
      <c r="AQ191">
        <f t="shared" si="112"/>
        <v>0</v>
      </c>
      <c r="AR191">
        <f t="shared" si="113"/>
        <v>32.770311530240718</v>
      </c>
      <c r="AS191">
        <f t="shared" si="114"/>
        <v>0</v>
      </c>
      <c r="AT191">
        <f t="shared" si="115"/>
        <v>0</v>
      </c>
      <c r="AU191">
        <f t="shared" si="116"/>
        <v>0</v>
      </c>
    </row>
    <row r="192" spans="1:47" x14ac:dyDescent="0.2">
      <c r="A192">
        <v>191</v>
      </c>
      <c r="B192">
        <f>PoolStates_V2!B192</f>
        <v>0</v>
      </c>
      <c r="C192">
        <f>PoolStates_V2!S192</f>
        <v>0.13871482375972918</v>
      </c>
      <c r="D192">
        <f>PoolStates_V2!T192</f>
        <v>2.7506845408537908</v>
      </c>
      <c r="E192">
        <f>PoolStates_V2!Q192</f>
        <v>1.3893627520126244E-3</v>
      </c>
      <c r="F192">
        <f t="shared" si="117"/>
        <v>0</v>
      </c>
      <c r="G192">
        <f t="shared" si="118"/>
        <v>0</v>
      </c>
      <c r="H192">
        <f t="shared" si="119"/>
        <v>32.770311530240718</v>
      </c>
      <c r="I192">
        <f t="shared" si="80"/>
        <v>1.3893627520126244E-3</v>
      </c>
      <c r="J192">
        <f t="shared" si="81"/>
        <v>0</v>
      </c>
      <c r="K192">
        <f t="shared" si="82"/>
        <v>0</v>
      </c>
      <c r="L192">
        <f t="shared" si="83"/>
        <v>0</v>
      </c>
      <c r="M192">
        <f t="shared" si="84"/>
        <v>0</v>
      </c>
      <c r="N192">
        <f t="shared" si="85"/>
        <v>0</v>
      </c>
      <c r="O192">
        <f t="shared" si="86"/>
        <v>32.768922167488704</v>
      </c>
      <c r="P192">
        <f>M192*Inputs!B6/12</f>
        <v>0</v>
      </c>
      <c r="Q192">
        <f t="shared" si="87"/>
        <v>0</v>
      </c>
      <c r="R192">
        <f>N192*Inputs!B6/12</f>
        <v>0</v>
      </c>
      <c r="S192">
        <f t="shared" si="88"/>
        <v>0</v>
      </c>
      <c r="T192">
        <f t="shared" si="89"/>
        <v>0.13871482375972918</v>
      </c>
      <c r="U192">
        <f t="shared" si="90"/>
        <v>0</v>
      </c>
      <c r="V192">
        <f t="shared" si="91"/>
        <v>0.13871482375972918</v>
      </c>
      <c r="W192">
        <f t="shared" si="92"/>
        <v>2.7506845408537908</v>
      </c>
      <c r="X192">
        <f t="shared" si="93"/>
        <v>0</v>
      </c>
      <c r="Y192">
        <f t="shared" si="94"/>
        <v>0</v>
      </c>
      <c r="Z192">
        <f t="shared" si="95"/>
        <v>0</v>
      </c>
      <c r="AA192">
        <f t="shared" si="96"/>
        <v>0</v>
      </c>
      <c r="AB192">
        <f t="shared" si="97"/>
        <v>0</v>
      </c>
      <c r="AC192">
        <f t="shared" si="98"/>
        <v>2.7506845408537908</v>
      </c>
      <c r="AD192">
        <f t="shared" si="99"/>
        <v>0</v>
      </c>
      <c r="AE192">
        <f t="shared" si="100"/>
        <v>2.7506845408537908</v>
      </c>
      <c r="AF192">
        <f t="shared" si="101"/>
        <v>0</v>
      </c>
      <c r="AG192">
        <f t="shared" si="102"/>
        <v>2.7506845408537908</v>
      </c>
      <c r="AH192">
        <f t="shared" si="103"/>
        <v>2.7506845408537908</v>
      </c>
      <c r="AI192">
        <f t="shared" si="104"/>
        <v>0</v>
      </c>
      <c r="AJ192">
        <f t="shared" si="105"/>
        <v>0</v>
      </c>
      <c r="AK192">
        <f t="shared" si="106"/>
        <v>2.7506845408537908</v>
      </c>
      <c r="AL192">
        <f t="shared" si="107"/>
        <v>0</v>
      </c>
      <c r="AM192">
        <f t="shared" si="108"/>
        <v>0</v>
      </c>
      <c r="AN192">
        <f t="shared" si="109"/>
        <v>2.7506845408537908</v>
      </c>
      <c r="AO192">
        <f t="shared" si="110"/>
        <v>0</v>
      </c>
      <c r="AP192">
        <f t="shared" si="111"/>
        <v>0</v>
      </c>
      <c r="AQ192">
        <f t="shared" si="112"/>
        <v>0</v>
      </c>
      <c r="AR192">
        <f t="shared" si="113"/>
        <v>30.018237626634914</v>
      </c>
      <c r="AS192">
        <f t="shared" si="114"/>
        <v>0</v>
      </c>
      <c r="AT192">
        <f t="shared" si="115"/>
        <v>0</v>
      </c>
      <c r="AU192">
        <f t="shared" si="116"/>
        <v>0</v>
      </c>
    </row>
    <row r="193" spans="1:47" x14ac:dyDescent="0.2">
      <c r="A193">
        <v>192</v>
      </c>
      <c r="B193">
        <f>PoolStates_V2!B193</f>
        <v>0</v>
      </c>
      <c r="C193">
        <f>PoolStates_V2!S193</f>
        <v>0.12706153233729478</v>
      </c>
      <c r="D193">
        <f>PoolStates_V2!T193</f>
        <v>2.5218039038192024</v>
      </c>
      <c r="E193">
        <f>PoolStates_V2!Q193</f>
        <v>1.2742286738290586E-3</v>
      </c>
      <c r="F193">
        <f t="shared" si="117"/>
        <v>0</v>
      </c>
      <c r="G193">
        <f t="shared" si="118"/>
        <v>0</v>
      </c>
      <c r="H193">
        <f t="shared" si="119"/>
        <v>30.018237626634914</v>
      </c>
      <c r="I193">
        <f t="shared" si="80"/>
        <v>1.2742286738290586E-3</v>
      </c>
      <c r="J193">
        <f t="shared" si="81"/>
        <v>0</v>
      </c>
      <c r="K193">
        <f t="shared" si="82"/>
        <v>0</v>
      </c>
      <c r="L193">
        <f t="shared" si="83"/>
        <v>0</v>
      </c>
      <c r="M193">
        <f t="shared" si="84"/>
        <v>0</v>
      </c>
      <c r="N193">
        <f t="shared" si="85"/>
        <v>0</v>
      </c>
      <c r="O193">
        <f t="shared" si="86"/>
        <v>30.016963397961085</v>
      </c>
      <c r="P193">
        <f>M193*Inputs!B6/12</f>
        <v>0</v>
      </c>
      <c r="Q193">
        <f t="shared" si="87"/>
        <v>0</v>
      </c>
      <c r="R193">
        <f>N193*Inputs!B6/12</f>
        <v>0</v>
      </c>
      <c r="S193">
        <f t="shared" si="88"/>
        <v>0</v>
      </c>
      <c r="T193">
        <f t="shared" si="89"/>
        <v>0.12706153233729478</v>
      </c>
      <c r="U193">
        <f t="shared" si="90"/>
        <v>0</v>
      </c>
      <c r="V193">
        <f t="shared" si="91"/>
        <v>0.12706153233729478</v>
      </c>
      <c r="W193">
        <f t="shared" si="92"/>
        <v>2.5218039038192024</v>
      </c>
      <c r="X193">
        <f t="shared" si="93"/>
        <v>0</v>
      </c>
      <c r="Y193">
        <f t="shared" si="94"/>
        <v>0</v>
      </c>
      <c r="Z193">
        <f t="shared" si="95"/>
        <v>0</v>
      </c>
      <c r="AA193">
        <f t="shared" si="96"/>
        <v>0</v>
      </c>
      <c r="AB193">
        <f t="shared" si="97"/>
        <v>0</v>
      </c>
      <c r="AC193">
        <f t="shared" si="98"/>
        <v>2.5218039038192024</v>
      </c>
      <c r="AD193">
        <f t="shared" si="99"/>
        <v>0</v>
      </c>
      <c r="AE193">
        <f t="shared" si="100"/>
        <v>2.5218039038192024</v>
      </c>
      <c r="AF193">
        <f t="shared" si="101"/>
        <v>0</v>
      </c>
      <c r="AG193">
        <f t="shared" si="102"/>
        <v>2.5218039038192024</v>
      </c>
      <c r="AH193">
        <f t="shared" si="103"/>
        <v>2.5218039038192024</v>
      </c>
      <c r="AI193">
        <f t="shared" si="104"/>
        <v>0</v>
      </c>
      <c r="AJ193">
        <f t="shared" si="105"/>
        <v>0</v>
      </c>
      <c r="AK193">
        <f t="shared" si="106"/>
        <v>2.5218039038192024</v>
      </c>
      <c r="AL193">
        <f t="shared" si="107"/>
        <v>0</v>
      </c>
      <c r="AM193">
        <f t="shared" si="108"/>
        <v>0</v>
      </c>
      <c r="AN193">
        <f t="shared" si="109"/>
        <v>2.5218039038192024</v>
      </c>
      <c r="AO193">
        <f t="shared" si="110"/>
        <v>0</v>
      </c>
      <c r="AP193">
        <f t="shared" si="111"/>
        <v>0</v>
      </c>
      <c r="AQ193">
        <f t="shared" si="112"/>
        <v>0</v>
      </c>
      <c r="AR193">
        <f t="shared" si="113"/>
        <v>27.495159494141884</v>
      </c>
      <c r="AS193">
        <f t="shared" si="114"/>
        <v>0</v>
      </c>
      <c r="AT193">
        <f t="shared" si="115"/>
        <v>0</v>
      </c>
      <c r="AU193">
        <f t="shared" si="116"/>
        <v>0</v>
      </c>
    </row>
    <row r="194" spans="1:47" x14ac:dyDescent="0.2">
      <c r="A194">
        <v>193</v>
      </c>
      <c r="B194">
        <f>PoolStates_V2!B194</f>
        <v>0</v>
      </c>
      <c r="C194">
        <f>PoolStates_V2!S194</f>
        <v>0.11637815881807018</v>
      </c>
      <c r="D194">
        <f>PoolStates_V2!T194</f>
        <v>2.311824508301362</v>
      </c>
      <c r="E194">
        <f>PoolStates_V2!Q194</f>
        <v>1.1685700149921111E-3</v>
      </c>
      <c r="F194">
        <f t="shared" si="117"/>
        <v>0</v>
      </c>
      <c r="G194">
        <f t="shared" si="118"/>
        <v>0</v>
      </c>
      <c r="H194">
        <f t="shared" si="119"/>
        <v>27.495159494141884</v>
      </c>
      <c r="I194">
        <f t="shared" ref="I194:I257" si="120">MIN(E194,H194)</f>
        <v>1.1685700149921111E-3</v>
      </c>
      <c r="J194">
        <f t="shared" ref="J194:J257" si="121">MIN(MAX(E194-I194,0),G194)</f>
        <v>0</v>
      </c>
      <c r="K194">
        <f t="shared" ref="K194:K257" si="122">MIN(MAX(E194-I194-J194,0),F194)</f>
        <v>0</v>
      </c>
      <c r="L194">
        <f t="shared" ref="L194:L257" si="123">MAX(E194-I194-J194-K194,0)</f>
        <v>0</v>
      </c>
      <c r="M194">
        <f t="shared" ref="M194:M257" si="124">MAX(F194-K194,0)</f>
        <v>0</v>
      </c>
      <c r="N194">
        <f t="shared" ref="N194:N257" si="125">MAX(G194-J194,0)</f>
        <v>0</v>
      </c>
      <c r="O194">
        <f t="shared" ref="O194:O257" si="126">MAX(H194-I194,0)</f>
        <v>27.493990924126891</v>
      </c>
      <c r="P194">
        <f>M194*Inputs!B6/12</f>
        <v>0</v>
      </c>
      <c r="Q194">
        <f t="shared" ref="Q194:Q257" si="127">MIN(C194,P194)</f>
        <v>0</v>
      </c>
      <c r="R194">
        <f>N194*Inputs!B6/12</f>
        <v>0</v>
      </c>
      <c r="S194">
        <f t="shared" ref="S194:S257" si="128">MIN(MAX(C194-Q194,0),R194)</f>
        <v>0</v>
      </c>
      <c r="T194">
        <f t="shared" ref="T194:T257" si="129">MAX(C194-Q194-S194,0)</f>
        <v>0.11637815881807018</v>
      </c>
      <c r="U194">
        <f t="shared" ref="U194:U257" si="130">IF(B194=1,T194,0)</f>
        <v>0</v>
      </c>
      <c r="V194">
        <f t="shared" ref="V194:V257" si="131">T194-U194</f>
        <v>0.11637815881807018</v>
      </c>
      <c r="W194">
        <f t="shared" ref="W194:W257" si="132">D194+U194</f>
        <v>2.311824508301362</v>
      </c>
      <c r="X194">
        <f t="shared" ref="X194:X257" si="133">M194+N194</f>
        <v>0</v>
      </c>
      <c r="Y194">
        <f t="shared" ref="Y194:Y257" si="134">IF(X194&gt;0,W194*(M194/X194),0)</f>
        <v>0</v>
      </c>
      <c r="Z194">
        <f t="shared" ref="Z194:Z257" si="135">IF(X194&gt;0,W194-Y194,0)</f>
        <v>0</v>
      </c>
      <c r="AA194">
        <f t="shared" ref="AA194:AA257" si="136">MIN(Y194,M194)</f>
        <v>0</v>
      </c>
      <c r="AB194">
        <f t="shared" ref="AB194:AB257" si="137">MIN(Z194,N194)</f>
        <v>0</v>
      </c>
      <c r="AC194">
        <f t="shared" ref="AC194:AC257" si="138">MAX(W194-AA194-AB194,0)</f>
        <v>2.311824508301362</v>
      </c>
      <c r="AD194">
        <f t="shared" ref="AD194:AD257" si="139">MIN(AC194,MAX(M194-AA194,0))</f>
        <v>0</v>
      </c>
      <c r="AE194">
        <f t="shared" ref="AE194:AE257" si="140">MAX(AC194-AD194,0)</f>
        <v>2.311824508301362</v>
      </c>
      <c r="AF194">
        <f t="shared" ref="AF194:AF257" si="141">MIN(AE194,MAX(N194-AB194,0))</f>
        <v>0</v>
      </c>
      <c r="AG194">
        <f t="shared" ref="AG194:AG257" si="142">MAX(AE194-AF194,0)</f>
        <v>2.311824508301362</v>
      </c>
      <c r="AH194">
        <f t="shared" ref="AH194:AH257" si="143">MIN(AG194,O194)</f>
        <v>2.311824508301362</v>
      </c>
      <c r="AI194">
        <f t="shared" ref="AI194:AI257" si="144">MIN(W194,M194)</f>
        <v>0</v>
      </c>
      <c r="AJ194">
        <f t="shared" ref="AJ194:AJ257" si="145">MIN(MAX(W194-AI194,0),N194)</f>
        <v>0</v>
      </c>
      <c r="AK194">
        <f t="shared" ref="AK194:AK257" si="146">MIN(MAX(W194-AI194-AJ194,0),O194)</f>
        <v>2.311824508301362</v>
      </c>
      <c r="AL194">
        <f t="shared" ref="AL194:AL257" si="147">IF(B194=1,AI194,AA194+AD194)</f>
        <v>0</v>
      </c>
      <c r="AM194">
        <f t="shared" ref="AM194:AM257" si="148">IF(B194=1,AJ194,AB194+AF194)</f>
        <v>0</v>
      </c>
      <c r="AN194">
        <f t="shared" ref="AN194:AN257" si="149">IF(B194=1,AK194,AH194)</f>
        <v>2.311824508301362</v>
      </c>
      <c r="AO194">
        <f t="shared" ref="AO194:AO257" si="150">MAX(W194-AL194-AM194-AN194,0)</f>
        <v>0</v>
      </c>
      <c r="AP194">
        <f t="shared" ref="AP194:AP257" si="151">MAX(M194-AL194,0)</f>
        <v>0</v>
      </c>
      <c r="AQ194">
        <f t="shared" ref="AQ194:AQ257" si="152">MAX(N194-AM194,0)</f>
        <v>0</v>
      </c>
      <c r="AR194">
        <f t="shared" ref="AR194:AR257" si="153">MAX(O194-AN194,0)</f>
        <v>25.182166415825527</v>
      </c>
      <c r="AS194">
        <f t="shared" ref="AS194:AS257" si="154">W194-(AL194+AM194+AN194+AO194)</f>
        <v>0</v>
      </c>
      <c r="AT194">
        <f t="shared" ref="AT194:AT257" si="155">C194-(Q194+S194+V194+U194)</f>
        <v>0</v>
      </c>
      <c r="AU194">
        <f t="shared" ref="AU194:AU257" si="156">E194-(I194+J194+K194+L194)</f>
        <v>0</v>
      </c>
    </row>
    <row r="195" spans="1:47" x14ac:dyDescent="0.2">
      <c r="A195">
        <v>194</v>
      </c>
      <c r="B195">
        <f>PoolStates_V2!B195</f>
        <v>0</v>
      </c>
      <c r="C195">
        <f>PoolStates_V2!S195</f>
        <v>0.10658458813575204</v>
      </c>
      <c r="D195">
        <f>PoolStates_V2!T195</f>
        <v>2.1191952800600582</v>
      </c>
      <c r="E195">
        <f>PoolStates_V2!Q195</f>
        <v>1.0716114585297592E-3</v>
      </c>
      <c r="F195">
        <f t="shared" ref="F195:F258" si="157">AP194</f>
        <v>0</v>
      </c>
      <c r="G195">
        <f t="shared" ref="G195:G258" si="158">AQ194</f>
        <v>0</v>
      </c>
      <c r="H195">
        <f t="shared" ref="H195:H258" si="159">AR194</f>
        <v>25.182166415825527</v>
      </c>
      <c r="I195">
        <f t="shared" si="120"/>
        <v>1.0716114585297592E-3</v>
      </c>
      <c r="J195">
        <f t="shared" si="121"/>
        <v>0</v>
      </c>
      <c r="K195">
        <f t="shared" si="122"/>
        <v>0</v>
      </c>
      <c r="L195">
        <f t="shared" si="123"/>
        <v>0</v>
      </c>
      <c r="M195">
        <f t="shared" si="124"/>
        <v>0</v>
      </c>
      <c r="N195">
        <f t="shared" si="125"/>
        <v>0</v>
      </c>
      <c r="O195">
        <f t="shared" si="126"/>
        <v>25.181094804366996</v>
      </c>
      <c r="P195">
        <f>M195*Inputs!B6/12</f>
        <v>0</v>
      </c>
      <c r="Q195">
        <f t="shared" si="127"/>
        <v>0</v>
      </c>
      <c r="R195">
        <f>N195*Inputs!B6/12</f>
        <v>0</v>
      </c>
      <c r="S195">
        <f t="shared" si="128"/>
        <v>0</v>
      </c>
      <c r="T195">
        <f t="shared" si="129"/>
        <v>0.10658458813575204</v>
      </c>
      <c r="U195">
        <f t="shared" si="130"/>
        <v>0</v>
      </c>
      <c r="V195">
        <f t="shared" si="131"/>
        <v>0.10658458813575204</v>
      </c>
      <c r="W195">
        <f t="shared" si="132"/>
        <v>2.1191952800600582</v>
      </c>
      <c r="X195">
        <f t="shared" si="133"/>
        <v>0</v>
      </c>
      <c r="Y195">
        <f t="shared" si="134"/>
        <v>0</v>
      </c>
      <c r="Z195">
        <f t="shared" si="135"/>
        <v>0</v>
      </c>
      <c r="AA195">
        <f t="shared" si="136"/>
        <v>0</v>
      </c>
      <c r="AB195">
        <f t="shared" si="137"/>
        <v>0</v>
      </c>
      <c r="AC195">
        <f t="shared" si="138"/>
        <v>2.1191952800600582</v>
      </c>
      <c r="AD195">
        <f t="shared" si="139"/>
        <v>0</v>
      </c>
      <c r="AE195">
        <f t="shared" si="140"/>
        <v>2.1191952800600582</v>
      </c>
      <c r="AF195">
        <f t="shared" si="141"/>
        <v>0</v>
      </c>
      <c r="AG195">
        <f t="shared" si="142"/>
        <v>2.1191952800600582</v>
      </c>
      <c r="AH195">
        <f t="shared" si="143"/>
        <v>2.1191952800600582</v>
      </c>
      <c r="AI195">
        <f t="shared" si="144"/>
        <v>0</v>
      </c>
      <c r="AJ195">
        <f t="shared" si="145"/>
        <v>0</v>
      </c>
      <c r="AK195">
        <f t="shared" si="146"/>
        <v>2.1191952800600582</v>
      </c>
      <c r="AL195">
        <f t="shared" si="147"/>
        <v>0</v>
      </c>
      <c r="AM195">
        <f t="shared" si="148"/>
        <v>0</v>
      </c>
      <c r="AN195">
        <f t="shared" si="149"/>
        <v>2.1191952800600582</v>
      </c>
      <c r="AO195">
        <f t="shared" si="150"/>
        <v>0</v>
      </c>
      <c r="AP195">
        <f t="shared" si="151"/>
        <v>0</v>
      </c>
      <c r="AQ195">
        <f t="shared" si="152"/>
        <v>0</v>
      </c>
      <c r="AR195">
        <f t="shared" si="153"/>
        <v>23.061899524306938</v>
      </c>
      <c r="AS195">
        <f t="shared" si="154"/>
        <v>0</v>
      </c>
      <c r="AT195">
        <f t="shared" si="155"/>
        <v>0</v>
      </c>
      <c r="AU195">
        <f t="shared" si="156"/>
        <v>0</v>
      </c>
    </row>
    <row r="196" spans="1:47" x14ac:dyDescent="0.2">
      <c r="A196">
        <v>195</v>
      </c>
      <c r="B196">
        <f>PoolStates_V2!B196</f>
        <v>0</v>
      </c>
      <c r="C196">
        <f>PoolStates_V2!S196</f>
        <v>9.7607280878547323E-2</v>
      </c>
      <c r="D196">
        <f>PoolStates_V2!T196</f>
        <v>1.9424917526416758</v>
      </c>
      <c r="E196">
        <f>PoolStates_V2!Q196</f>
        <v>9.8264081523436971E-4</v>
      </c>
      <c r="F196">
        <f t="shared" si="157"/>
        <v>0</v>
      </c>
      <c r="G196">
        <f t="shared" si="158"/>
        <v>0</v>
      </c>
      <c r="H196">
        <f t="shared" si="159"/>
        <v>23.061899524306938</v>
      </c>
      <c r="I196">
        <f t="shared" si="120"/>
        <v>9.8264081523436971E-4</v>
      </c>
      <c r="J196">
        <f t="shared" si="121"/>
        <v>0</v>
      </c>
      <c r="K196">
        <f t="shared" si="122"/>
        <v>0</v>
      </c>
      <c r="L196">
        <f t="shared" si="123"/>
        <v>0</v>
      </c>
      <c r="M196">
        <f t="shared" si="124"/>
        <v>0</v>
      </c>
      <c r="N196">
        <f t="shared" si="125"/>
        <v>0</v>
      </c>
      <c r="O196">
        <f t="shared" si="126"/>
        <v>23.060916883491704</v>
      </c>
      <c r="P196">
        <f>M196*Inputs!B6/12</f>
        <v>0</v>
      </c>
      <c r="Q196">
        <f t="shared" si="127"/>
        <v>0</v>
      </c>
      <c r="R196">
        <f>N196*Inputs!B6/12</f>
        <v>0</v>
      </c>
      <c r="S196">
        <f t="shared" si="128"/>
        <v>0</v>
      </c>
      <c r="T196">
        <f t="shared" si="129"/>
        <v>9.7607280878547323E-2</v>
      </c>
      <c r="U196">
        <f t="shared" si="130"/>
        <v>0</v>
      </c>
      <c r="V196">
        <f t="shared" si="131"/>
        <v>9.7607280878547323E-2</v>
      </c>
      <c r="W196">
        <f t="shared" si="132"/>
        <v>1.9424917526416758</v>
      </c>
      <c r="X196">
        <f t="shared" si="133"/>
        <v>0</v>
      </c>
      <c r="Y196">
        <f t="shared" si="134"/>
        <v>0</v>
      </c>
      <c r="Z196">
        <f t="shared" si="135"/>
        <v>0</v>
      </c>
      <c r="AA196">
        <f t="shared" si="136"/>
        <v>0</v>
      </c>
      <c r="AB196">
        <f t="shared" si="137"/>
        <v>0</v>
      </c>
      <c r="AC196">
        <f t="shared" si="138"/>
        <v>1.9424917526416758</v>
      </c>
      <c r="AD196">
        <f t="shared" si="139"/>
        <v>0</v>
      </c>
      <c r="AE196">
        <f t="shared" si="140"/>
        <v>1.9424917526416758</v>
      </c>
      <c r="AF196">
        <f t="shared" si="141"/>
        <v>0</v>
      </c>
      <c r="AG196">
        <f t="shared" si="142"/>
        <v>1.9424917526416758</v>
      </c>
      <c r="AH196">
        <f t="shared" si="143"/>
        <v>1.9424917526416758</v>
      </c>
      <c r="AI196">
        <f t="shared" si="144"/>
        <v>0</v>
      </c>
      <c r="AJ196">
        <f t="shared" si="145"/>
        <v>0</v>
      </c>
      <c r="AK196">
        <f t="shared" si="146"/>
        <v>1.9424917526416758</v>
      </c>
      <c r="AL196">
        <f t="shared" si="147"/>
        <v>0</v>
      </c>
      <c r="AM196">
        <f t="shared" si="148"/>
        <v>0</v>
      </c>
      <c r="AN196">
        <f t="shared" si="149"/>
        <v>1.9424917526416758</v>
      </c>
      <c r="AO196">
        <f t="shared" si="150"/>
        <v>0</v>
      </c>
      <c r="AP196">
        <f t="shared" si="151"/>
        <v>0</v>
      </c>
      <c r="AQ196">
        <f t="shared" si="152"/>
        <v>0</v>
      </c>
      <c r="AR196">
        <f t="shared" si="153"/>
        <v>21.118425130850028</v>
      </c>
      <c r="AS196">
        <f t="shared" si="154"/>
        <v>0</v>
      </c>
      <c r="AT196">
        <f t="shared" si="155"/>
        <v>0</v>
      </c>
      <c r="AU196">
        <f t="shared" si="156"/>
        <v>0</v>
      </c>
    </row>
    <row r="197" spans="1:47" x14ac:dyDescent="0.2">
      <c r="A197">
        <v>196</v>
      </c>
      <c r="B197">
        <f>PoolStates_V2!B197</f>
        <v>0</v>
      </c>
      <c r="C197">
        <f>PoolStates_V2!S197</f>
        <v>8.9378736458417291E-2</v>
      </c>
      <c r="D197">
        <f>PoolStates_V2!T197</f>
        <v>1.7804057798819448</v>
      </c>
      <c r="E197">
        <f>PoolStates_V2!Q197</f>
        <v>9.010039054558063E-4</v>
      </c>
      <c r="F197">
        <f t="shared" si="157"/>
        <v>0</v>
      </c>
      <c r="G197">
        <f t="shared" si="158"/>
        <v>0</v>
      </c>
      <c r="H197">
        <f t="shared" si="159"/>
        <v>21.118425130850028</v>
      </c>
      <c r="I197">
        <f t="shared" si="120"/>
        <v>9.010039054558063E-4</v>
      </c>
      <c r="J197">
        <f t="shared" si="121"/>
        <v>0</v>
      </c>
      <c r="K197">
        <f t="shared" si="122"/>
        <v>0</v>
      </c>
      <c r="L197">
        <f t="shared" si="123"/>
        <v>0</v>
      </c>
      <c r="M197">
        <f t="shared" si="124"/>
        <v>0</v>
      </c>
      <c r="N197">
        <f t="shared" si="125"/>
        <v>0</v>
      </c>
      <c r="O197">
        <f t="shared" si="126"/>
        <v>21.117524126944573</v>
      </c>
      <c r="P197">
        <f>M197*Inputs!B6/12</f>
        <v>0</v>
      </c>
      <c r="Q197">
        <f t="shared" si="127"/>
        <v>0</v>
      </c>
      <c r="R197">
        <f>N197*Inputs!B6/12</f>
        <v>0</v>
      </c>
      <c r="S197">
        <f t="shared" si="128"/>
        <v>0</v>
      </c>
      <c r="T197">
        <f t="shared" si="129"/>
        <v>8.9378736458417291E-2</v>
      </c>
      <c r="U197">
        <f t="shared" si="130"/>
        <v>0</v>
      </c>
      <c r="V197">
        <f t="shared" si="131"/>
        <v>8.9378736458417291E-2</v>
      </c>
      <c r="W197">
        <f t="shared" si="132"/>
        <v>1.7804057798819448</v>
      </c>
      <c r="X197">
        <f t="shared" si="133"/>
        <v>0</v>
      </c>
      <c r="Y197">
        <f t="shared" si="134"/>
        <v>0</v>
      </c>
      <c r="Z197">
        <f t="shared" si="135"/>
        <v>0</v>
      </c>
      <c r="AA197">
        <f t="shared" si="136"/>
        <v>0</v>
      </c>
      <c r="AB197">
        <f t="shared" si="137"/>
        <v>0</v>
      </c>
      <c r="AC197">
        <f t="shared" si="138"/>
        <v>1.7804057798819448</v>
      </c>
      <c r="AD197">
        <f t="shared" si="139"/>
        <v>0</v>
      </c>
      <c r="AE197">
        <f t="shared" si="140"/>
        <v>1.7804057798819448</v>
      </c>
      <c r="AF197">
        <f t="shared" si="141"/>
        <v>0</v>
      </c>
      <c r="AG197">
        <f t="shared" si="142"/>
        <v>1.7804057798819448</v>
      </c>
      <c r="AH197">
        <f t="shared" si="143"/>
        <v>1.7804057798819448</v>
      </c>
      <c r="AI197">
        <f t="shared" si="144"/>
        <v>0</v>
      </c>
      <c r="AJ197">
        <f t="shared" si="145"/>
        <v>0</v>
      </c>
      <c r="AK197">
        <f t="shared" si="146"/>
        <v>1.7804057798819448</v>
      </c>
      <c r="AL197">
        <f t="shared" si="147"/>
        <v>0</v>
      </c>
      <c r="AM197">
        <f t="shared" si="148"/>
        <v>0</v>
      </c>
      <c r="AN197">
        <f t="shared" si="149"/>
        <v>1.7804057798819448</v>
      </c>
      <c r="AO197">
        <f t="shared" si="150"/>
        <v>0</v>
      </c>
      <c r="AP197">
        <f t="shared" si="151"/>
        <v>0</v>
      </c>
      <c r="AQ197">
        <f t="shared" si="152"/>
        <v>0</v>
      </c>
      <c r="AR197">
        <f t="shared" si="153"/>
        <v>19.337118347062628</v>
      </c>
      <c r="AS197">
        <f t="shared" si="154"/>
        <v>0</v>
      </c>
      <c r="AT197">
        <f t="shared" si="155"/>
        <v>0</v>
      </c>
      <c r="AU197">
        <f t="shared" si="156"/>
        <v>0</v>
      </c>
    </row>
    <row r="198" spans="1:47" x14ac:dyDescent="0.2">
      <c r="A198">
        <v>197</v>
      </c>
      <c r="B198">
        <f>PoolStates_V2!B198</f>
        <v>0</v>
      </c>
      <c r="C198">
        <f>PoolStates_V2!S198</f>
        <v>8.1836999906574837E-2</v>
      </c>
      <c r="D198">
        <f>PoolStates_V2!T198</f>
        <v>1.6317360810366819</v>
      </c>
      <c r="E198">
        <f>PoolStates_V2!Q198</f>
        <v>8.2609985433030827E-4</v>
      </c>
      <c r="F198">
        <f t="shared" si="157"/>
        <v>0</v>
      </c>
      <c r="G198">
        <f t="shared" si="158"/>
        <v>0</v>
      </c>
      <c r="H198">
        <f t="shared" si="159"/>
        <v>19.337118347062628</v>
      </c>
      <c r="I198">
        <f t="shared" si="120"/>
        <v>8.2609985433030827E-4</v>
      </c>
      <c r="J198">
        <f t="shared" si="121"/>
        <v>0</v>
      </c>
      <c r="K198">
        <f t="shared" si="122"/>
        <v>0</v>
      </c>
      <c r="L198">
        <f t="shared" si="123"/>
        <v>0</v>
      </c>
      <c r="M198">
        <f t="shared" si="124"/>
        <v>0</v>
      </c>
      <c r="N198">
        <f t="shared" si="125"/>
        <v>0</v>
      </c>
      <c r="O198">
        <f t="shared" si="126"/>
        <v>19.336292247208299</v>
      </c>
      <c r="P198">
        <f>M198*Inputs!B6/12</f>
        <v>0</v>
      </c>
      <c r="Q198">
        <f t="shared" si="127"/>
        <v>0</v>
      </c>
      <c r="R198">
        <f>N198*Inputs!B6/12</f>
        <v>0</v>
      </c>
      <c r="S198">
        <f t="shared" si="128"/>
        <v>0</v>
      </c>
      <c r="T198">
        <f t="shared" si="129"/>
        <v>8.1836999906574837E-2</v>
      </c>
      <c r="U198">
        <f t="shared" si="130"/>
        <v>0</v>
      </c>
      <c r="V198">
        <f t="shared" si="131"/>
        <v>8.1836999906574837E-2</v>
      </c>
      <c r="W198">
        <f t="shared" si="132"/>
        <v>1.6317360810366819</v>
      </c>
      <c r="X198">
        <f t="shared" si="133"/>
        <v>0</v>
      </c>
      <c r="Y198">
        <f t="shared" si="134"/>
        <v>0</v>
      </c>
      <c r="Z198">
        <f t="shared" si="135"/>
        <v>0</v>
      </c>
      <c r="AA198">
        <f t="shared" si="136"/>
        <v>0</v>
      </c>
      <c r="AB198">
        <f t="shared" si="137"/>
        <v>0</v>
      </c>
      <c r="AC198">
        <f t="shared" si="138"/>
        <v>1.6317360810366819</v>
      </c>
      <c r="AD198">
        <f t="shared" si="139"/>
        <v>0</v>
      </c>
      <c r="AE198">
        <f t="shared" si="140"/>
        <v>1.6317360810366819</v>
      </c>
      <c r="AF198">
        <f t="shared" si="141"/>
        <v>0</v>
      </c>
      <c r="AG198">
        <f t="shared" si="142"/>
        <v>1.6317360810366819</v>
      </c>
      <c r="AH198">
        <f t="shared" si="143"/>
        <v>1.6317360810366819</v>
      </c>
      <c r="AI198">
        <f t="shared" si="144"/>
        <v>0</v>
      </c>
      <c r="AJ198">
        <f t="shared" si="145"/>
        <v>0</v>
      </c>
      <c r="AK198">
        <f t="shared" si="146"/>
        <v>1.6317360810366819</v>
      </c>
      <c r="AL198">
        <f t="shared" si="147"/>
        <v>0</v>
      </c>
      <c r="AM198">
        <f t="shared" si="148"/>
        <v>0</v>
      </c>
      <c r="AN198">
        <f t="shared" si="149"/>
        <v>1.6317360810366819</v>
      </c>
      <c r="AO198">
        <f t="shared" si="150"/>
        <v>0</v>
      </c>
      <c r="AP198">
        <f t="shared" si="151"/>
        <v>0</v>
      </c>
      <c r="AQ198">
        <f t="shared" si="152"/>
        <v>0</v>
      </c>
      <c r="AR198">
        <f t="shared" si="153"/>
        <v>17.704556166171617</v>
      </c>
      <c r="AS198">
        <f t="shared" si="154"/>
        <v>0</v>
      </c>
      <c r="AT198">
        <f t="shared" si="155"/>
        <v>0</v>
      </c>
      <c r="AU198">
        <f t="shared" si="156"/>
        <v>0</v>
      </c>
    </row>
    <row r="199" spans="1:47" x14ac:dyDescent="0.2">
      <c r="A199">
        <v>198</v>
      </c>
      <c r="B199">
        <f>PoolStates_V2!B199</f>
        <v>0</v>
      </c>
      <c r="C199">
        <f>PoolStates_V2!S199</f>
        <v>7.4925208763866075E-2</v>
      </c>
      <c r="D199">
        <f>PoolStates_V2!T199</f>
        <v>1.4953795513813464</v>
      </c>
      <c r="E199">
        <f>PoolStates_V2!Q199</f>
        <v>7.5737676715774719E-4</v>
      </c>
      <c r="F199">
        <f t="shared" si="157"/>
        <v>0</v>
      </c>
      <c r="G199">
        <f t="shared" si="158"/>
        <v>0</v>
      </c>
      <c r="H199">
        <f t="shared" si="159"/>
        <v>17.704556166171617</v>
      </c>
      <c r="I199">
        <f t="shared" si="120"/>
        <v>7.5737676715774719E-4</v>
      </c>
      <c r="J199">
        <f t="shared" si="121"/>
        <v>0</v>
      </c>
      <c r="K199">
        <f t="shared" si="122"/>
        <v>0</v>
      </c>
      <c r="L199">
        <f t="shared" si="123"/>
        <v>0</v>
      </c>
      <c r="M199">
        <f t="shared" si="124"/>
        <v>0</v>
      </c>
      <c r="N199">
        <f t="shared" si="125"/>
        <v>0</v>
      </c>
      <c r="O199">
        <f t="shared" si="126"/>
        <v>17.703798789404459</v>
      </c>
      <c r="P199">
        <f>M199*Inputs!B6/12</f>
        <v>0</v>
      </c>
      <c r="Q199">
        <f t="shared" si="127"/>
        <v>0</v>
      </c>
      <c r="R199">
        <f>N199*Inputs!B6/12</f>
        <v>0</v>
      </c>
      <c r="S199">
        <f t="shared" si="128"/>
        <v>0</v>
      </c>
      <c r="T199">
        <f t="shared" si="129"/>
        <v>7.4925208763866075E-2</v>
      </c>
      <c r="U199">
        <f t="shared" si="130"/>
        <v>0</v>
      </c>
      <c r="V199">
        <f t="shared" si="131"/>
        <v>7.4925208763866075E-2</v>
      </c>
      <c r="W199">
        <f t="shared" si="132"/>
        <v>1.4953795513813464</v>
      </c>
      <c r="X199">
        <f t="shared" si="133"/>
        <v>0</v>
      </c>
      <c r="Y199">
        <f t="shared" si="134"/>
        <v>0</v>
      </c>
      <c r="Z199">
        <f t="shared" si="135"/>
        <v>0</v>
      </c>
      <c r="AA199">
        <f t="shared" si="136"/>
        <v>0</v>
      </c>
      <c r="AB199">
        <f t="shared" si="137"/>
        <v>0</v>
      </c>
      <c r="AC199">
        <f t="shared" si="138"/>
        <v>1.4953795513813464</v>
      </c>
      <c r="AD199">
        <f t="shared" si="139"/>
        <v>0</v>
      </c>
      <c r="AE199">
        <f t="shared" si="140"/>
        <v>1.4953795513813464</v>
      </c>
      <c r="AF199">
        <f t="shared" si="141"/>
        <v>0</v>
      </c>
      <c r="AG199">
        <f t="shared" si="142"/>
        <v>1.4953795513813464</v>
      </c>
      <c r="AH199">
        <f t="shared" si="143"/>
        <v>1.4953795513813464</v>
      </c>
      <c r="AI199">
        <f t="shared" si="144"/>
        <v>0</v>
      </c>
      <c r="AJ199">
        <f t="shared" si="145"/>
        <v>0</v>
      </c>
      <c r="AK199">
        <f t="shared" si="146"/>
        <v>1.4953795513813464</v>
      </c>
      <c r="AL199">
        <f t="shared" si="147"/>
        <v>0</v>
      </c>
      <c r="AM199">
        <f t="shared" si="148"/>
        <v>0</v>
      </c>
      <c r="AN199">
        <f t="shared" si="149"/>
        <v>1.4953795513813464</v>
      </c>
      <c r="AO199">
        <f t="shared" si="150"/>
        <v>0</v>
      </c>
      <c r="AP199">
        <f t="shared" si="151"/>
        <v>0</v>
      </c>
      <c r="AQ199">
        <f t="shared" si="152"/>
        <v>0</v>
      </c>
      <c r="AR199">
        <f t="shared" si="153"/>
        <v>16.208419238023112</v>
      </c>
      <c r="AS199">
        <f t="shared" si="154"/>
        <v>0</v>
      </c>
      <c r="AT199">
        <f t="shared" si="155"/>
        <v>0</v>
      </c>
      <c r="AU199">
        <f t="shared" si="156"/>
        <v>0</v>
      </c>
    </row>
    <row r="200" spans="1:47" x14ac:dyDescent="0.2">
      <c r="A200">
        <v>199</v>
      </c>
      <c r="B200">
        <f>PoolStates_V2!B200</f>
        <v>0</v>
      </c>
      <c r="C200">
        <f>PoolStates_V2!S200</f>
        <v>6.8591176819536109E-2</v>
      </c>
      <c r="D200">
        <f>PoolStates_V2!T200</f>
        <v>1.3703232765209894</v>
      </c>
      <c r="E200">
        <f>PoolStates_V2!Q200</f>
        <v>6.9432775431214216E-4</v>
      </c>
      <c r="F200">
        <f t="shared" si="157"/>
        <v>0</v>
      </c>
      <c r="G200">
        <f t="shared" si="158"/>
        <v>0</v>
      </c>
      <c r="H200">
        <f t="shared" si="159"/>
        <v>16.208419238023112</v>
      </c>
      <c r="I200">
        <f t="shared" si="120"/>
        <v>6.9432775431214216E-4</v>
      </c>
      <c r="J200">
        <f t="shared" si="121"/>
        <v>0</v>
      </c>
      <c r="K200">
        <f t="shared" si="122"/>
        <v>0</v>
      </c>
      <c r="L200">
        <f t="shared" si="123"/>
        <v>0</v>
      </c>
      <c r="M200">
        <f t="shared" si="124"/>
        <v>0</v>
      </c>
      <c r="N200">
        <f t="shared" si="125"/>
        <v>0</v>
      </c>
      <c r="O200">
        <f t="shared" si="126"/>
        <v>16.207724910268798</v>
      </c>
      <c r="P200">
        <f>M200*Inputs!B6/12</f>
        <v>0</v>
      </c>
      <c r="Q200">
        <f t="shared" si="127"/>
        <v>0</v>
      </c>
      <c r="R200">
        <f>N200*Inputs!B6/12</f>
        <v>0</v>
      </c>
      <c r="S200">
        <f t="shared" si="128"/>
        <v>0</v>
      </c>
      <c r="T200">
        <f t="shared" si="129"/>
        <v>6.8591176819536109E-2</v>
      </c>
      <c r="U200">
        <f t="shared" si="130"/>
        <v>0</v>
      </c>
      <c r="V200">
        <f t="shared" si="131"/>
        <v>6.8591176819536109E-2</v>
      </c>
      <c r="W200">
        <f t="shared" si="132"/>
        <v>1.3703232765209894</v>
      </c>
      <c r="X200">
        <f t="shared" si="133"/>
        <v>0</v>
      </c>
      <c r="Y200">
        <f t="shared" si="134"/>
        <v>0</v>
      </c>
      <c r="Z200">
        <f t="shared" si="135"/>
        <v>0</v>
      </c>
      <c r="AA200">
        <f t="shared" si="136"/>
        <v>0</v>
      </c>
      <c r="AB200">
        <f t="shared" si="137"/>
        <v>0</v>
      </c>
      <c r="AC200">
        <f t="shared" si="138"/>
        <v>1.3703232765209894</v>
      </c>
      <c r="AD200">
        <f t="shared" si="139"/>
        <v>0</v>
      </c>
      <c r="AE200">
        <f t="shared" si="140"/>
        <v>1.3703232765209894</v>
      </c>
      <c r="AF200">
        <f t="shared" si="141"/>
        <v>0</v>
      </c>
      <c r="AG200">
        <f t="shared" si="142"/>
        <v>1.3703232765209894</v>
      </c>
      <c r="AH200">
        <f t="shared" si="143"/>
        <v>1.3703232765209894</v>
      </c>
      <c r="AI200">
        <f t="shared" si="144"/>
        <v>0</v>
      </c>
      <c r="AJ200">
        <f t="shared" si="145"/>
        <v>0</v>
      </c>
      <c r="AK200">
        <f t="shared" si="146"/>
        <v>1.3703232765209894</v>
      </c>
      <c r="AL200">
        <f t="shared" si="147"/>
        <v>0</v>
      </c>
      <c r="AM200">
        <f t="shared" si="148"/>
        <v>0</v>
      </c>
      <c r="AN200">
        <f t="shared" si="149"/>
        <v>1.3703232765209894</v>
      </c>
      <c r="AO200">
        <f t="shared" si="150"/>
        <v>0</v>
      </c>
      <c r="AP200">
        <f t="shared" si="151"/>
        <v>0</v>
      </c>
      <c r="AQ200">
        <f t="shared" si="152"/>
        <v>0</v>
      </c>
      <c r="AR200">
        <f t="shared" si="153"/>
        <v>14.837401633747808</v>
      </c>
      <c r="AS200">
        <f t="shared" si="154"/>
        <v>0</v>
      </c>
      <c r="AT200">
        <f t="shared" si="155"/>
        <v>0</v>
      </c>
      <c r="AU200">
        <f t="shared" si="156"/>
        <v>0</v>
      </c>
    </row>
    <row r="201" spans="1:47" x14ac:dyDescent="0.2">
      <c r="A201">
        <v>200</v>
      </c>
      <c r="B201">
        <f>PoolStates_V2!B201</f>
        <v>0</v>
      </c>
      <c r="C201">
        <f>PoolStates_V2!S201</f>
        <v>6.2787011713838117E-2</v>
      </c>
      <c r="D201">
        <f>PoolStates_V2!T201</f>
        <v>1.2556371936198112</v>
      </c>
      <c r="E201">
        <f>PoolStates_V2!Q201</f>
        <v>6.3648727752863238E-4</v>
      </c>
      <c r="F201">
        <f t="shared" si="157"/>
        <v>0</v>
      </c>
      <c r="G201">
        <f t="shared" si="158"/>
        <v>0</v>
      </c>
      <c r="H201">
        <f t="shared" si="159"/>
        <v>14.837401633747808</v>
      </c>
      <c r="I201">
        <f t="shared" si="120"/>
        <v>6.3648727752863238E-4</v>
      </c>
      <c r="J201">
        <f t="shared" si="121"/>
        <v>0</v>
      </c>
      <c r="K201">
        <f t="shared" si="122"/>
        <v>0</v>
      </c>
      <c r="L201">
        <f t="shared" si="123"/>
        <v>0</v>
      </c>
      <c r="M201">
        <f t="shared" si="124"/>
        <v>0</v>
      </c>
      <c r="N201">
        <f t="shared" si="125"/>
        <v>0</v>
      </c>
      <c r="O201">
        <f t="shared" si="126"/>
        <v>14.836765146470279</v>
      </c>
      <c r="P201">
        <f>M201*Inputs!B6/12</f>
        <v>0</v>
      </c>
      <c r="Q201">
        <f t="shared" si="127"/>
        <v>0</v>
      </c>
      <c r="R201">
        <f>N201*Inputs!B6/12</f>
        <v>0</v>
      </c>
      <c r="S201">
        <f t="shared" si="128"/>
        <v>0</v>
      </c>
      <c r="T201">
        <f t="shared" si="129"/>
        <v>6.2787011713838117E-2</v>
      </c>
      <c r="U201">
        <f t="shared" si="130"/>
        <v>0</v>
      </c>
      <c r="V201">
        <f t="shared" si="131"/>
        <v>6.2787011713838117E-2</v>
      </c>
      <c r="W201">
        <f t="shared" si="132"/>
        <v>1.2556371936198112</v>
      </c>
      <c r="X201">
        <f t="shared" si="133"/>
        <v>0</v>
      </c>
      <c r="Y201">
        <f t="shared" si="134"/>
        <v>0</v>
      </c>
      <c r="Z201">
        <f t="shared" si="135"/>
        <v>0</v>
      </c>
      <c r="AA201">
        <f t="shared" si="136"/>
        <v>0</v>
      </c>
      <c r="AB201">
        <f t="shared" si="137"/>
        <v>0</v>
      </c>
      <c r="AC201">
        <f t="shared" si="138"/>
        <v>1.2556371936198112</v>
      </c>
      <c r="AD201">
        <f t="shared" si="139"/>
        <v>0</v>
      </c>
      <c r="AE201">
        <f t="shared" si="140"/>
        <v>1.2556371936198112</v>
      </c>
      <c r="AF201">
        <f t="shared" si="141"/>
        <v>0</v>
      </c>
      <c r="AG201">
        <f t="shared" si="142"/>
        <v>1.2556371936198112</v>
      </c>
      <c r="AH201">
        <f t="shared" si="143"/>
        <v>1.2556371936198112</v>
      </c>
      <c r="AI201">
        <f t="shared" si="144"/>
        <v>0</v>
      </c>
      <c r="AJ201">
        <f t="shared" si="145"/>
        <v>0</v>
      </c>
      <c r="AK201">
        <f t="shared" si="146"/>
        <v>1.2556371936198112</v>
      </c>
      <c r="AL201">
        <f t="shared" si="147"/>
        <v>0</v>
      </c>
      <c r="AM201">
        <f t="shared" si="148"/>
        <v>0</v>
      </c>
      <c r="AN201">
        <f t="shared" si="149"/>
        <v>1.2556371936198112</v>
      </c>
      <c r="AO201">
        <f t="shared" si="150"/>
        <v>0</v>
      </c>
      <c r="AP201">
        <f t="shared" si="151"/>
        <v>0</v>
      </c>
      <c r="AQ201">
        <f t="shared" si="152"/>
        <v>0</v>
      </c>
      <c r="AR201">
        <f t="shared" si="153"/>
        <v>13.581127952850467</v>
      </c>
      <c r="AS201">
        <f t="shared" si="154"/>
        <v>0</v>
      </c>
      <c r="AT201">
        <f t="shared" si="155"/>
        <v>0</v>
      </c>
      <c r="AU201">
        <f t="shared" si="156"/>
        <v>0</v>
      </c>
    </row>
    <row r="202" spans="1:47" x14ac:dyDescent="0.2">
      <c r="A202">
        <v>201</v>
      </c>
      <c r="B202">
        <f>PoolStates_V2!B202</f>
        <v>0</v>
      </c>
      <c r="C202">
        <f>PoolStates_V2!S202</f>
        <v>5.7468763660830147E-2</v>
      </c>
      <c r="D202">
        <f>PoolStates_V2!T202</f>
        <v>1.150467347328622</v>
      </c>
      <c r="E202">
        <f>PoolStates_V2!Q202</f>
        <v>5.8342779167155998E-4</v>
      </c>
      <c r="F202">
        <f t="shared" si="157"/>
        <v>0</v>
      </c>
      <c r="G202">
        <f t="shared" si="158"/>
        <v>0</v>
      </c>
      <c r="H202">
        <f t="shared" si="159"/>
        <v>13.581127952850467</v>
      </c>
      <c r="I202">
        <f t="shared" si="120"/>
        <v>5.8342779167155998E-4</v>
      </c>
      <c r="J202">
        <f t="shared" si="121"/>
        <v>0</v>
      </c>
      <c r="K202">
        <f t="shared" si="122"/>
        <v>0</v>
      </c>
      <c r="L202">
        <f t="shared" si="123"/>
        <v>0</v>
      </c>
      <c r="M202">
        <f t="shared" si="124"/>
        <v>0</v>
      </c>
      <c r="N202">
        <f t="shared" si="125"/>
        <v>0</v>
      </c>
      <c r="O202">
        <f t="shared" si="126"/>
        <v>13.580544525058796</v>
      </c>
      <c r="P202">
        <f>M202*Inputs!B6/12</f>
        <v>0</v>
      </c>
      <c r="Q202">
        <f t="shared" si="127"/>
        <v>0</v>
      </c>
      <c r="R202">
        <f>N202*Inputs!B6/12</f>
        <v>0</v>
      </c>
      <c r="S202">
        <f t="shared" si="128"/>
        <v>0</v>
      </c>
      <c r="T202">
        <f t="shared" si="129"/>
        <v>5.7468763660830147E-2</v>
      </c>
      <c r="U202">
        <f t="shared" si="130"/>
        <v>0</v>
      </c>
      <c r="V202">
        <f t="shared" si="131"/>
        <v>5.7468763660830147E-2</v>
      </c>
      <c r="W202">
        <f t="shared" si="132"/>
        <v>1.150467347328622</v>
      </c>
      <c r="X202">
        <f t="shared" si="133"/>
        <v>0</v>
      </c>
      <c r="Y202">
        <f t="shared" si="134"/>
        <v>0</v>
      </c>
      <c r="Z202">
        <f t="shared" si="135"/>
        <v>0</v>
      </c>
      <c r="AA202">
        <f t="shared" si="136"/>
        <v>0</v>
      </c>
      <c r="AB202">
        <f t="shared" si="137"/>
        <v>0</v>
      </c>
      <c r="AC202">
        <f t="shared" si="138"/>
        <v>1.150467347328622</v>
      </c>
      <c r="AD202">
        <f t="shared" si="139"/>
        <v>0</v>
      </c>
      <c r="AE202">
        <f t="shared" si="140"/>
        <v>1.150467347328622</v>
      </c>
      <c r="AF202">
        <f t="shared" si="141"/>
        <v>0</v>
      </c>
      <c r="AG202">
        <f t="shared" si="142"/>
        <v>1.150467347328622</v>
      </c>
      <c r="AH202">
        <f t="shared" si="143"/>
        <v>1.150467347328622</v>
      </c>
      <c r="AI202">
        <f t="shared" si="144"/>
        <v>0</v>
      </c>
      <c r="AJ202">
        <f t="shared" si="145"/>
        <v>0</v>
      </c>
      <c r="AK202">
        <f t="shared" si="146"/>
        <v>1.150467347328622</v>
      </c>
      <c r="AL202">
        <f t="shared" si="147"/>
        <v>0</v>
      </c>
      <c r="AM202">
        <f t="shared" si="148"/>
        <v>0</v>
      </c>
      <c r="AN202">
        <f t="shared" si="149"/>
        <v>1.150467347328622</v>
      </c>
      <c r="AO202">
        <f t="shared" si="150"/>
        <v>0</v>
      </c>
      <c r="AP202">
        <f t="shared" si="151"/>
        <v>0</v>
      </c>
      <c r="AQ202">
        <f t="shared" si="152"/>
        <v>0</v>
      </c>
      <c r="AR202">
        <f t="shared" si="153"/>
        <v>12.430077177730174</v>
      </c>
      <c r="AS202">
        <f t="shared" si="154"/>
        <v>0</v>
      </c>
      <c r="AT202">
        <f t="shared" si="155"/>
        <v>0</v>
      </c>
      <c r="AU202">
        <f t="shared" si="156"/>
        <v>0</v>
      </c>
    </row>
    <row r="203" spans="1:47" x14ac:dyDescent="0.2">
      <c r="A203">
        <v>202</v>
      </c>
      <c r="B203">
        <f>PoolStates_V2!B203</f>
        <v>0</v>
      </c>
      <c r="C203">
        <f>PoolStates_V2!S203</f>
        <v>5.259610276920719E-2</v>
      </c>
      <c r="D203">
        <f>PoolStates_V2!T203</f>
        <v>1.0540296923909935</v>
      </c>
      <c r="E203">
        <f>PoolStates_V2!Q203</f>
        <v>5.347566581686235E-4</v>
      </c>
      <c r="F203">
        <f t="shared" si="157"/>
        <v>0</v>
      </c>
      <c r="G203">
        <f t="shared" si="158"/>
        <v>0</v>
      </c>
      <c r="H203">
        <f t="shared" si="159"/>
        <v>12.430077177730174</v>
      </c>
      <c r="I203">
        <f t="shared" si="120"/>
        <v>5.347566581686235E-4</v>
      </c>
      <c r="J203">
        <f t="shared" si="121"/>
        <v>0</v>
      </c>
      <c r="K203">
        <f t="shared" si="122"/>
        <v>0</v>
      </c>
      <c r="L203">
        <f t="shared" si="123"/>
        <v>0</v>
      </c>
      <c r="M203">
        <f t="shared" si="124"/>
        <v>0</v>
      </c>
      <c r="N203">
        <f t="shared" si="125"/>
        <v>0</v>
      </c>
      <c r="O203">
        <f t="shared" si="126"/>
        <v>12.429542421072005</v>
      </c>
      <c r="P203">
        <f>M203*Inputs!B6/12</f>
        <v>0</v>
      </c>
      <c r="Q203">
        <f t="shared" si="127"/>
        <v>0</v>
      </c>
      <c r="R203">
        <f>N203*Inputs!B6/12</f>
        <v>0</v>
      </c>
      <c r="S203">
        <f t="shared" si="128"/>
        <v>0</v>
      </c>
      <c r="T203">
        <f t="shared" si="129"/>
        <v>5.259610276920719E-2</v>
      </c>
      <c r="U203">
        <f t="shared" si="130"/>
        <v>0</v>
      </c>
      <c r="V203">
        <f t="shared" si="131"/>
        <v>5.259610276920719E-2</v>
      </c>
      <c r="W203">
        <f t="shared" si="132"/>
        <v>1.0540296923909935</v>
      </c>
      <c r="X203">
        <f t="shared" si="133"/>
        <v>0</v>
      </c>
      <c r="Y203">
        <f t="shared" si="134"/>
        <v>0</v>
      </c>
      <c r="Z203">
        <f t="shared" si="135"/>
        <v>0</v>
      </c>
      <c r="AA203">
        <f t="shared" si="136"/>
        <v>0</v>
      </c>
      <c r="AB203">
        <f t="shared" si="137"/>
        <v>0</v>
      </c>
      <c r="AC203">
        <f t="shared" si="138"/>
        <v>1.0540296923909935</v>
      </c>
      <c r="AD203">
        <f t="shared" si="139"/>
        <v>0</v>
      </c>
      <c r="AE203">
        <f t="shared" si="140"/>
        <v>1.0540296923909935</v>
      </c>
      <c r="AF203">
        <f t="shared" si="141"/>
        <v>0</v>
      </c>
      <c r="AG203">
        <f t="shared" si="142"/>
        <v>1.0540296923909935</v>
      </c>
      <c r="AH203">
        <f t="shared" si="143"/>
        <v>1.0540296923909935</v>
      </c>
      <c r="AI203">
        <f t="shared" si="144"/>
        <v>0</v>
      </c>
      <c r="AJ203">
        <f t="shared" si="145"/>
        <v>0</v>
      </c>
      <c r="AK203">
        <f t="shared" si="146"/>
        <v>1.0540296923909935</v>
      </c>
      <c r="AL203">
        <f t="shared" si="147"/>
        <v>0</v>
      </c>
      <c r="AM203">
        <f t="shared" si="148"/>
        <v>0</v>
      </c>
      <c r="AN203">
        <f t="shared" si="149"/>
        <v>1.0540296923909935</v>
      </c>
      <c r="AO203">
        <f t="shared" si="150"/>
        <v>0</v>
      </c>
      <c r="AP203">
        <f t="shared" si="151"/>
        <v>0</v>
      </c>
      <c r="AQ203">
        <f t="shared" si="152"/>
        <v>0</v>
      </c>
      <c r="AR203">
        <f t="shared" si="153"/>
        <v>11.375512728681011</v>
      </c>
      <c r="AS203">
        <f t="shared" si="154"/>
        <v>0</v>
      </c>
      <c r="AT203">
        <f t="shared" si="155"/>
        <v>0</v>
      </c>
      <c r="AU203">
        <f t="shared" si="156"/>
        <v>0</v>
      </c>
    </row>
    <row r="204" spans="1:47" x14ac:dyDescent="0.2">
      <c r="A204">
        <v>203</v>
      </c>
      <c r="B204">
        <f>PoolStates_V2!B204</f>
        <v>0</v>
      </c>
      <c r="C204">
        <f>PoolStates_V2!S204</f>
        <v>4.8132022642692118E-2</v>
      </c>
      <c r="D204">
        <f>PoolStates_V2!T204</f>
        <v>0.96560439877411219</v>
      </c>
      <c r="E204">
        <f>PoolStates_V2!Q204</f>
        <v>4.9011330820971049E-4</v>
      </c>
      <c r="F204">
        <f t="shared" si="157"/>
        <v>0</v>
      </c>
      <c r="G204">
        <f t="shared" si="158"/>
        <v>0</v>
      </c>
      <c r="H204">
        <f t="shared" si="159"/>
        <v>11.375512728681011</v>
      </c>
      <c r="I204">
        <f t="shared" si="120"/>
        <v>4.9011330820971049E-4</v>
      </c>
      <c r="J204">
        <f t="shared" si="121"/>
        <v>0</v>
      </c>
      <c r="K204">
        <f t="shared" si="122"/>
        <v>0</v>
      </c>
      <c r="L204">
        <f t="shared" si="123"/>
        <v>0</v>
      </c>
      <c r="M204">
        <f t="shared" si="124"/>
        <v>0</v>
      </c>
      <c r="N204">
        <f t="shared" si="125"/>
        <v>0</v>
      </c>
      <c r="O204">
        <f t="shared" si="126"/>
        <v>11.375022615372801</v>
      </c>
      <c r="P204">
        <f>M204*Inputs!B6/12</f>
        <v>0</v>
      </c>
      <c r="Q204">
        <f t="shared" si="127"/>
        <v>0</v>
      </c>
      <c r="R204">
        <f>N204*Inputs!B6/12</f>
        <v>0</v>
      </c>
      <c r="S204">
        <f t="shared" si="128"/>
        <v>0</v>
      </c>
      <c r="T204">
        <f t="shared" si="129"/>
        <v>4.8132022642692118E-2</v>
      </c>
      <c r="U204">
        <f t="shared" si="130"/>
        <v>0</v>
      </c>
      <c r="V204">
        <f t="shared" si="131"/>
        <v>4.8132022642692118E-2</v>
      </c>
      <c r="W204">
        <f t="shared" si="132"/>
        <v>0.96560439877411219</v>
      </c>
      <c r="X204">
        <f t="shared" si="133"/>
        <v>0</v>
      </c>
      <c r="Y204">
        <f t="shared" si="134"/>
        <v>0</v>
      </c>
      <c r="Z204">
        <f t="shared" si="135"/>
        <v>0</v>
      </c>
      <c r="AA204">
        <f t="shared" si="136"/>
        <v>0</v>
      </c>
      <c r="AB204">
        <f t="shared" si="137"/>
        <v>0</v>
      </c>
      <c r="AC204">
        <f t="shared" si="138"/>
        <v>0.96560439877411219</v>
      </c>
      <c r="AD204">
        <f t="shared" si="139"/>
        <v>0</v>
      </c>
      <c r="AE204">
        <f t="shared" si="140"/>
        <v>0.96560439877411219</v>
      </c>
      <c r="AF204">
        <f t="shared" si="141"/>
        <v>0</v>
      </c>
      <c r="AG204">
        <f t="shared" si="142"/>
        <v>0.96560439877411219</v>
      </c>
      <c r="AH204">
        <f t="shared" si="143"/>
        <v>0.96560439877411219</v>
      </c>
      <c r="AI204">
        <f t="shared" si="144"/>
        <v>0</v>
      </c>
      <c r="AJ204">
        <f t="shared" si="145"/>
        <v>0</v>
      </c>
      <c r="AK204">
        <f t="shared" si="146"/>
        <v>0.96560439877411219</v>
      </c>
      <c r="AL204">
        <f t="shared" si="147"/>
        <v>0</v>
      </c>
      <c r="AM204">
        <f t="shared" si="148"/>
        <v>0</v>
      </c>
      <c r="AN204">
        <f t="shared" si="149"/>
        <v>0.96560439877411219</v>
      </c>
      <c r="AO204">
        <f t="shared" si="150"/>
        <v>0</v>
      </c>
      <c r="AP204">
        <f t="shared" si="151"/>
        <v>0</v>
      </c>
      <c r="AQ204">
        <f t="shared" si="152"/>
        <v>0</v>
      </c>
      <c r="AR204">
        <f t="shared" si="153"/>
        <v>10.40941821659869</v>
      </c>
      <c r="AS204">
        <f t="shared" si="154"/>
        <v>0</v>
      </c>
      <c r="AT204">
        <f t="shared" si="155"/>
        <v>0</v>
      </c>
      <c r="AU204">
        <f t="shared" si="156"/>
        <v>0</v>
      </c>
    </row>
    <row r="205" spans="1:47" x14ac:dyDescent="0.2">
      <c r="A205">
        <v>204</v>
      </c>
      <c r="B205">
        <f>PoolStates_V2!B205</f>
        <v>0</v>
      </c>
      <c r="C205">
        <f>PoolStates_V2!S205</f>
        <v>4.4042568128789039E-2</v>
      </c>
      <c r="D205">
        <f>PoolStates_V2!T205</f>
        <v>0.88453061872527761</v>
      </c>
      <c r="E205">
        <f>PoolStates_V2!Q205</f>
        <v>4.4916663556930544E-4</v>
      </c>
      <c r="F205">
        <f t="shared" si="157"/>
        <v>0</v>
      </c>
      <c r="G205">
        <f t="shared" si="158"/>
        <v>0</v>
      </c>
      <c r="H205">
        <f t="shared" si="159"/>
        <v>10.40941821659869</v>
      </c>
      <c r="I205">
        <f t="shared" si="120"/>
        <v>4.4916663556930544E-4</v>
      </c>
      <c r="J205">
        <f t="shared" si="121"/>
        <v>0</v>
      </c>
      <c r="K205">
        <f t="shared" si="122"/>
        <v>0</v>
      </c>
      <c r="L205">
        <f t="shared" si="123"/>
        <v>0</v>
      </c>
      <c r="M205">
        <f t="shared" si="124"/>
        <v>0</v>
      </c>
      <c r="N205">
        <f t="shared" si="125"/>
        <v>0</v>
      </c>
      <c r="O205">
        <f t="shared" si="126"/>
        <v>10.408969049963121</v>
      </c>
      <c r="P205">
        <f>M205*Inputs!B6/12</f>
        <v>0</v>
      </c>
      <c r="Q205">
        <f t="shared" si="127"/>
        <v>0</v>
      </c>
      <c r="R205">
        <f>N205*Inputs!B6/12</f>
        <v>0</v>
      </c>
      <c r="S205">
        <f t="shared" si="128"/>
        <v>0</v>
      </c>
      <c r="T205">
        <f t="shared" si="129"/>
        <v>4.4042568128789039E-2</v>
      </c>
      <c r="U205">
        <f t="shared" si="130"/>
        <v>0</v>
      </c>
      <c r="V205">
        <f t="shared" si="131"/>
        <v>4.4042568128789039E-2</v>
      </c>
      <c r="W205">
        <f t="shared" si="132"/>
        <v>0.88453061872527761</v>
      </c>
      <c r="X205">
        <f t="shared" si="133"/>
        <v>0</v>
      </c>
      <c r="Y205">
        <f t="shared" si="134"/>
        <v>0</v>
      </c>
      <c r="Z205">
        <f t="shared" si="135"/>
        <v>0</v>
      </c>
      <c r="AA205">
        <f t="shared" si="136"/>
        <v>0</v>
      </c>
      <c r="AB205">
        <f t="shared" si="137"/>
        <v>0</v>
      </c>
      <c r="AC205">
        <f t="shared" si="138"/>
        <v>0.88453061872527761</v>
      </c>
      <c r="AD205">
        <f t="shared" si="139"/>
        <v>0</v>
      </c>
      <c r="AE205">
        <f t="shared" si="140"/>
        <v>0.88453061872527761</v>
      </c>
      <c r="AF205">
        <f t="shared" si="141"/>
        <v>0</v>
      </c>
      <c r="AG205">
        <f t="shared" si="142"/>
        <v>0.88453061872527761</v>
      </c>
      <c r="AH205">
        <f t="shared" si="143"/>
        <v>0.88453061872527761</v>
      </c>
      <c r="AI205">
        <f t="shared" si="144"/>
        <v>0</v>
      </c>
      <c r="AJ205">
        <f t="shared" si="145"/>
        <v>0</v>
      </c>
      <c r="AK205">
        <f t="shared" si="146"/>
        <v>0.88453061872527761</v>
      </c>
      <c r="AL205">
        <f t="shared" si="147"/>
        <v>0</v>
      </c>
      <c r="AM205">
        <f t="shared" si="148"/>
        <v>0</v>
      </c>
      <c r="AN205">
        <f t="shared" si="149"/>
        <v>0.88453061872527761</v>
      </c>
      <c r="AO205">
        <f t="shared" si="150"/>
        <v>0</v>
      </c>
      <c r="AP205">
        <f t="shared" si="151"/>
        <v>0</v>
      </c>
      <c r="AQ205">
        <f t="shared" si="152"/>
        <v>0</v>
      </c>
      <c r="AR205">
        <f t="shared" si="153"/>
        <v>9.5244384312378436</v>
      </c>
      <c r="AS205">
        <f t="shared" si="154"/>
        <v>0</v>
      </c>
      <c r="AT205">
        <f t="shared" si="155"/>
        <v>0</v>
      </c>
      <c r="AU205">
        <f t="shared" si="156"/>
        <v>0</v>
      </c>
    </row>
    <row r="206" spans="1:47" x14ac:dyDescent="0.2">
      <c r="A206">
        <v>205</v>
      </c>
      <c r="B206">
        <f>PoolStates_V2!B206</f>
        <v>0</v>
      </c>
      <c r="C206">
        <f>PoolStates_V2!S206</f>
        <v>4.0296585256901815E-2</v>
      </c>
      <c r="D206">
        <f>PoolStates_V2!T206</f>
        <v>0.81020167842453639</v>
      </c>
      <c r="E206">
        <f>PoolStates_V2!Q206</f>
        <v>4.1161260053057297E-4</v>
      </c>
      <c r="F206">
        <f t="shared" si="157"/>
        <v>0</v>
      </c>
      <c r="G206">
        <f t="shared" si="158"/>
        <v>0</v>
      </c>
      <c r="H206">
        <f t="shared" si="159"/>
        <v>9.5244384312378436</v>
      </c>
      <c r="I206">
        <f t="shared" si="120"/>
        <v>4.1161260053057297E-4</v>
      </c>
      <c r="J206">
        <f t="shared" si="121"/>
        <v>0</v>
      </c>
      <c r="K206">
        <f t="shared" si="122"/>
        <v>0</v>
      </c>
      <c r="L206">
        <f t="shared" si="123"/>
        <v>0</v>
      </c>
      <c r="M206">
        <f t="shared" si="124"/>
        <v>0</v>
      </c>
      <c r="N206">
        <f t="shared" si="125"/>
        <v>0</v>
      </c>
      <c r="O206">
        <f t="shared" si="126"/>
        <v>9.5240268186373136</v>
      </c>
      <c r="P206">
        <f>M206*Inputs!B6/12</f>
        <v>0</v>
      </c>
      <c r="Q206">
        <f t="shared" si="127"/>
        <v>0</v>
      </c>
      <c r="R206">
        <f>N206*Inputs!B6/12</f>
        <v>0</v>
      </c>
      <c r="S206">
        <f t="shared" si="128"/>
        <v>0</v>
      </c>
      <c r="T206">
        <f t="shared" si="129"/>
        <v>4.0296585256901815E-2</v>
      </c>
      <c r="U206">
        <f t="shared" si="130"/>
        <v>0</v>
      </c>
      <c r="V206">
        <f t="shared" si="131"/>
        <v>4.0296585256901815E-2</v>
      </c>
      <c r="W206">
        <f t="shared" si="132"/>
        <v>0.81020167842453639</v>
      </c>
      <c r="X206">
        <f t="shared" si="133"/>
        <v>0</v>
      </c>
      <c r="Y206">
        <f t="shared" si="134"/>
        <v>0</v>
      </c>
      <c r="Z206">
        <f t="shared" si="135"/>
        <v>0</v>
      </c>
      <c r="AA206">
        <f t="shared" si="136"/>
        <v>0</v>
      </c>
      <c r="AB206">
        <f t="shared" si="137"/>
        <v>0</v>
      </c>
      <c r="AC206">
        <f t="shared" si="138"/>
        <v>0.81020167842453639</v>
      </c>
      <c r="AD206">
        <f t="shared" si="139"/>
        <v>0</v>
      </c>
      <c r="AE206">
        <f t="shared" si="140"/>
        <v>0.81020167842453639</v>
      </c>
      <c r="AF206">
        <f t="shared" si="141"/>
        <v>0</v>
      </c>
      <c r="AG206">
        <f t="shared" si="142"/>
        <v>0.81020167842453639</v>
      </c>
      <c r="AH206">
        <f t="shared" si="143"/>
        <v>0.81020167842453639</v>
      </c>
      <c r="AI206">
        <f t="shared" si="144"/>
        <v>0</v>
      </c>
      <c r="AJ206">
        <f t="shared" si="145"/>
        <v>0</v>
      </c>
      <c r="AK206">
        <f t="shared" si="146"/>
        <v>0.81020167842453639</v>
      </c>
      <c r="AL206">
        <f t="shared" si="147"/>
        <v>0</v>
      </c>
      <c r="AM206">
        <f t="shared" si="148"/>
        <v>0</v>
      </c>
      <c r="AN206">
        <f t="shared" si="149"/>
        <v>0.81020167842453639</v>
      </c>
      <c r="AO206">
        <f t="shared" si="150"/>
        <v>0</v>
      </c>
      <c r="AP206">
        <f t="shared" si="151"/>
        <v>0</v>
      </c>
      <c r="AQ206">
        <f t="shared" si="152"/>
        <v>0</v>
      </c>
      <c r="AR206">
        <f t="shared" si="153"/>
        <v>8.7138251402127764</v>
      </c>
      <c r="AS206">
        <f t="shared" si="154"/>
        <v>0</v>
      </c>
      <c r="AT206">
        <f t="shared" si="155"/>
        <v>0</v>
      </c>
      <c r="AU206">
        <f t="shared" si="156"/>
        <v>0</v>
      </c>
    </row>
    <row r="207" spans="1:47" x14ac:dyDescent="0.2">
      <c r="A207">
        <v>206</v>
      </c>
      <c r="B207">
        <f>PoolStates_V2!B207</f>
        <v>0</v>
      </c>
      <c r="C207">
        <f>PoolStates_V2!S207</f>
        <v>3.6865491565152259E-2</v>
      </c>
      <c r="D207">
        <f>PoolStates_V2!T207</f>
        <v>0.74206065991088854</v>
      </c>
      <c r="E207">
        <f>PoolStates_V2!Q207</f>
        <v>3.7717202787860638E-4</v>
      </c>
      <c r="F207">
        <f t="shared" si="157"/>
        <v>0</v>
      </c>
      <c r="G207">
        <f t="shared" si="158"/>
        <v>0</v>
      </c>
      <c r="H207">
        <f t="shared" si="159"/>
        <v>8.7138251402127764</v>
      </c>
      <c r="I207">
        <f t="shared" si="120"/>
        <v>3.7717202787860638E-4</v>
      </c>
      <c r="J207">
        <f t="shared" si="121"/>
        <v>0</v>
      </c>
      <c r="K207">
        <f t="shared" si="122"/>
        <v>0</v>
      </c>
      <c r="L207">
        <f t="shared" si="123"/>
        <v>0</v>
      </c>
      <c r="M207">
        <f t="shared" si="124"/>
        <v>0</v>
      </c>
      <c r="N207">
        <f t="shared" si="125"/>
        <v>0</v>
      </c>
      <c r="O207">
        <f t="shared" si="126"/>
        <v>8.713447968184898</v>
      </c>
      <c r="P207">
        <f>M207*Inputs!B6/12</f>
        <v>0</v>
      </c>
      <c r="Q207">
        <f t="shared" si="127"/>
        <v>0</v>
      </c>
      <c r="R207">
        <f>N207*Inputs!B6/12</f>
        <v>0</v>
      </c>
      <c r="S207">
        <f t="shared" si="128"/>
        <v>0</v>
      </c>
      <c r="T207">
        <f t="shared" si="129"/>
        <v>3.6865491565152259E-2</v>
      </c>
      <c r="U207">
        <f t="shared" si="130"/>
        <v>0</v>
      </c>
      <c r="V207">
        <f t="shared" si="131"/>
        <v>3.6865491565152259E-2</v>
      </c>
      <c r="W207">
        <f t="shared" si="132"/>
        <v>0.74206065991088854</v>
      </c>
      <c r="X207">
        <f t="shared" si="133"/>
        <v>0</v>
      </c>
      <c r="Y207">
        <f t="shared" si="134"/>
        <v>0</v>
      </c>
      <c r="Z207">
        <f t="shared" si="135"/>
        <v>0</v>
      </c>
      <c r="AA207">
        <f t="shared" si="136"/>
        <v>0</v>
      </c>
      <c r="AB207">
        <f t="shared" si="137"/>
        <v>0</v>
      </c>
      <c r="AC207">
        <f t="shared" si="138"/>
        <v>0.74206065991088854</v>
      </c>
      <c r="AD207">
        <f t="shared" si="139"/>
        <v>0</v>
      </c>
      <c r="AE207">
        <f t="shared" si="140"/>
        <v>0.74206065991088854</v>
      </c>
      <c r="AF207">
        <f t="shared" si="141"/>
        <v>0</v>
      </c>
      <c r="AG207">
        <f t="shared" si="142"/>
        <v>0.74206065991088854</v>
      </c>
      <c r="AH207">
        <f t="shared" si="143"/>
        <v>0.74206065991088854</v>
      </c>
      <c r="AI207">
        <f t="shared" si="144"/>
        <v>0</v>
      </c>
      <c r="AJ207">
        <f t="shared" si="145"/>
        <v>0</v>
      </c>
      <c r="AK207">
        <f t="shared" si="146"/>
        <v>0.74206065991088854</v>
      </c>
      <c r="AL207">
        <f t="shared" si="147"/>
        <v>0</v>
      </c>
      <c r="AM207">
        <f t="shared" si="148"/>
        <v>0</v>
      </c>
      <c r="AN207">
        <f t="shared" si="149"/>
        <v>0.74206065991088854</v>
      </c>
      <c r="AO207">
        <f t="shared" si="150"/>
        <v>0</v>
      </c>
      <c r="AP207">
        <f t="shared" si="151"/>
        <v>0</v>
      </c>
      <c r="AQ207">
        <f t="shared" si="152"/>
        <v>0</v>
      </c>
      <c r="AR207">
        <f t="shared" si="153"/>
        <v>7.971387308274009</v>
      </c>
      <c r="AS207">
        <f t="shared" si="154"/>
        <v>0</v>
      </c>
      <c r="AT207">
        <f t="shared" si="155"/>
        <v>0</v>
      </c>
      <c r="AU207">
        <f t="shared" si="156"/>
        <v>0</v>
      </c>
    </row>
    <row r="208" spans="1:47" x14ac:dyDescent="0.2">
      <c r="A208">
        <v>207</v>
      </c>
      <c r="B208">
        <f>PoolStates_V2!B208</f>
        <v>0</v>
      </c>
      <c r="C208">
        <f>PoolStates_V2!S208</f>
        <v>3.3723065160806927E-2</v>
      </c>
      <c r="D208">
        <f>PoolStates_V2!T208</f>
        <v>0.67959634172495376</v>
      </c>
      <c r="E208">
        <f>PoolStates_V2!Q208</f>
        <v>3.4558858330028657E-4</v>
      </c>
      <c r="F208">
        <f t="shared" si="157"/>
        <v>0</v>
      </c>
      <c r="G208">
        <f t="shared" si="158"/>
        <v>0</v>
      </c>
      <c r="H208">
        <f t="shared" si="159"/>
        <v>7.971387308274009</v>
      </c>
      <c r="I208">
        <f t="shared" si="120"/>
        <v>3.4558858330028657E-4</v>
      </c>
      <c r="J208">
        <f t="shared" si="121"/>
        <v>0</v>
      </c>
      <c r="K208">
        <f t="shared" si="122"/>
        <v>0</v>
      </c>
      <c r="L208">
        <f t="shared" si="123"/>
        <v>0</v>
      </c>
      <c r="M208">
        <f t="shared" si="124"/>
        <v>0</v>
      </c>
      <c r="N208">
        <f t="shared" si="125"/>
        <v>0</v>
      </c>
      <c r="O208">
        <f t="shared" si="126"/>
        <v>7.9710417196907084</v>
      </c>
      <c r="P208">
        <f>M208*Inputs!B6/12</f>
        <v>0</v>
      </c>
      <c r="Q208">
        <f t="shared" si="127"/>
        <v>0</v>
      </c>
      <c r="R208">
        <f>N208*Inputs!B6/12</f>
        <v>0</v>
      </c>
      <c r="S208">
        <f t="shared" si="128"/>
        <v>0</v>
      </c>
      <c r="T208">
        <f t="shared" si="129"/>
        <v>3.3723065160806927E-2</v>
      </c>
      <c r="U208">
        <f t="shared" si="130"/>
        <v>0</v>
      </c>
      <c r="V208">
        <f t="shared" si="131"/>
        <v>3.3723065160806927E-2</v>
      </c>
      <c r="W208">
        <f t="shared" si="132"/>
        <v>0.67959634172495376</v>
      </c>
      <c r="X208">
        <f t="shared" si="133"/>
        <v>0</v>
      </c>
      <c r="Y208">
        <f t="shared" si="134"/>
        <v>0</v>
      </c>
      <c r="Z208">
        <f t="shared" si="135"/>
        <v>0</v>
      </c>
      <c r="AA208">
        <f t="shared" si="136"/>
        <v>0</v>
      </c>
      <c r="AB208">
        <f t="shared" si="137"/>
        <v>0</v>
      </c>
      <c r="AC208">
        <f t="shared" si="138"/>
        <v>0.67959634172495376</v>
      </c>
      <c r="AD208">
        <f t="shared" si="139"/>
        <v>0</v>
      </c>
      <c r="AE208">
        <f t="shared" si="140"/>
        <v>0.67959634172495376</v>
      </c>
      <c r="AF208">
        <f t="shared" si="141"/>
        <v>0</v>
      </c>
      <c r="AG208">
        <f t="shared" si="142"/>
        <v>0.67959634172495376</v>
      </c>
      <c r="AH208">
        <f t="shared" si="143"/>
        <v>0.67959634172495376</v>
      </c>
      <c r="AI208">
        <f t="shared" si="144"/>
        <v>0</v>
      </c>
      <c r="AJ208">
        <f t="shared" si="145"/>
        <v>0</v>
      </c>
      <c r="AK208">
        <f t="shared" si="146"/>
        <v>0.67959634172495376</v>
      </c>
      <c r="AL208">
        <f t="shared" si="147"/>
        <v>0</v>
      </c>
      <c r="AM208">
        <f t="shared" si="148"/>
        <v>0</v>
      </c>
      <c r="AN208">
        <f t="shared" si="149"/>
        <v>0.67959634172495376</v>
      </c>
      <c r="AO208">
        <f t="shared" si="150"/>
        <v>0</v>
      </c>
      <c r="AP208">
        <f t="shared" si="151"/>
        <v>0</v>
      </c>
      <c r="AQ208">
        <f t="shared" si="152"/>
        <v>0</v>
      </c>
      <c r="AR208">
        <f t="shared" si="153"/>
        <v>7.2914453779657542</v>
      </c>
      <c r="AS208">
        <f t="shared" si="154"/>
        <v>0</v>
      </c>
      <c r="AT208">
        <f t="shared" si="155"/>
        <v>0</v>
      </c>
      <c r="AU208">
        <f t="shared" si="156"/>
        <v>0</v>
      </c>
    </row>
    <row r="209" spans="1:47" x14ac:dyDescent="0.2">
      <c r="A209">
        <v>208</v>
      </c>
      <c r="B209">
        <f>PoolStates_V2!B209</f>
        <v>0</v>
      </c>
      <c r="C209">
        <f>PoolStates_V2!S209</f>
        <v>3.0845250993067199E-2</v>
      </c>
      <c r="D209">
        <f>PoolStates_V2!T209</f>
        <v>0.62233946925423367</v>
      </c>
      <c r="E209">
        <f>PoolStates_V2!Q209</f>
        <v>3.1662691378827831E-4</v>
      </c>
      <c r="F209">
        <f t="shared" si="157"/>
        <v>0</v>
      </c>
      <c r="G209">
        <f t="shared" si="158"/>
        <v>0</v>
      </c>
      <c r="H209">
        <f t="shared" si="159"/>
        <v>7.2914453779657542</v>
      </c>
      <c r="I209">
        <f t="shared" si="120"/>
        <v>3.1662691378827831E-4</v>
      </c>
      <c r="J209">
        <f t="shared" si="121"/>
        <v>0</v>
      </c>
      <c r="K209">
        <f t="shared" si="122"/>
        <v>0</v>
      </c>
      <c r="L209">
        <f t="shared" si="123"/>
        <v>0</v>
      </c>
      <c r="M209">
        <f t="shared" si="124"/>
        <v>0</v>
      </c>
      <c r="N209">
        <f t="shared" si="125"/>
        <v>0</v>
      </c>
      <c r="O209">
        <f t="shared" si="126"/>
        <v>7.291128751051966</v>
      </c>
      <c r="P209">
        <f>M209*Inputs!B6/12</f>
        <v>0</v>
      </c>
      <c r="Q209">
        <f t="shared" si="127"/>
        <v>0</v>
      </c>
      <c r="R209">
        <f>N209*Inputs!B6/12</f>
        <v>0</v>
      </c>
      <c r="S209">
        <f t="shared" si="128"/>
        <v>0</v>
      </c>
      <c r="T209">
        <f t="shared" si="129"/>
        <v>3.0845250993067199E-2</v>
      </c>
      <c r="U209">
        <f t="shared" si="130"/>
        <v>0</v>
      </c>
      <c r="V209">
        <f t="shared" si="131"/>
        <v>3.0845250993067199E-2</v>
      </c>
      <c r="W209">
        <f t="shared" si="132"/>
        <v>0.62233946925423367</v>
      </c>
      <c r="X209">
        <f t="shared" si="133"/>
        <v>0</v>
      </c>
      <c r="Y209">
        <f t="shared" si="134"/>
        <v>0</v>
      </c>
      <c r="Z209">
        <f t="shared" si="135"/>
        <v>0</v>
      </c>
      <c r="AA209">
        <f t="shared" si="136"/>
        <v>0</v>
      </c>
      <c r="AB209">
        <f t="shared" si="137"/>
        <v>0</v>
      </c>
      <c r="AC209">
        <f t="shared" si="138"/>
        <v>0.62233946925423367</v>
      </c>
      <c r="AD209">
        <f t="shared" si="139"/>
        <v>0</v>
      </c>
      <c r="AE209">
        <f t="shared" si="140"/>
        <v>0.62233946925423367</v>
      </c>
      <c r="AF209">
        <f t="shared" si="141"/>
        <v>0</v>
      </c>
      <c r="AG209">
        <f t="shared" si="142"/>
        <v>0.62233946925423367</v>
      </c>
      <c r="AH209">
        <f t="shared" si="143"/>
        <v>0.62233946925423367</v>
      </c>
      <c r="AI209">
        <f t="shared" si="144"/>
        <v>0</v>
      </c>
      <c r="AJ209">
        <f t="shared" si="145"/>
        <v>0</v>
      </c>
      <c r="AK209">
        <f t="shared" si="146"/>
        <v>0.62233946925423367</v>
      </c>
      <c r="AL209">
        <f t="shared" si="147"/>
        <v>0</v>
      </c>
      <c r="AM209">
        <f t="shared" si="148"/>
        <v>0</v>
      </c>
      <c r="AN209">
        <f t="shared" si="149"/>
        <v>0.62233946925423367</v>
      </c>
      <c r="AO209">
        <f t="shared" si="150"/>
        <v>0</v>
      </c>
      <c r="AP209">
        <f t="shared" si="151"/>
        <v>0</v>
      </c>
      <c r="AQ209">
        <f t="shared" si="152"/>
        <v>0</v>
      </c>
      <c r="AR209">
        <f t="shared" si="153"/>
        <v>6.6687892817977321</v>
      </c>
      <c r="AS209">
        <f t="shared" si="154"/>
        <v>0</v>
      </c>
      <c r="AT209">
        <f t="shared" si="155"/>
        <v>0</v>
      </c>
      <c r="AU209">
        <f t="shared" si="156"/>
        <v>0</v>
      </c>
    </row>
    <row r="210" spans="1:47" x14ac:dyDescent="0.2">
      <c r="A210">
        <v>209</v>
      </c>
      <c r="B210">
        <f>PoolStates_V2!B210</f>
        <v>0</v>
      </c>
      <c r="C210">
        <f>PoolStates_V2!S210</f>
        <v>2.8209982940033951E-2</v>
      </c>
      <c r="D210">
        <f>PoolStates_V2!T210</f>
        <v>0.56985932810599549</v>
      </c>
      <c r="E210">
        <f>PoolStates_V2!Q210</f>
        <v>2.9007093880567981E-4</v>
      </c>
      <c r="F210">
        <f t="shared" si="157"/>
        <v>0</v>
      </c>
      <c r="G210">
        <f t="shared" si="158"/>
        <v>0</v>
      </c>
      <c r="H210">
        <f t="shared" si="159"/>
        <v>6.6687892817977321</v>
      </c>
      <c r="I210">
        <f t="shared" si="120"/>
        <v>2.9007093880567981E-4</v>
      </c>
      <c r="J210">
        <f t="shared" si="121"/>
        <v>0</v>
      </c>
      <c r="K210">
        <f t="shared" si="122"/>
        <v>0</v>
      </c>
      <c r="L210">
        <f t="shared" si="123"/>
        <v>0</v>
      </c>
      <c r="M210">
        <f t="shared" si="124"/>
        <v>0</v>
      </c>
      <c r="N210">
        <f t="shared" si="125"/>
        <v>0</v>
      </c>
      <c r="O210">
        <f t="shared" si="126"/>
        <v>6.6684992108589265</v>
      </c>
      <c r="P210">
        <f>M210*Inputs!B6/12</f>
        <v>0</v>
      </c>
      <c r="Q210">
        <f t="shared" si="127"/>
        <v>0</v>
      </c>
      <c r="R210">
        <f>N210*Inputs!B6/12</f>
        <v>0</v>
      </c>
      <c r="S210">
        <f t="shared" si="128"/>
        <v>0</v>
      </c>
      <c r="T210">
        <f t="shared" si="129"/>
        <v>2.8209982940033951E-2</v>
      </c>
      <c r="U210">
        <f t="shared" si="130"/>
        <v>0</v>
      </c>
      <c r="V210">
        <f t="shared" si="131"/>
        <v>2.8209982940033951E-2</v>
      </c>
      <c r="W210">
        <f t="shared" si="132"/>
        <v>0.56985932810599549</v>
      </c>
      <c r="X210">
        <f t="shared" si="133"/>
        <v>0</v>
      </c>
      <c r="Y210">
        <f t="shared" si="134"/>
        <v>0</v>
      </c>
      <c r="Z210">
        <f t="shared" si="135"/>
        <v>0</v>
      </c>
      <c r="AA210">
        <f t="shared" si="136"/>
        <v>0</v>
      </c>
      <c r="AB210">
        <f t="shared" si="137"/>
        <v>0</v>
      </c>
      <c r="AC210">
        <f t="shared" si="138"/>
        <v>0.56985932810599549</v>
      </c>
      <c r="AD210">
        <f t="shared" si="139"/>
        <v>0</v>
      </c>
      <c r="AE210">
        <f t="shared" si="140"/>
        <v>0.56985932810599549</v>
      </c>
      <c r="AF210">
        <f t="shared" si="141"/>
        <v>0</v>
      </c>
      <c r="AG210">
        <f t="shared" si="142"/>
        <v>0.56985932810599549</v>
      </c>
      <c r="AH210">
        <f t="shared" si="143"/>
        <v>0.56985932810599549</v>
      </c>
      <c r="AI210">
        <f t="shared" si="144"/>
        <v>0</v>
      </c>
      <c r="AJ210">
        <f t="shared" si="145"/>
        <v>0</v>
      </c>
      <c r="AK210">
        <f t="shared" si="146"/>
        <v>0.56985932810599549</v>
      </c>
      <c r="AL210">
        <f t="shared" si="147"/>
        <v>0</v>
      </c>
      <c r="AM210">
        <f t="shared" si="148"/>
        <v>0</v>
      </c>
      <c r="AN210">
        <f t="shared" si="149"/>
        <v>0.56985932810599549</v>
      </c>
      <c r="AO210">
        <f t="shared" si="150"/>
        <v>0</v>
      </c>
      <c r="AP210">
        <f t="shared" si="151"/>
        <v>0</v>
      </c>
      <c r="AQ210">
        <f t="shared" si="152"/>
        <v>0</v>
      </c>
      <c r="AR210">
        <f t="shared" si="153"/>
        <v>6.0986398827529307</v>
      </c>
      <c r="AS210">
        <f t="shared" si="154"/>
        <v>0</v>
      </c>
      <c r="AT210">
        <f t="shared" si="155"/>
        <v>0</v>
      </c>
      <c r="AU210">
        <f t="shared" si="156"/>
        <v>0</v>
      </c>
    </row>
    <row r="211" spans="1:47" x14ac:dyDescent="0.2">
      <c r="A211">
        <v>210</v>
      </c>
      <c r="B211">
        <f>PoolStates_V2!B211</f>
        <v>0</v>
      </c>
      <c r="C211">
        <f>PoolStates_V2!S211</f>
        <v>2.5797020424793933E-2</v>
      </c>
      <c r="D211">
        <f>PoolStates_V2!T211</f>
        <v>0.52176059598369473</v>
      </c>
      <c r="E211">
        <f>PoolStates_V2!Q211</f>
        <v>2.6572228003383133E-4</v>
      </c>
      <c r="F211">
        <f t="shared" si="157"/>
        <v>0</v>
      </c>
      <c r="G211">
        <f t="shared" si="158"/>
        <v>0</v>
      </c>
      <c r="H211">
        <f t="shared" si="159"/>
        <v>6.0986398827529307</v>
      </c>
      <c r="I211">
        <f t="shared" si="120"/>
        <v>2.6572228003383133E-4</v>
      </c>
      <c r="J211">
        <f t="shared" si="121"/>
        <v>0</v>
      </c>
      <c r="K211">
        <f t="shared" si="122"/>
        <v>0</v>
      </c>
      <c r="L211">
        <f t="shared" si="123"/>
        <v>0</v>
      </c>
      <c r="M211">
        <f t="shared" si="124"/>
        <v>0</v>
      </c>
      <c r="N211">
        <f t="shared" si="125"/>
        <v>0</v>
      </c>
      <c r="O211">
        <f t="shared" si="126"/>
        <v>6.0983741604728969</v>
      </c>
      <c r="P211">
        <f>M211*Inputs!B6/12</f>
        <v>0</v>
      </c>
      <c r="Q211">
        <f t="shared" si="127"/>
        <v>0</v>
      </c>
      <c r="R211">
        <f>N211*Inputs!B6/12</f>
        <v>0</v>
      </c>
      <c r="S211">
        <f t="shared" si="128"/>
        <v>0</v>
      </c>
      <c r="T211">
        <f t="shared" si="129"/>
        <v>2.5797020424793933E-2</v>
      </c>
      <c r="U211">
        <f t="shared" si="130"/>
        <v>0</v>
      </c>
      <c r="V211">
        <f t="shared" si="131"/>
        <v>2.5797020424793933E-2</v>
      </c>
      <c r="W211">
        <f t="shared" si="132"/>
        <v>0.52176059598369473</v>
      </c>
      <c r="X211">
        <f t="shared" si="133"/>
        <v>0</v>
      </c>
      <c r="Y211">
        <f t="shared" si="134"/>
        <v>0</v>
      </c>
      <c r="Z211">
        <f t="shared" si="135"/>
        <v>0</v>
      </c>
      <c r="AA211">
        <f t="shared" si="136"/>
        <v>0</v>
      </c>
      <c r="AB211">
        <f t="shared" si="137"/>
        <v>0</v>
      </c>
      <c r="AC211">
        <f t="shared" si="138"/>
        <v>0.52176059598369473</v>
      </c>
      <c r="AD211">
        <f t="shared" si="139"/>
        <v>0</v>
      </c>
      <c r="AE211">
        <f t="shared" si="140"/>
        <v>0.52176059598369473</v>
      </c>
      <c r="AF211">
        <f t="shared" si="141"/>
        <v>0</v>
      </c>
      <c r="AG211">
        <f t="shared" si="142"/>
        <v>0.52176059598369473</v>
      </c>
      <c r="AH211">
        <f t="shared" si="143"/>
        <v>0.52176059598369473</v>
      </c>
      <c r="AI211">
        <f t="shared" si="144"/>
        <v>0</v>
      </c>
      <c r="AJ211">
        <f t="shared" si="145"/>
        <v>0</v>
      </c>
      <c r="AK211">
        <f t="shared" si="146"/>
        <v>0.52176059598369473</v>
      </c>
      <c r="AL211">
        <f t="shared" si="147"/>
        <v>0</v>
      </c>
      <c r="AM211">
        <f t="shared" si="148"/>
        <v>0</v>
      </c>
      <c r="AN211">
        <f t="shared" si="149"/>
        <v>0.52176059598369473</v>
      </c>
      <c r="AO211">
        <f t="shared" si="150"/>
        <v>0</v>
      </c>
      <c r="AP211">
        <f t="shared" si="151"/>
        <v>0</v>
      </c>
      <c r="AQ211">
        <f t="shared" si="152"/>
        <v>0</v>
      </c>
      <c r="AR211">
        <f t="shared" si="153"/>
        <v>5.5766135644892021</v>
      </c>
      <c r="AS211">
        <f t="shared" si="154"/>
        <v>0</v>
      </c>
      <c r="AT211">
        <f t="shared" si="155"/>
        <v>0</v>
      </c>
      <c r="AU211">
        <f t="shared" si="156"/>
        <v>0</v>
      </c>
    </row>
    <row r="212" spans="1:47" x14ac:dyDescent="0.2">
      <c r="A212">
        <v>211</v>
      </c>
      <c r="B212">
        <f>PoolStates_V2!B212</f>
        <v>0</v>
      </c>
      <c r="C212">
        <f>PoolStates_V2!S212</f>
        <v>2.3587798379587542E-2</v>
      </c>
      <c r="D212">
        <f>PoolStates_V2!T212</f>
        <v>0.47768045052082836</v>
      </c>
      <c r="E212">
        <f>PoolStates_V2!Q212</f>
        <v>2.4339881850622336E-4</v>
      </c>
      <c r="F212">
        <f t="shared" si="157"/>
        <v>0</v>
      </c>
      <c r="G212">
        <f t="shared" si="158"/>
        <v>0</v>
      </c>
      <c r="H212">
        <f t="shared" si="159"/>
        <v>5.5766135644892021</v>
      </c>
      <c r="I212">
        <f t="shared" si="120"/>
        <v>2.4339881850622336E-4</v>
      </c>
      <c r="J212">
        <f t="shared" si="121"/>
        <v>0</v>
      </c>
      <c r="K212">
        <f t="shared" si="122"/>
        <v>0</v>
      </c>
      <c r="L212">
        <f t="shared" si="123"/>
        <v>0</v>
      </c>
      <c r="M212">
        <f t="shared" si="124"/>
        <v>0</v>
      </c>
      <c r="N212">
        <f t="shared" si="125"/>
        <v>0</v>
      </c>
      <c r="O212">
        <f t="shared" si="126"/>
        <v>5.5763701656706957</v>
      </c>
      <c r="P212">
        <f>M212*Inputs!B6/12</f>
        <v>0</v>
      </c>
      <c r="Q212">
        <f t="shared" si="127"/>
        <v>0</v>
      </c>
      <c r="R212">
        <f>N212*Inputs!B6/12</f>
        <v>0</v>
      </c>
      <c r="S212">
        <f t="shared" si="128"/>
        <v>0</v>
      </c>
      <c r="T212">
        <f t="shared" si="129"/>
        <v>2.3587798379587542E-2</v>
      </c>
      <c r="U212">
        <f t="shared" si="130"/>
        <v>0</v>
      </c>
      <c r="V212">
        <f t="shared" si="131"/>
        <v>2.3587798379587542E-2</v>
      </c>
      <c r="W212">
        <f t="shared" si="132"/>
        <v>0.47768045052082836</v>
      </c>
      <c r="X212">
        <f t="shared" si="133"/>
        <v>0</v>
      </c>
      <c r="Y212">
        <f t="shared" si="134"/>
        <v>0</v>
      </c>
      <c r="Z212">
        <f t="shared" si="135"/>
        <v>0</v>
      </c>
      <c r="AA212">
        <f t="shared" si="136"/>
        <v>0</v>
      </c>
      <c r="AB212">
        <f t="shared" si="137"/>
        <v>0</v>
      </c>
      <c r="AC212">
        <f t="shared" si="138"/>
        <v>0.47768045052082836</v>
      </c>
      <c r="AD212">
        <f t="shared" si="139"/>
        <v>0</v>
      </c>
      <c r="AE212">
        <f t="shared" si="140"/>
        <v>0.47768045052082836</v>
      </c>
      <c r="AF212">
        <f t="shared" si="141"/>
        <v>0</v>
      </c>
      <c r="AG212">
        <f t="shared" si="142"/>
        <v>0.47768045052082836</v>
      </c>
      <c r="AH212">
        <f t="shared" si="143"/>
        <v>0.47768045052082836</v>
      </c>
      <c r="AI212">
        <f t="shared" si="144"/>
        <v>0</v>
      </c>
      <c r="AJ212">
        <f t="shared" si="145"/>
        <v>0</v>
      </c>
      <c r="AK212">
        <f t="shared" si="146"/>
        <v>0.47768045052082836</v>
      </c>
      <c r="AL212">
        <f t="shared" si="147"/>
        <v>0</v>
      </c>
      <c r="AM212">
        <f t="shared" si="148"/>
        <v>0</v>
      </c>
      <c r="AN212">
        <f t="shared" si="149"/>
        <v>0.47768045052082836</v>
      </c>
      <c r="AO212">
        <f t="shared" si="150"/>
        <v>0</v>
      </c>
      <c r="AP212">
        <f t="shared" si="151"/>
        <v>0</v>
      </c>
      <c r="AQ212">
        <f t="shared" si="152"/>
        <v>0</v>
      </c>
      <c r="AR212">
        <f t="shared" si="153"/>
        <v>5.0986897151498676</v>
      </c>
      <c r="AS212">
        <f t="shared" si="154"/>
        <v>0</v>
      </c>
      <c r="AT212">
        <f t="shared" si="155"/>
        <v>0</v>
      </c>
      <c r="AU212">
        <f t="shared" si="156"/>
        <v>0</v>
      </c>
    </row>
    <row r="213" spans="1:47" x14ac:dyDescent="0.2">
      <c r="A213">
        <v>212</v>
      </c>
      <c r="B213">
        <f>PoolStates_V2!B213</f>
        <v>0</v>
      </c>
      <c r="C213">
        <f>PoolStates_V2!S213</f>
        <v>2.156528947264006E-2</v>
      </c>
      <c r="D213">
        <f>PoolStates_V2!T213</f>
        <v>0.43728591234502756</v>
      </c>
      <c r="E213">
        <f>PoolStates_V2!Q213</f>
        <v>2.2293336883316863E-4</v>
      </c>
      <c r="F213">
        <f t="shared" si="157"/>
        <v>0</v>
      </c>
      <c r="G213">
        <f t="shared" si="158"/>
        <v>0</v>
      </c>
      <c r="H213">
        <f t="shared" si="159"/>
        <v>5.0986897151498676</v>
      </c>
      <c r="I213">
        <f t="shared" si="120"/>
        <v>2.2293336883316863E-4</v>
      </c>
      <c r="J213">
        <f t="shared" si="121"/>
        <v>0</v>
      </c>
      <c r="K213">
        <f t="shared" si="122"/>
        <v>0</v>
      </c>
      <c r="L213">
        <f t="shared" si="123"/>
        <v>0</v>
      </c>
      <c r="M213">
        <f t="shared" si="124"/>
        <v>0</v>
      </c>
      <c r="N213">
        <f t="shared" si="125"/>
        <v>0</v>
      </c>
      <c r="O213">
        <f t="shared" si="126"/>
        <v>5.0984667817810347</v>
      </c>
      <c r="P213">
        <f>M213*Inputs!B6/12</f>
        <v>0</v>
      </c>
      <c r="Q213">
        <f t="shared" si="127"/>
        <v>0</v>
      </c>
      <c r="R213">
        <f>N213*Inputs!B6/12</f>
        <v>0</v>
      </c>
      <c r="S213">
        <f t="shared" si="128"/>
        <v>0</v>
      </c>
      <c r="T213">
        <f t="shared" si="129"/>
        <v>2.156528947264006E-2</v>
      </c>
      <c r="U213">
        <f t="shared" si="130"/>
        <v>0</v>
      </c>
      <c r="V213">
        <f t="shared" si="131"/>
        <v>2.156528947264006E-2</v>
      </c>
      <c r="W213">
        <f t="shared" si="132"/>
        <v>0.43728591234502756</v>
      </c>
      <c r="X213">
        <f t="shared" si="133"/>
        <v>0</v>
      </c>
      <c r="Y213">
        <f t="shared" si="134"/>
        <v>0</v>
      </c>
      <c r="Z213">
        <f t="shared" si="135"/>
        <v>0</v>
      </c>
      <c r="AA213">
        <f t="shared" si="136"/>
        <v>0</v>
      </c>
      <c r="AB213">
        <f t="shared" si="137"/>
        <v>0</v>
      </c>
      <c r="AC213">
        <f t="shared" si="138"/>
        <v>0.43728591234502756</v>
      </c>
      <c r="AD213">
        <f t="shared" si="139"/>
        <v>0</v>
      </c>
      <c r="AE213">
        <f t="shared" si="140"/>
        <v>0.43728591234502756</v>
      </c>
      <c r="AF213">
        <f t="shared" si="141"/>
        <v>0</v>
      </c>
      <c r="AG213">
        <f t="shared" si="142"/>
        <v>0.43728591234502756</v>
      </c>
      <c r="AH213">
        <f t="shared" si="143"/>
        <v>0.43728591234502756</v>
      </c>
      <c r="AI213">
        <f t="shared" si="144"/>
        <v>0</v>
      </c>
      <c r="AJ213">
        <f t="shared" si="145"/>
        <v>0</v>
      </c>
      <c r="AK213">
        <f t="shared" si="146"/>
        <v>0.43728591234502756</v>
      </c>
      <c r="AL213">
        <f t="shared" si="147"/>
        <v>0</v>
      </c>
      <c r="AM213">
        <f t="shared" si="148"/>
        <v>0</v>
      </c>
      <c r="AN213">
        <f t="shared" si="149"/>
        <v>0.43728591234502756</v>
      </c>
      <c r="AO213">
        <f t="shared" si="150"/>
        <v>0</v>
      </c>
      <c r="AP213">
        <f t="shared" si="151"/>
        <v>0</v>
      </c>
      <c r="AQ213">
        <f t="shared" si="152"/>
        <v>0</v>
      </c>
      <c r="AR213">
        <f t="shared" si="153"/>
        <v>4.6611808694360075</v>
      </c>
      <c r="AS213">
        <f t="shared" si="154"/>
        <v>0</v>
      </c>
      <c r="AT213">
        <f t="shared" si="155"/>
        <v>0</v>
      </c>
      <c r="AU213">
        <f t="shared" si="156"/>
        <v>0</v>
      </c>
    </row>
    <row r="214" spans="1:47" x14ac:dyDescent="0.2">
      <c r="A214">
        <v>213</v>
      </c>
      <c r="B214">
        <f>PoolStates_V2!B214</f>
        <v>0</v>
      </c>
      <c r="C214">
        <f>PoolStates_V2!S214</f>
        <v>1.9713877600145358E-2</v>
      </c>
      <c r="D214">
        <f>PoolStates_V2!T214</f>
        <v>0.40027140431781733</v>
      </c>
      <c r="E214">
        <f>PoolStates_V2!Q214</f>
        <v>2.0417246105122335E-4</v>
      </c>
      <c r="F214">
        <f t="shared" si="157"/>
        <v>0</v>
      </c>
      <c r="G214">
        <f t="shared" si="158"/>
        <v>0</v>
      </c>
      <c r="H214">
        <f t="shared" si="159"/>
        <v>4.6611808694360075</v>
      </c>
      <c r="I214">
        <f t="shared" si="120"/>
        <v>2.0417246105122335E-4</v>
      </c>
      <c r="J214">
        <f t="shared" si="121"/>
        <v>0</v>
      </c>
      <c r="K214">
        <f t="shared" si="122"/>
        <v>0</v>
      </c>
      <c r="L214">
        <f t="shared" si="123"/>
        <v>0</v>
      </c>
      <c r="M214">
        <f t="shared" si="124"/>
        <v>0</v>
      </c>
      <c r="N214">
        <f t="shared" si="125"/>
        <v>0</v>
      </c>
      <c r="O214">
        <f t="shared" si="126"/>
        <v>4.6609766969749566</v>
      </c>
      <c r="P214">
        <f>M214*Inputs!B6/12</f>
        <v>0</v>
      </c>
      <c r="Q214">
        <f t="shared" si="127"/>
        <v>0</v>
      </c>
      <c r="R214">
        <f>N214*Inputs!B6/12</f>
        <v>0</v>
      </c>
      <c r="S214">
        <f t="shared" si="128"/>
        <v>0</v>
      </c>
      <c r="T214">
        <f t="shared" si="129"/>
        <v>1.9713877600145358E-2</v>
      </c>
      <c r="U214">
        <f t="shared" si="130"/>
        <v>0</v>
      </c>
      <c r="V214">
        <f t="shared" si="131"/>
        <v>1.9713877600145358E-2</v>
      </c>
      <c r="W214">
        <f t="shared" si="132"/>
        <v>0.40027140431781733</v>
      </c>
      <c r="X214">
        <f t="shared" si="133"/>
        <v>0</v>
      </c>
      <c r="Y214">
        <f t="shared" si="134"/>
        <v>0</v>
      </c>
      <c r="Z214">
        <f t="shared" si="135"/>
        <v>0</v>
      </c>
      <c r="AA214">
        <f t="shared" si="136"/>
        <v>0</v>
      </c>
      <c r="AB214">
        <f t="shared" si="137"/>
        <v>0</v>
      </c>
      <c r="AC214">
        <f t="shared" si="138"/>
        <v>0.40027140431781733</v>
      </c>
      <c r="AD214">
        <f t="shared" si="139"/>
        <v>0</v>
      </c>
      <c r="AE214">
        <f t="shared" si="140"/>
        <v>0.40027140431781733</v>
      </c>
      <c r="AF214">
        <f t="shared" si="141"/>
        <v>0</v>
      </c>
      <c r="AG214">
        <f t="shared" si="142"/>
        <v>0.40027140431781733</v>
      </c>
      <c r="AH214">
        <f t="shared" si="143"/>
        <v>0.40027140431781733</v>
      </c>
      <c r="AI214">
        <f t="shared" si="144"/>
        <v>0</v>
      </c>
      <c r="AJ214">
        <f t="shared" si="145"/>
        <v>0</v>
      </c>
      <c r="AK214">
        <f t="shared" si="146"/>
        <v>0.40027140431781733</v>
      </c>
      <c r="AL214">
        <f t="shared" si="147"/>
        <v>0</v>
      </c>
      <c r="AM214">
        <f t="shared" si="148"/>
        <v>0</v>
      </c>
      <c r="AN214">
        <f t="shared" si="149"/>
        <v>0.40027140431781733</v>
      </c>
      <c r="AO214">
        <f t="shared" si="150"/>
        <v>0</v>
      </c>
      <c r="AP214">
        <f t="shared" si="151"/>
        <v>0</v>
      </c>
      <c r="AQ214">
        <f t="shared" si="152"/>
        <v>0</v>
      </c>
      <c r="AR214">
        <f t="shared" si="153"/>
        <v>4.2607052926571392</v>
      </c>
      <c r="AS214">
        <f t="shared" si="154"/>
        <v>0</v>
      </c>
      <c r="AT214">
        <f t="shared" si="155"/>
        <v>0</v>
      </c>
      <c r="AU214">
        <f t="shared" si="156"/>
        <v>0</v>
      </c>
    </row>
    <row r="215" spans="1:47" x14ac:dyDescent="0.2">
      <c r="A215">
        <v>214</v>
      </c>
      <c r="B215">
        <f>PoolStates_V2!B215</f>
        <v>0</v>
      </c>
      <c r="C215">
        <f>PoolStates_V2!S215</f>
        <v>1.8019241726703994E-2</v>
      </c>
      <c r="D215">
        <f>PoolStates_V2!T215</f>
        <v>0.36635650943352704</v>
      </c>
      <c r="E215">
        <f>PoolStates_V2!Q215</f>
        <v>1.869752213940534E-4</v>
      </c>
      <c r="F215">
        <f t="shared" si="157"/>
        <v>0</v>
      </c>
      <c r="G215">
        <f t="shared" si="158"/>
        <v>0</v>
      </c>
      <c r="H215">
        <f t="shared" si="159"/>
        <v>4.2607052926571392</v>
      </c>
      <c r="I215">
        <f t="shared" si="120"/>
        <v>1.869752213940534E-4</v>
      </c>
      <c r="J215">
        <f t="shared" si="121"/>
        <v>0</v>
      </c>
      <c r="K215">
        <f t="shared" si="122"/>
        <v>0</v>
      </c>
      <c r="L215">
        <f t="shared" si="123"/>
        <v>0</v>
      </c>
      <c r="M215">
        <f t="shared" si="124"/>
        <v>0</v>
      </c>
      <c r="N215">
        <f t="shared" si="125"/>
        <v>0</v>
      </c>
      <c r="O215">
        <f t="shared" si="126"/>
        <v>4.2605183174357455</v>
      </c>
      <c r="P215">
        <f>M215*Inputs!B6/12</f>
        <v>0</v>
      </c>
      <c r="Q215">
        <f t="shared" si="127"/>
        <v>0</v>
      </c>
      <c r="R215">
        <f>N215*Inputs!B6/12</f>
        <v>0</v>
      </c>
      <c r="S215">
        <f t="shared" si="128"/>
        <v>0</v>
      </c>
      <c r="T215">
        <f t="shared" si="129"/>
        <v>1.8019241726703994E-2</v>
      </c>
      <c r="U215">
        <f t="shared" si="130"/>
        <v>0</v>
      </c>
      <c r="V215">
        <f t="shared" si="131"/>
        <v>1.8019241726703994E-2</v>
      </c>
      <c r="W215">
        <f t="shared" si="132"/>
        <v>0.36635650943352704</v>
      </c>
      <c r="X215">
        <f t="shared" si="133"/>
        <v>0</v>
      </c>
      <c r="Y215">
        <f t="shared" si="134"/>
        <v>0</v>
      </c>
      <c r="Z215">
        <f t="shared" si="135"/>
        <v>0</v>
      </c>
      <c r="AA215">
        <f t="shared" si="136"/>
        <v>0</v>
      </c>
      <c r="AB215">
        <f t="shared" si="137"/>
        <v>0</v>
      </c>
      <c r="AC215">
        <f t="shared" si="138"/>
        <v>0.36635650943352704</v>
      </c>
      <c r="AD215">
        <f t="shared" si="139"/>
        <v>0</v>
      </c>
      <c r="AE215">
        <f t="shared" si="140"/>
        <v>0.36635650943352704</v>
      </c>
      <c r="AF215">
        <f t="shared" si="141"/>
        <v>0</v>
      </c>
      <c r="AG215">
        <f t="shared" si="142"/>
        <v>0.36635650943352704</v>
      </c>
      <c r="AH215">
        <f t="shared" si="143"/>
        <v>0.36635650943352704</v>
      </c>
      <c r="AI215">
        <f t="shared" si="144"/>
        <v>0</v>
      </c>
      <c r="AJ215">
        <f t="shared" si="145"/>
        <v>0</v>
      </c>
      <c r="AK215">
        <f t="shared" si="146"/>
        <v>0.36635650943352704</v>
      </c>
      <c r="AL215">
        <f t="shared" si="147"/>
        <v>0</v>
      </c>
      <c r="AM215">
        <f t="shared" si="148"/>
        <v>0</v>
      </c>
      <c r="AN215">
        <f t="shared" si="149"/>
        <v>0.36635650943352704</v>
      </c>
      <c r="AO215">
        <f t="shared" si="150"/>
        <v>0</v>
      </c>
      <c r="AP215">
        <f t="shared" si="151"/>
        <v>0</v>
      </c>
      <c r="AQ215">
        <f t="shared" si="152"/>
        <v>0</v>
      </c>
      <c r="AR215">
        <f t="shared" si="153"/>
        <v>3.8941618080022185</v>
      </c>
      <c r="AS215">
        <f t="shared" si="154"/>
        <v>0</v>
      </c>
      <c r="AT215">
        <f t="shared" si="155"/>
        <v>0</v>
      </c>
      <c r="AU215">
        <f t="shared" si="156"/>
        <v>0</v>
      </c>
    </row>
    <row r="216" spans="1:47" x14ac:dyDescent="0.2">
      <c r="A216">
        <v>215</v>
      </c>
      <c r="B216">
        <f>PoolStates_V2!B216</f>
        <v>0</v>
      </c>
      <c r="C216">
        <f>PoolStates_V2!S216</f>
        <v>1.6468249231805929E-2</v>
      </c>
      <c r="D216">
        <f>PoolStates_V2!T216</f>
        <v>0.33528391127512719</v>
      </c>
      <c r="E216">
        <f>PoolStates_V2!Q216</f>
        <v>1.7121234398288142E-4</v>
      </c>
      <c r="F216">
        <f t="shared" si="157"/>
        <v>0</v>
      </c>
      <c r="G216">
        <f t="shared" si="158"/>
        <v>0</v>
      </c>
      <c r="H216">
        <f t="shared" si="159"/>
        <v>3.8941618080022185</v>
      </c>
      <c r="I216">
        <f t="shared" si="120"/>
        <v>1.7121234398288142E-4</v>
      </c>
      <c r="J216">
        <f t="shared" si="121"/>
        <v>0</v>
      </c>
      <c r="K216">
        <f t="shared" si="122"/>
        <v>0</v>
      </c>
      <c r="L216">
        <f t="shared" si="123"/>
        <v>0</v>
      </c>
      <c r="M216">
        <f t="shared" si="124"/>
        <v>0</v>
      </c>
      <c r="N216">
        <f t="shared" si="125"/>
        <v>0</v>
      </c>
      <c r="O216">
        <f t="shared" si="126"/>
        <v>3.8939905956582357</v>
      </c>
      <c r="P216">
        <f>M216*Inputs!B6/12</f>
        <v>0</v>
      </c>
      <c r="Q216">
        <f t="shared" si="127"/>
        <v>0</v>
      </c>
      <c r="R216">
        <f>N216*Inputs!B6/12</f>
        <v>0</v>
      </c>
      <c r="S216">
        <f t="shared" si="128"/>
        <v>0</v>
      </c>
      <c r="T216">
        <f t="shared" si="129"/>
        <v>1.6468249231805929E-2</v>
      </c>
      <c r="U216">
        <f t="shared" si="130"/>
        <v>0</v>
      </c>
      <c r="V216">
        <f t="shared" si="131"/>
        <v>1.6468249231805929E-2</v>
      </c>
      <c r="W216">
        <f t="shared" si="132"/>
        <v>0.33528391127512719</v>
      </c>
      <c r="X216">
        <f t="shared" si="133"/>
        <v>0</v>
      </c>
      <c r="Y216">
        <f t="shared" si="134"/>
        <v>0</v>
      </c>
      <c r="Z216">
        <f t="shared" si="135"/>
        <v>0</v>
      </c>
      <c r="AA216">
        <f t="shared" si="136"/>
        <v>0</v>
      </c>
      <c r="AB216">
        <f t="shared" si="137"/>
        <v>0</v>
      </c>
      <c r="AC216">
        <f t="shared" si="138"/>
        <v>0.33528391127512719</v>
      </c>
      <c r="AD216">
        <f t="shared" si="139"/>
        <v>0</v>
      </c>
      <c r="AE216">
        <f t="shared" si="140"/>
        <v>0.33528391127512719</v>
      </c>
      <c r="AF216">
        <f t="shared" si="141"/>
        <v>0</v>
      </c>
      <c r="AG216">
        <f t="shared" si="142"/>
        <v>0.33528391127512719</v>
      </c>
      <c r="AH216">
        <f t="shared" si="143"/>
        <v>0.33528391127512719</v>
      </c>
      <c r="AI216">
        <f t="shared" si="144"/>
        <v>0</v>
      </c>
      <c r="AJ216">
        <f t="shared" si="145"/>
        <v>0</v>
      </c>
      <c r="AK216">
        <f t="shared" si="146"/>
        <v>0.33528391127512719</v>
      </c>
      <c r="AL216">
        <f t="shared" si="147"/>
        <v>0</v>
      </c>
      <c r="AM216">
        <f t="shared" si="148"/>
        <v>0</v>
      </c>
      <c r="AN216">
        <f t="shared" si="149"/>
        <v>0.33528391127512719</v>
      </c>
      <c r="AO216">
        <f t="shared" si="150"/>
        <v>0</v>
      </c>
      <c r="AP216">
        <f t="shared" si="151"/>
        <v>0</v>
      </c>
      <c r="AQ216">
        <f t="shared" si="152"/>
        <v>0</v>
      </c>
      <c r="AR216">
        <f t="shared" si="153"/>
        <v>3.5587066843831083</v>
      </c>
      <c r="AS216">
        <f t="shared" si="154"/>
        <v>0</v>
      </c>
      <c r="AT216">
        <f t="shared" si="155"/>
        <v>0</v>
      </c>
      <c r="AU216">
        <f t="shared" si="156"/>
        <v>0</v>
      </c>
    </row>
    <row r="217" spans="1:47" x14ac:dyDescent="0.2">
      <c r="A217">
        <v>216</v>
      </c>
      <c r="B217">
        <f>PoolStates_V2!B217</f>
        <v>0</v>
      </c>
      <c r="C217">
        <f>PoolStates_V2!S217</f>
        <v>1.5048857988238384E-2</v>
      </c>
      <c r="D217">
        <f>PoolStates_V2!T217</f>
        <v>0.30681750222521859</v>
      </c>
      <c r="E217">
        <f>PoolStates_V2!Q217</f>
        <v>1.5676514607972807E-4</v>
      </c>
      <c r="F217">
        <f t="shared" si="157"/>
        <v>0</v>
      </c>
      <c r="G217">
        <f t="shared" si="158"/>
        <v>0</v>
      </c>
      <c r="H217">
        <f t="shared" si="159"/>
        <v>3.5587066843831083</v>
      </c>
      <c r="I217">
        <f t="shared" si="120"/>
        <v>1.5676514607972807E-4</v>
      </c>
      <c r="J217">
        <f t="shared" si="121"/>
        <v>0</v>
      </c>
      <c r="K217">
        <f t="shared" si="122"/>
        <v>0</v>
      </c>
      <c r="L217">
        <f t="shared" si="123"/>
        <v>0</v>
      </c>
      <c r="M217">
        <f t="shared" si="124"/>
        <v>0</v>
      </c>
      <c r="N217">
        <f t="shared" si="125"/>
        <v>0</v>
      </c>
      <c r="O217">
        <f t="shared" si="126"/>
        <v>3.5585499192370285</v>
      </c>
      <c r="P217">
        <f>M217*Inputs!B6/12</f>
        <v>0</v>
      </c>
      <c r="Q217">
        <f t="shared" si="127"/>
        <v>0</v>
      </c>
      <c r="R217">
        <f>N217*Inputs!B6/12</f>
        <v>0</v>
      </c>
      <c r="S217">
        <f t="shared" si="128"/>
        <v>0</v>
      </c>
      <c r="T217">
        <f t="shared" si="129"/>
        <v>1.5048857988238384E-2</v>
      </c>
      <c r="U217">
        <f t="shared" si="130"/>
        <v>0</v>
      </c>
      <c r="V217">
        <f t="shared" si="131"/>
        <v>1.5048857988238384E-2</v>
      </c>
      <c r="W217">
        <f t="shared" si="132"/>
        <v>0.30681750222521859</v>
      </c>
      <c r="X217">
        <f t="shared" si="133"/>
        <v>0</v>
      </c>
      <c r="Y217">
        <f t="shared" si="134"/>
        <v>0</v>
      </c>
      <c r="Z217">
        <f t="shared" si="135"/>
        <v>0</v>
      </c>
      <c r="AA217">
        <f t="shared" si="136"/>
        <v>0</v>
      </c>
      <c r="AB217">
        <f t="shared" si="137"/>
        <v>0</v>
      </c>
      <c r="AC217">
        <f t="shared" si="138"/>
        <v>0.30681750222521859</v>
      </c>
      <c r="AD217">
        <f t="shared" si="139"/>
        <v>0</v>
      </c>
      <c r="AE217">
        <f t="shared" si="140"/>
        <v>0.30681750222521859</v>
      </c>
      <c r="AF217">
        <f t="shared" si="141"/>
        <v>0</v>
      </c>
      <c r="AG217">
        <f t="shared" si="142"/>
        <v>0.30681750222521859</v>
      </c>
      <c r="AH217">
        <f t="shared" si="143"/>
        <v>0.30681750222521859</v>
      </c>
      <c r="AI217">
        <f t="shared" si="144"/>
        <v>0</v>
      </c>
      <c r="AJ217">
        <f t="shared" si="145"/>
        <v>0</v>
      </c>
      <c r="AK217">
        <f t="shared" si="146"/>
        <v>0.30681750222521859</v>
      </c>
      <c r="AL217">
        <f t="shared" si="147"/>
        <v>0</v>
      </c>
      <c r="AM217">
        <f t="shared" si="148"/>
        <v>0</v>
      </c>
      <c r="AN217">
        <f t="shared" si="149"/>
        <v>0.30681750222521859</v>
      </c>
      <c r="AO217">
        <f t="shared" si="150"/>
        <v>0</v>
      </c>
      <c r="AP217">
        <f t="shared" si="151"/>
        <v>0</v>
      </c>
      <c r="AQ217">
        <f t="shared" si="152"/>
        <v>0</v>
      </c>
      <c r="AR217">
        <f t="shared" si="153"/>
        <v>3.25173241701181</v>
      </c>
      <c r="AS217">
        <f t="shared" si="154"/>
        <v>0</v>
      </c>
      <c r="AT217">
        <f t="shared" si="155"/>
        <v>0</v>
      </c>
      <c r="AU217">
        <f t="shared" si="156"/>
        <v>0</v>
      </c>
    </row>
    <row r="218" spans="1:47" x14ac:dyDescent="0.2">
      <c r="A218">
        <v>217</v>
      </c>
      <c r="B218">
        <f>PoolStates_V2!B218</f>
        <v>0</v>
      </c>
      <c r="C218">
        <f>PoolStates_V2!S218</f>
        <v>1.3750026461073291E-2</v>
      </c>
      <c r="D218">
        <f>PoolStates_V2!T218</f>
        <v>0.28074064582616709</v>
      </c>
      <c r="E218">
        <f>PoolStates_V2!Q218</f>
        <v>1.4352470013989025E-4</v>
      </c>
      <c r="F218">
        <f t="shared" si="157"/>
        <v>0</v>
      </c>
      <c r="G218">
        <f t="shared" si="158"/>
        <v>0</v>
      </c>
      <c r="H218">
        <f t="shared" si="159"/>
        <v>3.25173241701181</v>
      </c>
      <c r="I218">
        <f t="shared" si="120"/>
        <v>1.4352470013989025E-4</v>
      </c>
      <c r="J218">
        <f t="shared" si="121"/>
        <v>0</v>
      </c>
      <c r="K218">
        <f t="shared" si="122"/>
        <v>0</v>
      </c>
      <c r="L218">
        <f t="shared" si="123"/>
        <v>0</v>
      </c>
      <c r="M218">
        <f t="shared" si="124"/>
        <v>0</v>
      </c>
      <c r="N218">
        <f t="shared" si="125"/>
        <v>0</v>
      </c>
      <c r="O218">
        <f t="shared" si="126"/>
        <v>3.2515888923116703</v>
      </c>
      <c r="P218">
        <f>M218*Inputs!B6/12</f>
        <v>0</v>
      </c>
      <c r="Q218">
        <f t="shared" si="127"/>
        <v>0</v>
      </c>
      <c r="R218">
        <f>N218*Inputs!B6/12</f>
        <v>0</v>
      </c>
      <c r="S218">
        <f t="shared" si="128"/>
        <v>0</v>
      </c>
      <c r="T218">
        <f t="shared" si="129"/>
        <v>1.3750026461073291E-2</v>
      </c>
      <c r="U218">
        <f t="shared" si="130"/>
        <v>0</v>
      </c>
      <c r="V218">
        <f t="shared" si="131"/>
        <v>1.3750026461073291E-2</v>
      </c>
      <c r="W218">
        <f t="shared" si="132"/>
        <v>0.28074064582616709</v>
      </c>
      <c r="X218">
        <f t="shared" si="133"/>
        <v>0</v>
      </c>
      <c r="Y218">
        <f t="shared" si="134"/>
        <v>0</v>
      </c>
      <c r="Z218">
        <f t="shared" si="135"/>
        <v>0</v>
      </c>
      <c r="AA218">
        <f t="shared" si="136"/>
        <v>0</v>
      </c>
      <c r="AB218">
        <f t="shared" si="137"/>
        <v>0</v>
      </c>
      <c r="AC218">
        <f t="shared" si="138"/>
        <v>0.28074064582616709</v>
      </c>
      <c r="AD218">
        <f t="shared" si="139"/>
        <v>0</v>
      </c>
      <c r="AE218">
        <f t="shared" si="140"/>
        <v>0.28074064582616709</v>
      </c>
      <c r="AF218">
        <f t="shared" si="141"/>
        <v>0</v>
      </c>
      <c r="AG218">
        <f t="shared" si="142"/>
        <v>0.28074064582616709</v>
      </c>
      <c r="AH218">
        <f t="shared" si="143"/>
        <v>0.28074064582616709</v>
      </c>
      <c r="AI218">
        <f t="shared" si="144"/>
        <v>0</v>
      </c>
      <c r="AJ218">
        <f t="shared" si="145"/>
        <v>0</v>
      </c>
      <c r="AK218">
        <f t="shared" si="146"/>
        <v>0.28074064582616709</v>
      </c>
      <c r="AL218">
        <f t="shared" si="147"/>
        <v>0</v>
      </c>
      <c r="AM218">
        <f t="shared" si="148"/>
        <v>0</v>
      </c>
      <c r="AN218">
        <f t="shared" si="149"/>
        <v>0.28074064582616709</v>
      </c>
      <c r="AO218">
        <f t="shared" si="150"/>
        <v>0</v>
      </c>
      <c r="AP218">
        <f t="shared" si="151"/>
        <v>0</v>
      </c>
      <c r="AQ218">
        <f t="shared" si="152"/>
        <v>0</v>
      </c>
      <c r="AR218">
        <f t="shared" si="153"/>
        <v>2.9708482464855033</v>
      </c>
      <c r="AS218">
        <f t="shared" si="154"/>
        <v>0</v>
      </c>
      <c r="AT218">
        <f t="shared" si="155"/>
        <v>0</v>
      </c>
      <c r="AU218">
        <f t="shared" si="156"/>
        <v>0</v>
      </c>
    </row>
    <row r="219" spans="1:47" x14ac:dyDescent="0.2">
      <c r="A219">
        <v>218</v>
      </c>
      <c r="B219">
        <f>PoolStates_V2!B219</f>
        <v>0</v>
      </c>
      <c r="C219">
        <f>PoolStates_V2!S219</f>
        <v>1.2561631173590982E-2</v>
      </c>
      <c r="D219">
        <f>PoolStates_V2!T219</f>
        <v>0.25685458078283468</v>
      </c>
      <c r="E219">
        <f>PoolStates_V2!Q219</f>
        <v>1.3139103644563925E-4</v>
      </c>
      <c r="F219">
        <f t="shared" si="157"/>
        <v>0</v>
      </c>
      <c r="G219">
        <f t="shared" si="158"/>
        <v>0</v>
      </c>
      <c r="H219">
        <f t="shared" si="159"/>
        <v>2.9708482464855033</v>
      </c>
      <c r="I219">
        <f t="shared" si="120"/>
        <v>1.3139103644563925E-4</v>
      </c>
      <c r="J219">
        <f t="shared" si="121"/>
        <v>0</v>
      </c>
      <c r="K219">
        <f t="shared" si="122"/>
        <v>0</v>
      </c>
      <c r="L219">
        <f t="shared" si="123"/>
        <v>0</v>
      </c>
      <c r="M219">
        <f t="shared" si="124"/>
        <v>0</v>
      </c>
      <c r="N219">
        <f t="shared" si="125"/>
        <v>0</v>
      </c>
      <c r="O219">
        <f t="shared" si="126"/>
        <v>2.9707168554490577</v>
      </c>
      <c r="P219">
        <f>M219*Inputs!B6/12</f>
        <v>0</v>
      </c>
      <c r="Q219">
        <f t="shared" si="127"/>
        <v>0</v>
      </c>
      <c r="R219">
        <f>N219*Inputs!B6/12</f>
        <v>0</v>
      </c>
      <c r="S219">
        <f t="shared" si="128"/>
        <v>0</v>
      </c>
      <c r="T219">
        <f t="shared" si="129"/>
        <v>1.2561631173590982E-2</v>
      </c>
      <c r="U219">
        <f t="shared" si="130"/>
        <v>0</v>
      </c>
      <c r="V219">
        <f t="shared" si="131"/>
        <v>1.2561631173590982E-2</v>
      </c>
      <c r="W219">
        <f t="shared" si="132"/>
        <v>0.25685458078283468</v>
      </c>
      <c r="X219">
        <f t="shared" si="133"/>
        <v>0</v>
      </c>
      <c r="Y219">
        <f t="shared" si="134"/>
        <v>0</v>
      </c>
      <c r="Z219">
        <f t="shared" si="135"/>
        <v>0</v>
      </c>
      <c r="AA219">
        <f t="shared" si="136"/>
        <v>0</v>
      </c>
      <c r="AB219">
        <f t="shared" si="137"/>
        <v>0</v>
      </c>
      <c r="AC219">
        <f t="shared" si="138"/>
        <v>0.25685458078283468</v>
      </c>
      <c r="AD219">
        <f t="shared" si="139"/>
        <v>0</v>
      </c>
      <c r="AE219">
        <f t="shared" si="140"/>
        <v>0.25685458078283468</v>
      </c>
      <c r="AF219">
        <f t="shared" si="141"/>
        <v>0</v>
      </c>
      <c r="AG219">
        <f t="shared" si="142"/>
        <v>0.25685458078283468</v>
      </c>
      <c r="AH219">
        <f t="shared" si="143"/>
        <v>0.25685458078283468</v>
      </c>
      <c r="AI219">
        <f t="shared" si="144"/>
        <v>0</v>
      </c>
      <c r="AJ219">
        <f t="shared" si="145"/>
        <v>0</v>
      </c>
      <c r="AK219">
        <f t="shared" si="146"/>
        <v>0.25685458078283468</v>
      </c>
      <c r="AL219">
        <f t="shared" si="147"/>
        <v>0</v>
      </c>
      <c r="AM219">
        <f t="shared" si="148"/>
        <v>0</v>
      </c>
      <c r="AN219">
        <f t="shared" si="149"/>
        <v>0.25685458078283468</v>
      </c>
      <c r="AO219">
        <f t="shared" si="150"/>
        <v>0</v>
      </c>
      <c r="AP219">
        <f t="shared" si="151"/>
        <v>0</v>
      </c>
      <c r="AQ219">
        <f t="shared" si="152"/>
        <v>0</v>
      </c>
      <c r="AR219">
        <f t="shared" si="153"/>
        <v>2.7138622746662229</v>
      </c>
      <c r="AS219">
        <f t="shared" si="154"/>
        <v>0</v>
      </c>
      <c r="AT219">
        <f t="shared" si="155"/>
        <v>0</v>
      </c>
      <c r="AU219">
        <f t="shared" si="156"/>
        <v>0</v>
      </c>
    </row>
    <row r="220" spans="1:47" x14ac:dyDescent="0.2">
      <c r="A220">
        <v>219</v>
      </c>
      <c r="B220">
        <f>PoolStates_V2!B220</f>
        <v>0</v>
      </c>
      <c r="C220">
        <f>PoolStates_V2!S220</f>
        <v>1.1474390939535865E-2</v>
      </c>
      <c r="D220">
        <f>PoolStates_V2!T220</f>
        <v>0.23497695511227304</v>
      </c>
      <c r="E220">
        <f>PoolStates_V2!Q220</f>
        <v>1.2027241060479447E-4</v>
      </c>
      <c r="F220">
        <f t="shared" si="157"/>
        <v>0</v>
      </c>
      <c r="G220">
        <f t="shared" si="158"/>
        <v>0</v>
      </c>
      <c r="H220">
        <f t="shared" si="159"/>
        <v>2.7138622746662229</v>
      </c>
      <c r="I220">
        <f t="shared" si="120"/>
        <v>1.2027241060479447E-4</v>
      </c>
      <c r="J220">
        <f t="shared" si="121"/>
        <v>0</v>
      </c>
      <c r="K220">
        <f t="shared" si="122"/>
        <v>0</v>
      </c>
      <c r="L220">
        <f t="shared" si="123"/>
        <v>0</v>
      </c>
      <c r="M220">
        <f t="shared" si="124"/>
        <v>0</v>
      </c>
      <c r="N220">
        <f t="shared" si="125"/>
        <v>0</v>
      </c>
      <c r="O220">
        <f t="shared" si="126"/>
        <v>2.7137420022556182</v>
      </c>
      <c r="P220">
        <f>M220*Inputs!B6/12</f>
        <v>0</v>
      </c>
      <c r="Q220">
        <f t="shared" si="127"/>
        <v>0</v>
      </c>
      <c r="R220">
        <f>N220*Inputs!B6/12</f>
        <v>0</v>
      </c>
      <c r="S220">
        <f t="shared" si="128"/>
        <v>0</v>
      </c>
      <c r="T220">
        <f t="shared" si="129"/>
        <v>1.1474390939535865E-2</v>
      </c>
      <c r="U220">
        <f t="shared" si="130"/>
        <v>0</v>
      </c>
      <c r="V220">
        <f t="shared" si="131"/>
        <v>1.1474390939535865E-2</v>
      </c>
      <c r="W220">
        <f t="shared" si="132"/>
        <v>0.23497695511227304</v>
      </c>
      <c r="X220">
        <f t="shared" si="133"/>
        <v>0</v>
      </c>
      <c r="Y220">
        <f t="shared" si="134"/>
        <v>0</v>
      </c>
      <c r="Z220">
        <f t="shared" si="135"/>
        <v>0</v>
      </c>
      <c r="AA220">
        <f t="shared" si="136"/>
        <v>0</v>
      </c>
      <c r="AB220">
        <f t="shared" si="137"/>
        <v>0</v>
      </c>
      <c r="AC220">
        <f t="shared" si="138"/>
        <v>0.23497695511227304</v>
      </c>
      <c r="AD220">
        <f t="shared" si="139"/>
        <v>0</v>
      </c>
      <c r="AE220">
        <f t="shared" si="140"/>
        <v>0.23497695511227304</v>
      </c>
      <c r="AF220">
        <f t="shared" si="141"/>
        <v>0</v>
      </c>
      <c r="AG220">
        <f t="shared" si="142"/>
        <v>0.23497695511227304</v>
      </c>
      <c r="AH220">
        <f t="shared" si="143"/>
        <v>0.23497695511227304</v>
      </c>
      <c r="AI220">
        <f t="shared" si="144"/>
        <v>0</v>
      </c>
      <c r="AJ220">
        <f t="shared" si="145"/>
        <v>0</v>
      </c>
      <c r="AK220">
        <f t="shared" si="146"/>
        <v>0.23497695511227304</v>
      </c>
      <c r="AL220">
        <f t="shared" si="147"/>
        <v>0</v>
      </c>
      <c r="AM220">
        <f t="shared" si="148"/>
        <v>0</v>
      </c>
      <c r="AN220">
        <f t="shared" si="149"/>
        <v>0.23497695511227304</v>
      </c>
      <c r="AO220">
        <f t="shared" si="150"/>
        <v>0</v>
      </c>
      <c r="AP220">
        <f t="shared" si="151"/>
        <v>0</v>
      </c>
      <c r="AQ220">
        <f t="shared" si="152"/>
        <v>0</v>
      </c>
      <c r="AR220">
        <f t="shared" si="153"/>
        <v>2.4787650471433453</v>
      </c>
      <c r="AS220">
        <f t="shared" si="154"/>
        <v>0</v>
      </c>
      <c r="AT220">
        <f t="shared" si="155"/>
        <v>0</v>
      </c>
      <c r="AU220">
        <f t="shared" si="156"/>
        <v>0</v>
      </c>
    </row>
    <row r="221" spans="1:47" x14ac:dyDescent="0.2">
      <c r="A221">
        <v>220</v>
      </c>
      <c r="B221">
        <f>PoolStates_V2!B221</f>
        <v>0</v>
      </c>
      <c r="C221">
        <f>PoolStates_V2!S221</f>
        <v>1.0479797309851054E-2</v>
      </c>
      <c r="D221">
        <f>PoolStates_V2!T221</f>
        <v>0.21494047987420445</v>
      </c>
      <c r="E221">
        <f>PoolStates_V2!Q221</f>
        <v>1.1008463065915107E-4</v>
      </c>
      <c r="F221">
        <f t="shared" si="157"/>
        <v>0</v>
      </c>
      <c r="G221">
        <f t="shared" si="158"/>
        <v>0</v>
      </c>
      <c r="H221">
        <f t="shared" si="159"/>
        <v>2.4787650471433453</v>
      </c>
      <c r="I221">
        <f t="shared" si="120"/>
        <v>1.1008463065915107E-4</v>
      </c>
      <c r="J221">
        <f t="shared" si="121"/>
        <v>0</v>
      </c>
      <c r="K221">
        <f t="shared" si="122"/>
        <v>0</v>
      </c>
      <c r="L221">
        <f t="shared" si="123"/>
        <v>0</v>
      </c>
      <c r="M221">
        <f t="shared" si="124"/>
        <v>0</v>
      </c>
      <c r="N221">
        <f t="shared" si="125"/>
        <v>0</v>
      </c>
      <c r="O221">
        <f t="shared" si="126"/>
        <v>2.4786549625126861</v>
      </c>
      <c r="P221">
        <f>M221*Inputs!B6/12</f>
        <v>0</v>
      </c>
      <c r="Q221">
        <f t="shared" si="127"/>
        <v>0</v>
      </c>
      <c r="R221">
        <f>N221*Inputs!B6/12</f>
        <v>0</v>
      </c>
      <c r="S221">
        <f t="shared" si="128"/>
        <v>0</v>
      </c>
      <c r="T221">
        <f t="shared" si="129"/>
        <v>1.0479797309851054E-2</v>
      </c>
      <c r="U221">
        <f t="shared" si="130"/>
        <v>0</v>
      </c>
      <c r="V221">
        <f t="shared" si="131"/>
        <v>1.0479797309851054E-2</v>
      </c>
      <c r="W221">
        <f t="shared" si="132"/>
        <v>0.21494047987420445</v>
      </c>
      <c r="X221">
        <f t="shared" si="133"/>
        <v>0</v>
      </c>
      <c r="Y221">
        <f t="shared" si="134"/>
        <v>0</v>
      </c>
      <c r="Z221">
        <f t="shared" si="135"/>
        <v>0</v>
      </c>
      <c r="AA221">
        <f t="shared" si="136"/>
        <v>0</v>
      </c>
      <c r="AB221">
        <f t="shared" si="137"/>
        <v>0</v>
      </c>
      <c r="AC221">
        <f t="shared" si="138"/>
        <v>0.21494047987420445</v>
      </c>
      <c r="AD221">
        <f t="shared" si="139"/>
        <v>0</v>
      </c>
      <c r="AE221">
        <f t="shared" si="140"/>
        <v>0.21494047987420445</v>
      </c>
      <c r="AF221">
        <f t="shared" si="141"/>
        <v>0</v>
      </c>
      <c r="AG221">
        <f t="shared" si="142"/>
        <v>0.21494047987420445</v>
      </c>
      <c r="AH221">
        <f t="shared" si="143"/>
        <v>0.21494047987420445</v>
      </c>
      <c r="AI221">
        <f t="shared" si="144"/>
        <v>0</v>
      </c>
      <c r="AJ221">
        <f t="shared" si="145"/>
        <v>0</v>
      </c>
      <c r="AK221">
        <f t="shared" si="146"/>
        <v>0.21494047987420445</v>
      </c>
      <c r="AL221">
        <f t="shared" si="147"/>
        <v>0</v>
      </c>
      <c r="AM221">
        <f t="shared" si="148"/>
        <v>0</v>
      </c>
      <c r="AN221">
        <f t="shared" si="149"/>
        <v>0.21494047987420445</v>
      </c>
      <c r="AO221">
        <f t="shared" si="150"/>
        <v>0</v>
      </c>
      <c r="AP221">
        <f t="shared" si="151"/>
        <v>0</v>
      </c>
      <c r="AQ221">
        <f t="shared" si="152"/>
        <v>0</v>
      </c>
      <c r="AR221">
        <f t="shared" si="153"/>
        <v>2.2637144826384819</v>
      </c>
      <c r="AS221">
        <f t="shared" si="154"/>
        <v>0</v>
      </c>
      <c r="AT221">
        <f t="shared" si="155"/>
        <v>0</v>
      </c>
      <c r="AU221">
        <f t="shared" si="156"/>
        <v>0</v>
      </c>
    </row>
    <row r="222" spans="1:47" x14ac:dyDescent="0.2">
      <c r="A222">
        <v>221</v>
      </c>
      <c r="B222">
        <f>PoolStates_V2!B222</f>
        <v>0</v>
      </c>
      <c r="C222">
        <f>PoolStates_V2!S222</f>
        <v>9.5700507268480003E-3</v>
      </c>
      <c r="D222">
        <f>PoolStates_V2!T222</f>
        <v>0.19659169277067626</v>
      </c>
      <c r="E222">
        <f>PoolStates_V2!Q222</f>
        <v>1.0075043897194935E-4</v>
      </c>
      <c r="F222">
        <f t="shared" si="157"/>
        <v>0</v>
      </c>
      <c r="G222">
        <f t="shared" si="158"/>
        <v>0</v>
      </c>
      <c r="H222">
        <f t="shared" si="159"/>
        <v>2.2637144826384819</v>
      </c>
      <c r="I222">
        <f t="shared" si="120"/>
        <v>1.0075043897194935E-4</v>
      </c>
      <c r="J222">
        <f t="shared" si="121"/>
        <v>0</v>
      </c>
      <c r="K222">
        <f t="shared" si="122"/>
        <v>0</v>
      </c>
      <c r="L222">
        <f t="shared" si="123"/>
        <v>0</v>
      </c>
      <c r="M222">
        <f t="shared" si="124"/>
        <v>0</v>
      </c>
      <c r="N222">
        <f t="shared" si="125"/>
        <v>0</v>
      </c>
      <c r="O222">
        <f t="shared" si="126"/>
        <v>2.2636137321995098</v>
      </c>
      <c r="P222">
        <f>M222*Inputs!B6/12</f>
        <v>0</v>
      </c>
      <c r="Q222">
        <f t="shared" si="127"/>
        <v>0</v>
      </c>
      <c r="R222">
        <f>N222*Inputs!B6/12</f>
        <v>0</v>
      </c>
      <c r="S222">
        <f t="shared" si="128"/>
        <v>0</v>
      </c>
      <c r="T222">
        <f t="shared" si="129"/>
        <v>9.5700507268480003E-3</v>
      </c>
      <c r="U222">
        <f t="shared" si="130"/>
        <v>0</v>
      </c>
      <c r="V222">
        <f t="shared" si="131"/>
        <v>9.5700507268480003E-3</v>
      </c>
      <c r="W222">
        <f t="shared" si="132"/>
        <v>0.19659169277067626</v>
      </c>
      <c r="X222">
        <f t="shared" si="133"/>
        <v>0</v>
      </c>
      <c r="Y222">
        <f t="shared" si="134"/>
        <v>0</v>
      </c>
      <c r="Z222">
        <f t="shared" si="135"/>
        <v>0</v>
      </c>
      <c r="AA222">
        <f t="shared" si="136"/>
        <v>0</v>
      </c>
      <c r="AB222">
        <f t="shared" si="137"/>
        <v>0</v>
      </c>
      <c r="AC222">
        <f t="shared" si="138"/>
        <v>0.19659169277067626</v>
      </c>
      <c r="AD222">
        <f t="shared" si="139"/>
        <v>0</v>
      </c>
      <c r="AE222">
        <f t="shared" si="140"/>
        <v>0.19659169277067626</v>
      </c>
      <c r="AF222">
        <f t="shared" si="141"/>
        <v>0</v>
      </c>
      <c r="AG222">
        <f t="shared" si="142"/>
        <v>0.19659169277067626</v>
      </c>
      <c r="AH222">
        <f t="shared" si="143"/>
        <v>0.19659169277067626</v>
      </c>
      <c r="AI222">
        <f t="shared" si="144"/>
        <v>0</v>
      </c>
      <c r="AJ222">
        <f t="shared" si="145"/>
        <v>0</v>
      </c>
      <c r="AK222">
        <f t="shared" si="146"/>
        <v>0.19659169277067626</v>
      </c>
      <c r="AL222">
        <f t="shared" si="147"/>
        <v>0</v>
      </c>
      <c r="AM222">
        <f t="shared" si="148"/>
        <v>0</v>
      </c>
      <c r="AN222">
        <f t="shared" si="149"/>
        <v>0.19659169277067626</v>
      </c>
      <c r="AO222">
        <f t="shared" si="150"/>
        <v>0</v>
      </c>
      <c r="AP222">
        <f t="shared" si="151"/>
        <v>0</v>
      </c>
      <c r="AQ222">
        <f t="shared" si="152"/>
        <v>0</v>
      </c>
      <c r="AR222">
        <f t="shared" si="153"/>
        <v>2.0670220394288337</v>
      </c>
      <c r="AS222">
        <f t="shared" si="154"/>
        <v>0</v>
      </c>
      <c r="AT222">
        <f t="shared" si="155"/>
        <v>0</v>
      </c>
      <c r="AU222">
        <f t="shared" si="156"/>
        <v>0</v>
      </c>
    </row>
    <row r="223" spans="1:47" x14ac:dyDescent="0.2">
      <c r="A223">
        <v>222</v>
      </c>
      <c r="B223">
        <f>PoolStates_V2!B223</f>
        <v>0</v>
      </c>
      <c r="C223">
        <f>PoolStates_V2!S223</f>
        <v>8.7380019199519345E-3</v>
      </c>
      <c r="D223">
        <f>PoolStates_V2!T223</f>
        <v>0.17978982268894764</v>
      </c>
      <c r="E223">
        <f>PoolStates_V2!Q223</f>
        <v>9.2198944453648169E-5</v>
      </c>
      <c r="F223">
        <f t="shared" si="157"/>
        <v>0</v>
      </c>
      <c r="G223">
        <f t="shared" si="158"/>
        <v>0</v>
      </c>
      <c r="H223">
        <f t="shared" si="159"/>
        <v>2.0670220394288337</v>
      </c>
      <c r="I223">
        <f t="shared" si="120"/>
        <v>9.2198944453648169E-5</v>
      </c>
      <c r="J223">
        <f t="shared" si="121"/>
        <v>0</v>
      </c>
      <c r="K223">
        <f t="shared" si="122"/>
        <v>0</v>
      </c>
      <c r="L223">
        <f t="shared" si="123"/>
        <v>0</v>
      </c>
      <c r="M223">
        <f t="shared" si="124"/>
        <v>0</v>
      </c>
      <c r="N223">
        <f t="shared" si="125"/>
        <v>0</v>
      </c>
      <c r="O223">
        <f t="shared" si="126"/>
        <v>2.0669298404843799</v>
      </c>
      <c r="P223">
        <f>M223*Inputs!B6/12</f>
        <v>0</v>
      </c>
      <c r="Q223">
        <f t="shared" si="127"/>
        <v>0</v>
      </c>
      <c r="R223">
        <f>N223*Inputs!B6/12</f>
        <v>0</v>
      </c>
      <c r="S223">
        <f t="shared" si="128"/>
        <v>0</v>
      </c>
      <c r="T223">
        <f t="shared" si="129"/>
        <v>8.7380019199519345E-3</v>
      </c>
      <c r="U223">
        <f t="shared" si="130"/>
        <v>0</v>
      </c>
      <c r="V223">
        <f t="shared" si="131"/>
        <v>8.7380019199519345E-3</v>
      </c>
      <c r="W223">
        <f t="shared" si="132"/>
        <v>0.17978982268894764</v>
      </c>
      <c r="X223">
        <f t="shared" si="133"/>
        <v>0</v>
      </c>
      <c r="Y223">
        <f t="shared" si="134"/>
        <v>0</v>
      </c>
      <c r="Z223">
        <f t="shared" si="135"/>
        <v>0</v>
      </c>
      <c r="AA223">
        <f t="shared" si="136"/>
        <v>0</v>
      </c>
      <c r="AB223">
        <f t="shared" si="137"/>
        <v>0</v>
      </c>
      <c r="AC223">
        <f t="shared" si="138"/>
        <v>0.17978982268894764</v>
      </c>
      <c r="AD223">
        <f t="shared" si="139"/>
        <v>0</v>
      </c>
      <c r="AE223">
        <f t="shared" si="140"/>
        <v>0.17978982268894764</v>
      </c>
      <c r="AF223">
        <f t="shared" si="141"/>
        <v>0</v>
      </c>
      <c r="AG223">
        <f t="shared" si="142"/>
        <v>0.17978982268894764</v>
      </c>
      <c r="AH223">
        <f t="shared" si="143"/>
        <v>0.17978982268894764</v>
      </c>
      <c r="AI223">
        <f t="shared" si="144"/>
        <v>0</v>
      </c>
      <c r="AJ223">
        <f t="shared" si="145"/>
        <v>0</v>
      </c>
      <c r="AK223">
        <f t="shared" si="146"/>
        <v>0.17978982268894764</v>
      </c>
      <c r="AL223">
        <f t="shared" si="147"/>
        <v>0</v>
      </c>
      <c r="AM223">
        <f t="shared" si="148"/>
        <v>0</v>
      </c>
      <c r="AN223">
        <f t="shared" si="149"/>
        <v>0.17978982268894764</v>
      </c>
      <c r="AO223">
        <f t="shared" si="150"/>
        <v>0</v>
      </c>
      <c r="AP223">
        <f t="shared" si="151"/>
        <v>0</v>
      </c>
      <c r="AQ223">
        <f t="shared" si="152"/>
        <v>0</v>
      </c>
      <c r="AR223">
        <f t="shared" si="153"/>
        <v>1.8871400177954323</v>
      </c>
      <c r="AS223">
        <f t="shared" si="154"/>
        <v>0</v>
      </c>
      <c r="AT223">
        <f t="shared" si="155"/>
        <v>0</v>
      </c>
      <c r="AU223">
        <f t="shared" si="156"/>
        <v>0</v>
      </c>
    </row>
    <row r="224" spans="1:47" x14ac:dyDescent="0.2">
      <c r="A224">
        <v>223</v>
      </c>
      <c r="B224">
        <f>PoolStates_V2!B224</f>
        <v>0</v>
      </c>
      <c r="C224">
        <f>PoolStates_V2!S224</f>
        <v>7.9770981150162276E-3</v>
      </c>
      <c r="D224">
        <f>PoolStates_V2!T224</f>
        <v>0.16440574698399613</v>
      </c>
      <c r="E224">
        <f>PoolStates_V2!Q224</f>
        <v>8.4365101043940775E-5</v>
      </c>
      <c r="F224">
        <f t="shared" si="157"/>
        <v>0</v>
      </c>
      <c r="G224">
        <f t="shared" si="158"/>
        <v>0</v>
      </c>
      <c r="H224">
        <f t="shared" si="159"/>
        <v>1.8871400177954323</v>
      </c>
      <c r="I224">
        <f t="shared" si="120"/>
        <v>8.4365101043940775E-5</v>
      </c>
      <c r="J224">
        <f t="shared" si="121"/>
        <v>0</v>
      </c>
      <c r="K224">
        <f t="shared" si="122"/>
        <v>0</v>
      </c>
      <c r="L224">
        <f t="shared" si="123"/>
        <v>0</v>
      </c>
      <c r="M224">
        <f t="shared" si="124"/>
        <v>0</v>
      </c>
      <c r="N224">
        <f t="shared" si="125"/>
        <v>0</v>
      </c>
      <c r="O224">
        <f t="shared" si="126"/>
        <v>1.8870556526943882</v>
      </c>
      <c r="P224">
        <f>M224*Inputs!B6/12</f>
        <v>0</v>
      </c>
      <c r="Q224">
        <f t="shared" si="127"/>
        <v>0</v>
      </c>
      <c r="R224">
        <f>N224*Inputs!B6/12</f>
        <v>0</v>
      </c>
      <c r="S224">
        <f t="shared" si="128"/>
        <v>0</v>
      </c>
      <c r="T224">
        <f t="shared" si="129"/>
        <v>7.9770981150162276E-3</v>
      </c>
      <c r="U224">
        <f t="shared" si="130"/>
        <v>0</v>
      </c>
      <c r="V224">
        <f t="shared" si="131"/>
        <v>7.9770981150162276E-3</v>
      </c>
      <c r="W224">
        <f t="shared" si="132"/>
        <v>0.16440574698399613</v>
      </c>
      <c r="X224">
        <f t="shared" si="133"/>
        <v>0</v>
      </c>
      <c r="Y224">
        <f t="shared" si="134"/>
        <v>0</v>
      </c>
      <c r="Z224">
        <f t="shared" si="135"/>
        <v>0</v>
      </c>
      <c r="AA224">
        <f t="shared" si="136"/>
        <v>0</v>
      </c>
      <c r="AB224">
        <f t="shared" si="137"/>
        <v>0</v>
      </c>
      <c r="AC224">
        <f t="shared" si="138"/>
        <v>0.16440574698399613</v>
      </c>
      <c r="AD224">
        <f t="shared" si="139"/>
        <v>0</v>
      </c>
      <c r="AE224">
        <f t="shared" si="140"/>
        <v>0.16440574698399613</v>
      </c>
      <c r="AF224">
        <f t="shared" si="141"/>
        <v>0</v>
      </c>
      <c r="AG224">
        <f t="shared" si="142"/>
        <v>0.16440574698399613</v>
      </c>
      <c r="AH224">
        <f t="shared" si="143"/>
        <v>0.16440574698399613</v>
      </c>
      <c r="AI224">
        <f t="shared" si="144"/>
        <v>0</v>
      </c>
      <c r="AJ224">
        <f t="shared" si="145"/>
        <v>0</v>
      </c>
      <c r="AK224">
        <f t="shared" si="146"/>
        <v>0.16440574698399613</v>
      </c>
      <c r="AL224">
        <f t="shared" si="147"/>
        <v>0</v>
      </c>
      <c r="AM224">
        <f t="shared" si="148"/>
        <v>0</v>
      </c>
      <c r="AN224">
        <f t="shared" si="149"/>
        <v>0.16440574698399613</v>
      </c>
      <c r="AO224">
        <f t="shared" si="150"/>
        <v>0</v>
      </c>
      <c r="AP224">
        <f t="shared" si="151"/>
        <v>0</v>
      </c>
      <c r="AQ224">
        <f t="shared" si="152"/>
        <v>0</v>
      </c>
      <c r="AR224">
        <f t="shared" si="153"/>
        <v>1.7226499057103921</v>
      </c>
      <c r="AS224">
        <f t="shared" si="154"/>
        <v>0</v>
      </c>
      <c r="AT224">
        <f t="shared" si="155"/>
        <v>0</v>
      </c>
      <c r="AU224">
        <f t="shared" si="156"/>
        <v>0</v>
      </c>
    </row>
    <row r="225" spans="1:47" x14ac:dyDescent="0.2">
      <c r="A225">
        <v>224</v>
      </c>
      <c r="B225">
        <f>PoolStates_V2!B225</f>
        <v>0</v>
      </c>
      <c r="C225">
        <f>PoolStates_V2!S225</f>
        <v>7.2813336639876419E-3</v>
      </c>
      <c r="D225">
        <f>PoolStates_V2!T225</f>
        <v>0.15032103396110447</v>
      </c>
      <c r="E225">
        <f>PoolStates_V2!Q225</f>
        <v>7.7189228697752544E-5</v>
      </c>
      <c r="F225">
        <f t="shared" si="157"/>
        <v>0</v>
      </c>
      <c r="G225">
        <f t="shared" si="158"/>
        <v>0</v>
      </c>
      <c r="H225">
        <f t="shared" si="159"/>
        <v>1.7226499057103921</v>
      </c>
      <c r="I225">
        <f t="shared" si="120"/>
        <v>7.7189228697752544E-5</v>
      </c>
      <c r="J225">
        <f t="shared" si="121"/>
        <v>0</v>
      </c>
      <c r="K225">
        <f t="shared" si="122"/>
        <v>0</v>
      </c>
      <c r="L225">
        <f t="shared" si="123"/>
        <v>0</v>
      </c>
      <c r="M225">
        <f t="shared" si="124"/>
        <v>0</v>
      </c>
      <c r="N225">
        <f t="shared" si="125"/>
        <v>0</v>
      </c>
      <c r="O225">
        <f t="shared" si="126"/>
        <v>1.7225727164816944</v>
      </c>
      <c r="P225">
        <f>M225*Inputs!B6/12</f>
        <v>0</v>
      </c>
      <c r="Q225">
        <f t="shared" si="127"/>
        <v>0</v>
      </c>
      <c r="R225">
        <f>N225*Inputs!B6/12</f>
        <v>0</v>
      </c>
      <c r="S225">
        <f t="shared" si="128"/>
        <v>0</v>
      </c>
      <c r="T225">
        <f t="shared" si="129"/>
        <v>7.2813336639876419E-3</v>
      </c>
      <c r="U225">
        <f t="shared" si="130"/>
        <v>0</v>
      </c>
      <c r="V225">
        <f t="shared" si="131"/>
        <v>7.2813336639876419E-3</v>
      </c>
      <c r="W225">
        <f t="shared" si="132"/>
        <v>0.15032103396110447</v>
      </c>
      <c r="X225">
        <f t="shared" si="133"/>
        <v>0</v>
      </c>
      <c r="Y225">
        <f t="shared" si="134"/>
        <v>0</v>
      </c>
      <c r="Z225">
        <f t="shared" si="135"/>
        <v>0</v>
      </c>
      <c r="AA225">
        <f t="shared" si="136"/>
        <v>0</v>
      </c>
      <c r="AB225">
        <f t="shared" si="137"/>
        <v>0</v>
      </c>
      <c r="AC225">
        <f t="shared" si="138"/>
        <v>0.15032103396110447</v>
      </c>
      <c r="AD225">
        <f t="shared" si="139"/>
        <v>0</v>
      </c>
      <c r="AE225">
        <f t="shared" si="140"/>
        <v>0.15032103396110447</v>
      </c>
      <c r="AF225">
        <f t="shared" si="141"/>
        <v>0</v>
      </c>
      <c r="AG225">
        <f t="shared" si="142"/>
        <v>0.15032103396110447</v>
      </c>
      <c r="AH225">
        <f t="shared" si="143"/>
        <v>0.15032103396110447</v>
      </c>
      <c r="AI225">
        <f t="shared" si="144"/>
        <v>0</v>
      </c>
      <c r="AJ225">
        <f t="shared" si="145"/>
        <v>0</v>
      </c>
      <c r="AK225">
        <f t="shared" si="146"/>
        <v>0.15032103396110447</v>
      </c>
      <c r="AL225">
        <f t="shared" si="147"/>
        <v>0</v>
      </c>
      <c r="AM225">
        <f t="shared" si="148"/>
        <v>0</v>
      </c>
      <c r="AN225">
        <f t="shared" si="149"/>
        <v>0.15032103396110447</v>
      </c>
      <c r="AO225">
        <f t="shared" si="150"/>
        <v>0</v>
      </c>
      <c r="AP225">
        <f t="shared" si="151"/>
        <v>0</v>
      </c>
      <c r="AQ225">
        <f t="shared" si="152"/>
        <v>0</v>
      </c>
      <c r="AR225">
        <f t="shared" si="153"/>
        <v>1.5722516825205899</v>
      </c>
      <c r="AS225">
        <f t="shared" si="154"/>
        <v>0</v>
      </c>
      <c r="AT225">
        <f t="shared" si="155"/>
        <v>0</v>
      </c>
      <c r="AU225">
        <f t="shared" si="156"/>
        <v>0</v>
      </c>
    </row>
    <row r="226" spans="1:47" x14ac:dyDescent="0.2">
      <c r="A226">
        <v>225</v>
      </c>
      <c r="B226">
        <f>PoolStates_V2!B226</f>
        <v>0</v>
      </c>
      <c r="C226">
        <f>PoolStates_V2!S226</f>
        <v>6.6452047336768259E-3</v>
      </c>
      <c r="D226">
        <f>PoolStates_V2!T226</f>
        <v>0.13742706362948603</v>
      </c>
      <c r="E226">
        <f>PoolStates_V2!Q226</f>
        <v>7.061657342620046E-5</v>
      </c>
      <c r="F226">
        <f t="shared" si="157"/>
        <v>0</v>
      </c>
      <c r="G226">
        <f t="shared" si="158"/>
        <v>0</v>
      </c>
      <c r="H226">
        <f t="shared" si="159"/>
        <v>1.5722516825205899</v>
      </c>
      <c r="I226">
        <f t="shared" si="120"/>
        <v>7.061657342620046E-5</v>
      </c>
      <c r="J226">
        <f t="shared" si="121"/>
        <v>0</v>
      </c>
      <c r="K226">
        <f t="shared" si="122"/>
        <v>0</v>
      </c>
      <c r="L226">
        <f t="shared" si="123"/>
        <v>0</v>
      </c>
      <c r="M226">
        <f t="shared" si="124"/>
        <v>0</v>
      </c>
      <c r="N226">
        <f t="shared" si="125"/>
        <v>0</v>
      </c>
      <c r="O226">
        <f t="shared" si="126"/>
        <v>1.5721810659471638</v>
      </c>
      <c r="P226">
        <f>M226*Inputs!B6/12</f>
        <v>0</v>
      </c>
      <c r="Q226">
        <f t="shared" si="127"/>
        <v>0</v>
      </c>
      <c r="R226">
        <f>N226*Inputs!B6/12</f>
        <v>0</v>
      </c>
      <c r="S226">
        <f t="shared" si="128"/>
        <v>0</v>
      </c>
      <c r="T226">
        <f t="shared" si="129"/>
        <v>6.6452047336768259E-3</v>
      </c>
      <c r="U226">
        <f t="shared" si="130"/>
        <v>0</v>
      </c>
      <c r="V226">
        <f t="shared" si="131"/>
        <v>6.6452047336768259E-3</v>
      </c>
      <c r="W226">
        <f t="shared" si="132"/>
        <v>0.13742706362948603</v>
      </c>
      <c r="X226">
        <f t="shared" si="133"/>
        <v>0</v>
      </c>
      <c r="Y226">
        <f t="shared" si="134"/>
        <v>0</v>
      </c>
      <c r="Z226">
        <f t="shared" si="135"/>
        <v>0</v>
      </c>
      <c r="AA226">
        <f t="shared" si="136"/>
        <v>0</v>
      </c>
      <c r="AB226">
        <f t="shared" si="137"/>
        <v>0</v>
      </c>
      <c r="AC226">
        <f t="shared" si="138"/>
        <v>0.13742706362948603</v>
      </c>
      <c r="AD226">
        <f t="shared" si="139"/>
        <v>0</v>
      </c>
      <c r="AE226">
        <f t="shared" si="140"/>
        <v>0.13742706362948603</v>
      </c>
      <c r="AF226">
        <f t="shared" si="141"/>
        <v>0</v>
      </c>
      <c r="AG226">
        <f t="shared" si="142"/>
        <v>0.13742706362948603</v>
      </c>
      <c r="AH226">
        <f t="shared" si="143"/>
        <v>0.13742706362948603</v>
      </c>
      <c r="AI226">
        <f t="shared" si="144"/>
        <v>0</v>
      </c>
      <c r="AJ226">
        <f t="shared" si="145"/>
        <v>0</v>
      </c>
      <c r="AK226">
        <f t="shared" si="146"/>
        <v>0.13742706362948603</v>
      </c>
      <c r="AL226">
        <f t="shared" si="147"/>
        <v>0</v>
      </c>
      <c r="AM226">
        <f t="shared" si="148"/>
        <v>0</v>
      </c>
      <c r="AN226">
        <f t="shared" si="149"/>
        <v>0.13742706362948603</v>
      </c>
      <c r="AO226">
        <f t="shared" si="150"/>
        <v>0</v>
      </c>
      <c r="AP226">
        <f t="shared" si="151"/>
        <v>0</v>
      </c>
      <c r="AQ226">
        <f t="shared" si="152"/>
        <v>0</v>
      </c>
      <c r="AR226">
        <f t="shared" si="153"/>
        <v>1.4347540023176777</v>
      </c>
      <c r="AS226">
        <f t="shared" si="154"/>
        <v>0</v>
      </c>
      <c r="AT226">
        <f t="shared" si="155"/>
        <v>0</v>
      </c>
      <c r="AU226">
        <f t="shared" si="156"/>
        <v>0</v>
      </c>
    </row>
    <row r="227" spans="1:47" x14ac:dyDescent="0.2">
      <c r="A227">
        <v>226</v>
      </c>
      <c r="B227">
        <f>PoolStates_V2!B227</f>
        <v>0</v>
      </c>
      <c r="C227">
        <f>PoolStates_V2!S227</f>
        <v>6.0636677217715748E-3</v>
      </c>
      <c r="D227">
        <f>PoolStates_V2!T227</f>
        <v>0.12562422035915019</v>
      </c>
      <c r="E227">
        <f>PoolStates_V2!Q227</f>
        <v>6.4596903222310695E-5</v>
      </c>
      <c r="F227">
        <f t="shared" si="157"/>
        <v>0</v>
      </c>
      <c r="G227">
        <f t="shared" si="158"/>
        <v>0</v>
      </c>
      <c r="H227">
        <f t="shared" si="159"/>
        <v>1.4347540023176777</v>
      </c>
      <c r="I227">
        <f t="shared" si="120"/>
        <v>6.4596903222310695E-5</v>
      </c>
      <c r="J227">
        <f t="shared" si="121"/>
        <v>0</v>
      </c>
      <c r="K227">
        <f t="shared" si="122"/>
        <v>0</v>
      </c>
      <c r="L227">
        <f t="shared" si="123"/>
        <v>0</v>
      </c>
      <c r="M227">
        <f t="shared" si="124"/>
        <v>0</v>
      </c>
      <c r="N227">
        <f t="shared" si="125"/>
        <v>0</v>
      </c>
      <c r="O227">
        <f t="shared" si="126"/>
        <v>1.4346894054144554</v>
      </c>
      <c r="P227">
        <f>M227*Inputs!B6/12</f>
        <v>0</v>
      </c>
      <c r="Q227">
        <f t="shared" si="127"/>
        <v>0</v>
      </c>
      <c r="R227">
        <f>N227*Inputs!B6/12</f>
        <v>0</v>
      </c>
      <c r="S227">
        <f t="shared" si="128"/>
        <v>0</v>
      </c>
      <c r="T227">
        <f t="shared" si="129"/>
        <v>6.0636677217715748E-3</v>
      </c>
      <c r="U227">
        <f t="shared" si="130"/>
        <v>0</v>
      </c>
      <c r="V227">
        <f t="shared" si="131"/>
        <v>6.0636677217715748E-3</v>
      </c>
      <c r="W227">
        <f t="shared" si="132"/>
        <v>0.12562422035915019</v>
      </c>
      <c r="X227">
        <f t="shared" si="133"/>
        <v>0</v>
      </c>
      <c r="Y227">
        <f t="shared" si="134"/>
        <v>0</v>
      </c>
      <c r="Z227">
        <f t="shared" si="135"/>
        <v>0</v>
      </c>
      <c r="AA227">
        <f t="shared" si="136"/>
        <v>0</v>
      </c>
      <c r="AB227">
        <f t="shared" si="137"/>
        <v>0</v>
      </c>
      <c r="AC227">
        <f t="shared" si="138"/>
        <v>0.12562422035915019</v>
      </c>
      <c r="AD227">
        <f t="shared" si="139"/>
        <v>0</v>
      </c>
      <c r="AE227">
        <f t="shared" si="140"/>
        <v>0.12562422035915019</v>
      </c>
      <c r="AF227">
        <f t="shared" si="141"/>
        <v>0</v>
      </c>
      <c r="AG227">
        <f t="shared" si="142"/>
        <v>0.12562422035915019</v>
      </c>
      <c r="AH227">
        <f t="shared" si="143"/>
        <v>0.12562422035915019</v>
      </c>
      <c r="AI227">
        <f t="shared" si="144"/>
        <v>0</v>
      </c>
      <c r="AJ227">
        <f t="shared" si="145"/>
        <v>0</v>
      </c>
      <c r="AK227">
        <f t="shared" si="146"/>
        <v>0.12562422035915019</v>
      </c>
      <c r="AL227">
        <f t="shared" si="147"/>
        <v>0</v>
      </c>
      <c r="AM227">
        <f t="shared" si="148"/>
        <v>0</v>
      </c>
      <c r="AN227">
        <f t="shared" si="149"/>
        <v>0.12562422035915019</v>
      </c>
      <c r="AO227">
        <f t="shared" si="150"/>
        <v>0</v>
      </c>
      <c r="AP227">
        <f t="shared" si="151"/>
        <v>0</v>
      </c>
      <c r="AQ227">
        <f t="shared" si="152"/>
        <v>0</v>
      </c>
      <c r="AR227">
        <f t="shared" si="153"/>
        <v>1.3090651850553052</v>
      </c>
      <c r="AS227">
        <f t="shared" si="154"/>
        <v>0</v>
      </c>
      <c r="AT227">
        <f t="shared" si="155"/>
        <v>0</v>
      </c>
      <c r="AU227">
        <f t="shared" si="156"/>
        <v>0</v>
      </c>
    </row>
    <row r="228" spans="1:47" x14ac:dyDescent="0.2">
      <c r="A228">
        <v>227</v>
      </c>
      <c r="B228">
        <f>PoolStates_V2!B228</f>
        <v>0</v>
      </c>
      <c r="C228">
        <f>PoolStates_V2!S228</f>
        <v>5.5321010952331627E-3</v>
      </c>
      <c r="D228">
        <f>PoolStates_V2!T228</f>
        <v>0.11482115158914317</v>
      </c>
      <c r="E228">
        <f>PoolStates_V2!Q228</f>
        <v>5.9084136957640628E-5</v>
      </c>
      <c r="F228">
        <f t="shared" si="157"/>
        <v>0</v>
      </c>
      <c r="G228">
        <f t="shared" si="158"/>
        <v>0</v>
      </c>
      <c r="H228">
        <f t="shared" si="159"/>
        <v>1.3090651850553052</v>
      </c>
      <c r="I228">
        <f t="shared" si="120"/>
        <v>5.9084136957640628E-5</v>
      </c>
      <c r="J228">
        <f t="shared" si="121"/>
        <v>0</v>
      </c>
      <c r="K228">
        <f t="shared" si="122"/>
        <v>0</v>
      </c>
      <c r="L228">
        <f t="shared" si="123"/>
        <v>0</v>
      </c>
      <c r="M228">
        <f t="shared" si="124"/>
        <v>0</v>
      </c>
      <c r="N228">
        <f t="shared" si="125"/>
        <v>0</v>
      </c>
      <c r="O228">
        <f t="shared" si="126"/>
        <v>1.3090061009183476</v>
      </c>
      <c r="P228">
        <f>M228*Inputs!B6/12</f>
        <v>0</v>
      </c>
      <c r="Q228">
        <f t="shared" si="127"/>
        <v>0</v>
      </c>
      <c r="R228">
        <f>N228*Inputs!B6/12</f>
        <v>0</v>
      </c>
      <c r="S228">
        <f t="shared" si="128"/>
        <v>0</v>
      </c>
      <c r="T228">
        <f t="shared" si="129"/>
        <v>5.5321010952331627E-3</v>
      </c>
      <c r="U228">
        <f t="shared" si="130"/>
        <v>0</v>
      </c>
      <c r="V228">
        <f t="shared" si="131"/>
        <v>5.5321010952331627E-3</v>
      </c>
      <c r="W228">
        <f t="shared" si="132"/>
        <v>0.11482115158914317</v>
      </c>
      <c r="X228">
        <f t="shared" si="133"/>
        <v>0</v>
      </c>
      <c r="Y228">
        <f t="shared" si="134"/>
        <v>0</v>
      </c>
      <c r="Z228">
        <f t="shared" si="135"/>
        <v>0</v>
      </c>
      <c r="AA228">
        <f t="shared" si="136"/>
        <v>0</v>
      </c>
      <c r="AB228">
        <f t="shared" si="137"/>
        <v>0</v>
      </c>
      <c r="AC228">
        <f t="shared" si="138"/>
        <v>0.11482115158914317</v>
      </c>
      <c r="AD228">
        <f t="shared" si="139"/>
        <v>0</v>
      </c>
      <c r="AE228">
        <f t="shared" si="140"/>
        <v>0.11482115158914317</v>
      </c>
      <c r="AF228">
        <f t="shared" si="141"/>
        <v>0</v>
      </c>
      <c r="AG228">
        <f t="shared" si="142"/>
        <v>0.11482115158914317</v>
      </c>
      <c r="AH228">
        <f t="shared" si="143"/>
        <v>0.11482115158914317</v>
      </c>
      <c r="AI228">
        <f t="shared" si="144"/>
        <v>0</v>
      </c>
      <c r="AJ228">
        <f t="shared" si="145"/>
        <v>0</v>
      </c>
      <c r="AK228">
        <f t="shared" si="146"/>
        <v>0.11482115158914317</v>
      </c>
      <c r="AL228">
        <f t="shared" si="147"/>
        <v>0</v>
      </c>
      <c r="AM228">
        <f t="shared" si="148"/>
        <v>0</v>
      </c>
      <c r="AN228">
        <f t="shared" si="149"/>
        <v>0.11482115158914317</v>
      </c>
      <c r="AO228">
        <f t="shared" si="150"/>
        <v>0</v>
      </c>
      <c r="AP228">
        <f t="shared" si="151"/>
        <v>0</v>
      </c>
      <c r="AQ228">
        <f t="shared" si="152"/>
        <v>0</v>
      </c>
      <c r="AR228">
        <f t="shared" si="153"/>
        <v>1.1941849493292045</v>
      </c>
      <c r="AS228">
        <f t="shared" si="154"/>
        <v>0</v>
      </c>
      <c r="AT228">
        <f t="shared" si="155"/>
        <v>0</v>
      </c>
      <c r="AU228">
        <f t="shared" si="156"/>
        <v>0</v>
      </c>
    </row>
    <row r="229" spans="1:47" x14ac:dyDescent="0.2">
      <c r="A229">
        <v>228</v>
      </c>
      <c r="B229">
        <f>PoolStates_V2!B229</f>
        <v>0</v>
      </c>
      <c r="C229">
        <f>PoolStates_V2!S229</f>
        <v>5.0462703710308721E-3</v>
      </c>
      <c r="D229">
        <f>PoolStates_V2!T229</f>
        <v>0.10493408720958894</v>
      </c>
      <c r="E229">
        <f>PoolStates_V2!Q229</f>
        <v>5.4036003571643445E-5</v>
      </c>
      <c r="F229">
        <f t="shared" si="157"/>
        <v>0</v>
      </c>
      <c r="G229">
        <f t="shared" si="158"/>
        <v>0</v>
      </c>
      <c r="H229">
        <f t="shared" si="159"/>
        <v>1.1941849493292045</v>
      </c>
      <c r="I229">
        <f t="shared" si="120"/>
        <v>5.4036003571643445E-5</v>
      </c>
      <c r="J229">
        <f t="shared" si="121"/>
        <v>0</v>
      </c>
      <c r="K229">
        <f t="shared" si="122"/>
        <v>0</v>
      </c>
      <c r="L229">
        <f t="shared" si="123"/>
        <v>0</v>
      </c>
      <c r="M229">
        <f t="shared" si="124"/>
        <v>0</v>
      </c>
      <c r="N229">
        <f t="shared" si="125"/>
        <v>0</v>
      </c>
      <c r="O229">
        <f t="shared" si="126"/>
        <v>1.1941309133256328</v>
      </c>
      <c r="P229">
        <f>M229*Inputs!B6/12</f>
        <v>0</v>
      </c>
      <c r="Q229">
        <f t="shared" si="127"/>
        <v>0</v>
      </c>
      <c r="R229">
        <f>N229*Inputs!B6/12</f>
        <v>0</v>
      </c>
      <c r="S229">
        <f t="shared" si="128"/>
        <v>0</v>
      </c>
      <c r="T229">
        <f t="shared" si="129"/>
        <v>5.0462703710308721E-3</v>
      </c>
      <c r="U229">
        <f t="shared" si="130"/>
        <v>0</v>
      </c>
      <c r="V229">
        <f t="shared" si="131"/>
        <v>5.0462703710308721E-3</v>
      </c>
      <c r="W229">
        <f t="shared" si="132"/>
        <v>0.10493408720958894</v>
      </c>
      <c r="X229">
        <f t="shared" si="133"/>
        <v>0</v>
      </c>
      <c r="Y229">
        <f t="shared" si="134"/>
        <v>0</v>
      </c>
      <c r="Z229">
        <f t="shared" si="135"/>
        <v>0</v>
      </c>
      <c r="AA229">
        <f t="shared" si="136"/>
        <v>0</v>
      </c>
      <c r="AB229">
        <f t="shared" si="137"/>
        <v>0</v>
      </c>
      <c r="AC229">
        <f t="shared" si="138"/>
        <v>0.10493408720958894</v>
      </c>
      <c r="AD229">
        <f t="shared" si="139"/>
        <v>0</v>
      </c>
      <c r="AE229">
        <f t="shared" si="140"/>
        <v>0.10493408720958894</v>
      </c>
      <c r="AF229">
        <f t="shared" si="141"/>
        <v>0</v>
      </c>
      <c r="AG229">
        <f t="shared" si="142"/>
        <v>0.10493408720958894</v>
      </c>
      <c r="AH229">
        <f t="shared" si="143"/>
        <v>0.10493408720958894</v>
      </c>
      <c r="AI229">
        <f t="shared" si="144"/>
        <v>0</v>
      </c>
      <c r="AJ229">
        <f t="shared" si="145"/>
        <v>0</v>
      </c>
      <c r="AK229">
        <f t="shared" si="146"/>
        <v>0.10493408720958894</v>
      </c>
      <c r="AL229">
        <f t="shared" si="147"/>
        <v>0</v>
      </c>
      <c r="AM229">
        <f t="shared" si="148"/>
        <v>0</v>
      </c>
      <c r="AN229">
        <f t="shared" si="149"/>
        <v>0.10493408720958894</v>
      </c>
      <c r="AO229">
        <f t="shared" si="150"/>
        <v>0</v>
      </c>
      <c r="AP229">
        <f t="shared" si="151"/>
        <v>0</v>
      </c>
      <c r="AQ229">
        <f t="shared" si="152"/>
        <v>0</v>
      </c>
      <c r="AR229">
        <f t="shared" si="153"/>
        <v>1.0891968261160438</v>
      </c>
      <c r="AS229">
        <f t="shared" si="154"/>
        <v>0</v>
      </c>
      <c r="AT229">
        <f t="shared" si="155"/>
        <v>0</v>
      </c>
      <c r="AU229">
        <f t="shared" si="156"/>
        <v>0</v>
      </c>
    </row>
    <row r="230" spans="1:47" x14ac:dyDescent="0.2">
      <c r="A230">
        <v>229</v>
      </c>
      <c r="B230">
        <f>PoolStates_V2!B230</f>
        <v>0</v>
      </c>
      <c r="C230">
        <f>PoolStates_V2!S230</f>
        <v>4.602295981973082E-3</v>
      </c>
      <c r="D230">
        <f>PoolStates_V2!T230</f>
        <v>9.5886214675934417E-2</v>
      </c>
      <c r="E230">
        <f>PoolStates_V2!Q230</f>
        <v>4.9413729092304965E-5</v>
      </c>
      <c r="F230">
        <f t="shared" si="157"/>
        <v>0</v>
      </c>
      <c r="G230">
        <f t="shared" si="158"/>
        <v>0</v>
      </c>
      <c r="H230">
        <f t="shared" si="159"/>
        <v>1.0891968261160438</v>
      </c>
      <c r="I230">
        <f t="shared" si="120"/>
        <v>4.9413729092304965E-5</v>
      </c>
      <c r="J230">
        <f t="shared" si="121"/>
        <v>0</v>
      </c>
      <c r="K230">
        <f t="shared" si="122"/>
        <v>0</v>
      </c>
      <c r="L230">
        <f t="shared" si="123"/>
        <v>0</v>
      </c>
      <c r="M230">
        <f t="shared" si="124"/>
        <v>0</v>
      </c>
      <c r="N230">
        <f t="shared" si="125"/>
        <v>0</v>
      </c>
      <c r="O230">
        <f t="shared" si="126"/>
        <v>1.0891474123869516</v>
      </c>
      <c r="P230">
        <f>M230*Inputs!B6/12</f>
        <v>0</v>
      </c>
      <c r="Q230">
        <f t="shared" si="127"/>
        <v>0</v>
      </c>
      <c r="R230">
        <f>N230*Inputs!B6/12</f>
        <v>0</v>
      </c>
      <c r="S230">
        <f t="shared" si="128"/>
        <v>0</v>
      </c>
      <c r="T230">
        <f t="shared" si="129"/>
        <v>4.602295981973082E-3</v>
      </c>
      <c r="U230">
        <f t="shared" si="130"/>
        <v>0</v>
      </c>
      <c r="V230">
        <f t="shared" si="131"/>
        <v>4.602295981973082E-3</v>
      </c>
      <c r="W230">
        <f t="shared" si="132"/>
        <v>9.5886214675934417E-2</v>
      </c>
      <c r="X230">
        <f t="shared" si="133"/>
        <v>0</v>
      </c>
      <c r="Y230">
        <f t="shared" si="134"/>
        <v>0</v>
      </c>
      <c r="Z230">
        <f t="shared" si="135"/>
        <v>0</v>
      </c>
      <c r="AA230">
        <f t="shared" si="136"/>
        <v>0</v>
      </c>
      <c r="AB230">
        <f t="shared" si="137"/>
        <v>0</v>
      </c>
      <c r="AC230">
        <f t="shared" si="138"/>
        <v>9.5886214675934417E-2</v>
      </c>
      <c r="AD230">
        <f t="shared" si="139"/>
        <v>0</v>
      </c>
      <c r="AE230">
        <f t="shared" si="140"/>
        <v>9.5886214675934417E-2</v>
      </c>
      <c r="AF230">
        <f t="shared" si="141"/>
        <v>0</v>
      </c>
      <c r="AG230">
        <f t="shared" si="142"/>
        <v>9.5886214675934417E-2</v>
      </c>
      <c r="AH230">
        <f t="shared" si="143"/>
        <v>9.5886214675934417E-2</v>
      </c>
      <c r="AI230">
        <f t="shared" si="144"/>
        <v>0</v>
      </c>
      <c r="AJ230">
        <f t="shared" si="145"/>
        <v>0</v>
      </c>
      <c r="AK230">
        <f t="shared" si="146"/>
        <v>9.5886214675934417E-2</v>
      </c>
      <c r="AL230">
        <f t="shared" si="147"/>
        <v>0</v>
      </c>
      <c r="AM230">
        <f t="shared" si="148"/>
        <v>0</v>
      </c>
      <c r="AN230">
        <f t="shared" si="149"/>
        <v>9.5886214675934417E-2</v>
      </c>
      <c r="AO230">
        <f t="shared" si="150"/>
        <v>0</v>
      </c>
      <c r="AP230">
        <f t="shared" si="151"/>
        <v>0</v>
      </c>
      <c r="AQ230">
        <f t="shared" si="152"/>
        <v>0</v>
      </c>
      <c r="AR230">
        <f t="shared" si="153"/>
        <v>0.99326119771101717</v>
      </c>
      <c r="AS230">
        <f t="shared" si="154"/>
        <v>0</v>
      </c>
      <c r="AT230">
        <f t="shared" si="155"/>
        <v>0</v>
      </c>
      <c r="AU230">
        <f t="shared" si="156"/>
        <v>0</v>
      </c>
    </row>
    <row r="231" spans="1:47" x14ac:dyDescent="0.2">
      <c r="A231">
        <v>230</v>
      </c>
      <c r="B231">
        <f>PoolStates_V2!B231</f>
        <v>0</v>
      </c>
      <c r="C231">
        <f>PoolStates_V2!S231</f>
        <v>4.1966237913475517E-3</v>
      </c>
      <c r="D231">
        <f>PoolStates_V2!T231</f>
        <v>8.760710531456925E-2</v>
      </c>
      <c r="E231">
        <f>PoolStates_V2!Q231</f>
        <v>4.5181749225801354E-5</v>
      </c>
      <c r="F231">
        <f t="shared" si="157"/>
        <v>0</v>
      </c>
      <c r="G231">
        <f t="shared" si="158"/>
        <v>0</v>
      </c>
      <c r="H231">
        <f t="shared" si="159"/>
        <v>0.99326119771101717</v>
      </c>
      <c r="I231">
        <f t="shared" si="120"/>
        <v>4.5181749225801354E-5</v>
      </c>
      <c r="J231">
        <f t="shared" si="121"/>
        <v>0</v>
      </c>
      <c r="K231">
        <f t="shared" si="122"/>
        <v>0</v>
      </c>
      <c r="L231">
        <f t="shared" si="123"/>
        <v>0</v>
      </c>
      <c r="M231">
        <f t="shared" si="124"/>
        <v>0</v>
      </c>
      <c r="N231">
        <f t="shared" si="125"/>
        <v>0</v>
      </c>
      <c r="O231">
        <f t="shared" si="126"/>
        <v>0.99321601596179132</v>
      </c>
      <c r="P231">
        <f>M231*Inputs!B6/12</f>
        <v>0</v>
      </c>
      <c r="Q231">
        <f t="shared" si="127"/>
        <v>0</v>
      </c>
      <c r="R231">
        <f>N231*Inputs!B6/12</f>
        <v>0</v>
      </c>
      <c r="S231">
        <f t="shared" si="128"/>
        <v>0</v>
      </c>
      <c r="T231">
        <f t="shared" si="129"/>
        <v>4.1966237913475517E-3</v>
      </c>
      <c r="U231">
        <f t="shared" si="130"/>
        <v>0</v>
      </c>
      <c r="V231">
        <f t="shared" si="131"/>
        <v>4.1966237913475517E-3</v>
      </c>
      <c r="W231">
        <f t="shared" si="132"/>
        <v>8.760710531456925E-2</v>
      </c>
      <c r="X231">
        <f t="shared" si="133"/>
        <v>0</v>
      </c>
      <c r="Y231">
        <f t="shared" si="134"/>
        <v>0</v>
      </c>
      <c r="Z231">
        <f t="shared" si="135"/>
        <v>0</v>
      </c>
      <c r="AA231">
        <f t="shared" si="136"/>
        <v>0</v>
      </c>
      <c r="AB231">
        <f t="shared" si="137"/>
        <v>0</v>
      </c>
      <c r="AC231">
        <f t="shared" si="138"/>
        <v>8.760710531456925E-2</v>
      </c>
      <c r="AD231">
        <f t="shared" si="139"/>
        <v>0</v>
      </c>
      <c r="AE231">
        <f t="shared" si="140"/>
        <v>8.760710531456925E-2</v>
      </c>
      <c r="AF231">
        <f t="shared" si="141"/>
        <v>0</v>
      </c>
      <c r="AG231">
        <f t="shared" si="142"/>
        <v>8.760710531456925E-2</v>
      </c>
      <c r="AH231">
        <f t="shared" si="143"/>
        <v>8.760710531456925E-2</v>
      </c>
      <c r="AI231">
        <f t="shared" si="144"/>
        <v>0</v>
      </c>
      <c r="AJ231">
        <f t="shared" si="145"/>
        <v>0</v>
      </c>
      <c r="AK231">
        <f t="shared" si="146"/>
        <v>8.760710531456925E-2</v>
      </c>
      <c r="AL231">
        <f t="shared" si="147"/>
        <v>0</v>
      </c>
      <c r="AM231">
        <f t="shared" si="148"/>
        <v>0</v>
      </c>
      <c r="AN231">
        <f t="shared" si="149"/>
        <v>8.760710531456925E-2</v>
      </c>
      <c r="AO231">
        <f t="shared" si="150"/>
        <v>0</v>
      </c>
      <c r="AP231">
        <f t="shared" si="151"/>
        <v>0</v>
      </c>
      <c r="AQ231">
        <f t="shared" si="152"/>
        <v>0</v>
      </c>
      <c r="AR231">
        <f t="shared" si="153"/>
        <v>0.90560891064722204</v>
      </c>
      <c r="AS231">
        <f t="shared" si="154"/>
        <v>0</v>
      </c>
      <c r="AT231">
        <f t="shared" si="155"/>
        <v>0</v>
      </c>
      <c r="AU231">
        <f t="shared" si="156"/>
        <v>0</v>
      </c>
    </row>
    <row r="232" spans="1:47" x14ac:dyDescent="0.2">
      <c r="A232">
        <v>231</v>
      </c>
      <c r="B232">
        <f>PoolStates_V2!B232</f>
        <v>0</v>
      </c>
      <c r="C232">
        <f>PoolStates_V2!S232</f>
        <v>3.8259980393382203E-3</v>
      </c>
      <c r="D232">
        <f>PoolStates_V2!T232</f>
        <v>8.0032187647371134E-2</v>
      </c>
      <c r="E232">
        <f>PoolStates_V2!Q232</f>
        <v>4.1307445436076983E-5</v>
      </c>
      <c r="F232">
        <f t="shared" si="157"/>
        <v>0</v>
      </c>
      <c r="G232">
        <f t="shared" si="158"/>
        <v>0</v>
      </c>
      <c r="H232">
        <f t="shared" si="159"/>
        <v>0.90560891064722204</v>
      </c>
      <c r="I232">
        <f t="shared" si="120"/>
        <v>4.1307445436076983E-5</v>
      </c>
      <c r="J232">
        <f t="shared" si="121"/>
        <v>0</v>
      </c>
      <c r="K232">
        <f t="shared" si="122"/>
        <v>0</v>
      </c>
      <c r="L232">
        <f t="shared" si="123"/>
        <v>0</v>
      </c>
      <c r="M232">
        <f t="shared" si="124"/>
        <v>0</v>
      </c>
      <c r="N232">
        <f t="shared" si="125"/>
        <v>0</v>
      </c>
      <c r="O232">
        <f t="shared" si="126"/>
        <v>0.90556760320178598</v>
      </c>
      <c r="P232">
        <f>M232*Inputs!B6/12</f>
        <v>0</v>
      </c>
      <c r="Q232">
        <f t="shared" si="127"/>
        <v>0</v>
      </c>
      <c r="R232">
        <f>N232*Inputs!B6/12</f>
        <v>0</v>
      </c>
      <c r="S232">
        <f t="shared" si="128"/>
        <v>0</v>
      </c>
      <c r="T232">
        <f t="shared" si="129"/>
        <v>3.8259980393382203E-3</v>
      </c>
      <c r="U232">
        <f t="shared" si="130"/>
        <v>0</v>
      </c>
      <c r="V232">
        <f t="shared" si="131"/>
        <v>3.8259980393382203E-3</v>
      </c>
      <c r="W232">
        <f t="shared" si="132"/>
        <v>8.0032187647371134E-2</v>
      </c>
      <c r="X232">
        <f t="shared" si="133"/>
        <v>0</v>
      </c>
      <c r="Y232">
        <f t="shared" si="134"/>
        <v>0</v>
      </c>
      <c r="Z232">
        <f t="shared" si="135"/>
        <v>0</v>
      </c>
      <c r="AA232">
        <f t="shared" si="136"/>
        <v>0</v>
      </c>
      <c r="AB232">
        <f t="shared" si="137"/>
        <v>0</v>
      </c>
      <c r="AC232">
        <f t="shared" si="138"/>
        <v>8.0032187647371134E-2</v>
      </c>
      <c r="AD232">
        <f t="shared" si="139"/>
        <v>0</v>
      </c>
      <c r="AE232">
        <f t="shared" si="140"/>
        <v>8.0032187647371134E-2</v>
      </c>
      <c r="AF232">
        <f t="shared" si="141"/>
        <v>0</v>
      </c>
      <c r="AG232">
        <f t="shared" si="142"/>
        <v>8.0032187647371134E-2</v>
      </c>
      <c r="AH232">
        <f t="shared" si="143"/>
        <v>8.0032187647371134E-2</v>
      </c>
      <c r="AI232">
        <f t="shared" si="144"/>
        <v>0</v>
      </c>
      <c r="AJ232">
        <f t="shared" si="145"/>
        <v>0</v>
      </c>
      <c r="AK232">
        <f t="shared" si="146"/>
        <v>8.0032187647371134E-2</v>
      </c>
      <c r="AL232">
        <f t="shared" si="147"/>
        <v>0</v>
      </c>
      <c r="AM232">
        <f t="shared" si="148"/>
        <v>0</v>
      </c>
      <c r="AN232">
        <f t="shared" si="149"/>
        <v>8.0032187647371134E-2</v>
      </c>
      <c r="AO232">
        <f t="shared" si="150"/>
        <v>0</v>
      </c>
      <c r="AP232">
        <f t="shared" si="151"/>
        <v>0</v>
      </c>
      <c r="AQ232">
        <f t="shared" si="152"/>
        <v>0</v>
      </c>
      <c r="AR232">
        <f t="shared" si="153"/>
        <v>0.82553541555441479</v>
      </c>
      <c r="AS232">
        <f t="shared" si="154"/>
        <v>0</v>
      </c>
      <c r="AT232">
        <f t="shared" si="155"/>
        <v>0</v>
      </c>
      <c r="AU232">
        <f t="shared" si="156"/>
        <v>0</v>
      </c>
    </row>
    <row r="233" spans="1:47" x14ac:dyDescent="0.2">
      <c r="A233">
        <v>232</v>
      </c>
      <c r="B233">
        <f>PoolStates_V2!B233</f>
        <v>0</v>
      </c>
      <c r="C233">
        <f>PoolStates_V2!S233</f>
        <v>3.4874365218782091E-3</v>
      </c>
      <c r="D233">
        <f>PoolStates_V2!T233</f>
        <v>7.3102263901335424E-2</v>
      </c>
      <c r="E233">
        <f>PoolStates_V2!Q233</f>
        <v>3.776090260361709E-5</v>
      </c>
      <c r="F233">
        <f t="shared" si="157"/>
        <v>0</v>
      </c>
      <c r="G233">
        <f t="shared" si="158"/>
        <v>0</v>
      </c>
      <c r="H233">
        <f t="shared" si="159"/>
        <v>0.82553541555441479</v>
      </c>
      <c r="I233">
        <f t="shared" si="120"/>
        <v>3.776090260361709E-5</v>
      </c>
      <c r="J233">
        <f t="shared" si="121"/>
        <v>0</v>
      </c>
      <c r="K233">
        <f t="shared" si="122"/>
        <v>0</v>
      </c>
      <c r="L233">
        <f t="shared" si="123"/>
        <v>0</v>
      </c>
      <c r="M233">
        <f t="shared" si="124"/>
        <v>0</v>
      </c>
      <c r="N233">
        <f t="shared" si="125"/>
        <v>0</v>
      </c>
      <c r="O233">
        <f t="shared" si="126"/>
        <v>0.82549765465181113</v>
      </c>
      <c r="P233">
        <f>M233*Inputs!B6/12</f>
        <v>0</v>
      </c>
      <c r="Q233">
        <f t="shared" si="127"/>
        <v>0</v>
      </c>
      <c r="R233">
        <f>N233*Inputs!B6/12</f>
        <v>0</v>
      </c>
      <c r="S233">
        <f t="shared" si="128"/>
        <v>0</v>
      </c>
      <c r="T233">
        <f t="shared" si="129"/>
        <v>3.4874365218782091E-3</v>
      </c>
      <c r="U233">
        <f t="shared" si="130"/>
        <v>0</v>
      </c>
      <c r="V233">
        <f t="shared" si="131"/>
        <v>3.4874365218782091E-3</v>
      </c>
      <c r="W233">
        <f t="shared" si="132"/>
        <v>7.3102263901335424E-2</v>
      </c>
      <c r="X233">
        <f t="shared" si="133"/>
        <v>0</v>
      </c>
      <c r="Y233">
        <f t="shared" si="134"/>
        <v>0</v>
      </c>
      <c r="Z233">
        <f t="shared" si="135"/>
        <v>0</v>
      </c>
      <c r="AA233">
        <f t="shared" si="136"/>
        <v>0</v>
      </c>
      <c r="AB233">
        <f t="shared" si="137"/>
        <v>0</v>
      </c>
      <c r="AC233">
        <f t="shared" si="138"/>
        <v>7.3102263901335424E-2</v>
      </c>
      <c r="AD233">
        <f t="shared" si="139"/>
        <v>0</v>
      </c>
      <c r="AE233">
        <f t="shared" si="140"/>
        <v>7.3102263901335424E-2</v>
      </c>
      <c r="AF233">
        <f t="shared" si="141"/>
        <v>0</v>
      </c>
      <c r="AG233">
        <f t="shared" si="142"/>
        <v>7.3102263901335424E-2</v>
      </c>
      <c r="AH233">
        <f t="shared" si="143"/>
        <v>7.3102263901335424E-2</v>
      </c>
      <c r="AI233">
        <f t="shared" si="144"/>
        <v>0</v>
      </c>
      <c r="AJ233">
        <f t="shared" si="145"/>
        <v>0</v>
      </c>
      <c r="AK233">
        <f t="shared" si="146"/>
        <v>7.3102263901335424E-2</v>
      </c>
      <c r="AL233">
        <f t="shared" si="147"/>
        <v>0</v>
      </c>
      <c r="AM233">
        <f t="shared" si="148"/>
        <v>0</v>
      </c>
      <c r="AN233">
        <f t="shared" si="149"/>
        <v>7.3102263901335424E-2</v>
      </c>
      <c r="AO233">
        <f t="shared" si="150"/>
        <v>0</v>
      </c>
      <c r="AP233">
        <f t="shared" si="151"/>
        <v>0</v>
      </c>
      <c r="AQ233">
        <f t="shared" si="152"/>
        <v>0</v>
      </c>
      <c r="AR233">
        <f t="shared" si="153"/>
        <v>0.75239539075047568</v>
      </c>
      <c r="AS233">
        <f t="shared" si="154"/>
        <v>0</v>
      </c>
      <c r="AT233">
        <f t="shared" si="155"/>
        <v>0</v>
      </c>
      <c r="AU233">
        <f t="shared" si="156"/>
        <v>0</v>
      </c>
    </row>
    <row r="234" spans="1:47" x14ac:dyDescent="0.2">
      <c r="A234">
        <v>233</v>
      </c>
      <c r="B234">
        <f>PoolStates_V2!B234</f>
        <v>0</v>
      </c>
      <c r="C234">
        <f>PoolStates_V2!S234</f>
        <v>3.1782078188551241E-3</v>
      </c>
      <c r="D234">
        <f>PoolStates_V2!T234</f>
        <v>6.6763066180678524E-2</v>
      </c>
      <c r="E234">
        <f>PoolStates_V2!Q234</f>
        <v>3.4514686507476797E-5</v>
      </c>
      <c r="F234">
        <f t="shared" si="157"/>
        <v>0</v>
      </c>
      <c r="G234">
        <f t="shared" si="158"/>
        <v>0</v>
      </c>
      <c r="H234">
        <f t="shared" si="159"/>
        <v>0.75239539075047568</v>
      </c>
      <c r="I234">
        <f t="shared" si="120"/>
        <v>3.4514686507476797E-5</v>
      </c>
      <c r="J234">
        <f t="shared" si="121"/>
        <v>0</v>
      </c>
      <c r="K234">
        <f t="shared" si="122"/>
        <v>0</v>
      </c>
      <c r="L234">
        <f t="shared" si="123"/>
        <v>0</v>
      </c>
      <c r="M234">
        <f t="shared" si="124"/>
        <v>0</v>
      </c>
      <c r="N234">
        <f t="shared" si="125"/>
        <v>0</v>
      </c>
      <c r="O234">
        <f t="shared" si="126"/>
        <v>0.75236087606396818</v>
      </c>
      <c r="P234">
        <f>M234*Inputs!B6/12</f>
        <v>0</v>
      </c>
      <c r="Q234">
        <f t="shared" si="127"/>
        <v>0</v>
      </c>
      <c r="R234">
        <f>N234*Inputs!B6/12</f>
        <v>0</v>
      </c>
      <c r="S234">
        <f t="shared" si="128"/>
        <v>0</v>
      </c>
      <c r="T234">
        <f t="shared" si="129"/>
        <v>3.1782078188551241E-3</v>
      </c>
      <c r="U234">
        <f t="shared" si="130"/>
        <v>0</v>
      </c>
      <c r="V234">
        <f t="shared" si="131"/>
        <v>3.1782078188551241E-3</v>
      </c>
      <c r="W234">
        <f t="shared" si="132"/>
        <v>6.6763066180678524E-2</v>
      </c>
      <c r="X234">
        <f t="shared" si="133"/>
        <v>0</v>
      </c>
      <c r="Y234">
        <f t="shared" si="134"/>
        <v>0</v>
      </c>
      <c r="Z234">
        <f t="shared" si="135"/>
        <v>0</v>
      </c>
      <c r="AA234">
        <f t="shared" si="136"/>
        <v>0</v>
      </c>
      <c r="AB234">
        <f t="shared" si="137"/>
        <v>0</v>
      </c>
      <c r="AC234">
        <f t="shared" si="138"/>
        <v>6.6763066180678524E-2</v>
      </c>
      <c r="AD234">
        <f t="shared" si="139"/>
        <v>0</v>
      </c>
      <c r="AE234">
        <f t="shared" si="140"/>
        <v>6.6763066180678524E-2</v>
      </c>
      <c r="AF234">
        <f t="shared" si="141"/>
        <v>0</v>
      </c>
      <c r="AG234">
        <f t="shared" si="142"/>
        <v>6.6763066180678524E-2</v>
      </c>
      <c r="AH234">
        <f t="shared" si="143"/>
        <v>6.6763066180678524E-2</v>
      </c>
      <c r="AI234">
        <f t="shared" si="144"/>
        <v>0</v>
      </c>
      <c r="AJ234">
        <f t="shared" si="145"/>
        <v>0</v>
      </c>
      <c r="AK234">
        <f t="shared" si="146"/>
        <v>6.6763066180678524E-2</v>
      </c>
      <c r="AL234">
        <f t="shared" si="147"/>
        <v>0</v>
      </c>
      <c r="AM234">
        <f t="shared" si="148"/>
        <v>0</v>
      </c>
      <c r="AN234">
        <f t="shared" si="149"/>
        <v>6.6763066180678524E-2</v>
      </c>
      <c r="AO234">
        <f t="shared" si="150"/>
        <v>0</v>
      </c>
      <c r="AP234">
        <f t="shared" si="151"/>
        <v>0</v>
      </c>
      <c r="AQ234">
        <f t="shared" si="152"/>
        <v>0</v>
      </c>
      <c r="AR234">
        <f t="shared" si="153"/>
        <v>0.68559780988328967</v>
      </c>
      <c r="AS234">
        <f t="shared" si="154"/>
        <v>0</v>
      </c>
      <c r="AT234">
        <f t="shared" si="155"/>
        <v>0</v>
      </c>
      <c r="AU234">
        <f t="shared" si="156"/>
        <v>0</v>
      </c>
    </row>
    <row r="235" spans="1:47" x14ac:dyDescent="0.2">
      <c r="A235">
        <v>234</v>
      </c>
      <c r="B235">
        <f>PoolStates_V2!B235</f>
        <v>0</v>
      </c>
      <c r="C235">
        <f>PoolStates_V2!S235</f>
        <v>2.895810403521301E-3</v>
      </c>
      <c r="D235">
        <f>PoolStates_V2!T235</f>
        <v>6.0964849064867731E-2</v>
      </c>
      <c r="E235">
        <f>PoolStates_V2!Q235</f>
        <v>3.1543639516920891E-5</v>
      </c>
      <c r="F235">
        <f t="shared" si="157"/>
        <v>0</v>
      </c>
      <c r="G235">
        <f t="shared" si="158"/>
        <v>0</v>
      </c>
      <c r="H235">
        <f t="shared" si="159"/>
        <v>0.68559780988328967</v>
      </c>
      <c r="I235">
        <f t="shared" si="120"/>
        <v>3.1543639516920891E-5</v>
      </c>
      <c r="J235">
        <f t="shared" si="121"/>
        <v>0</v>
      </c>
      <c r="K235">
        <f t="shared" si="122"/>
        <v>0</v>
      </c>
      <c r="L235">
        <f t="shared" si="123"/>
        <v>0</v>
      </c>
      <c r="M235">
        <f t="shared" si="124"/>
        <v>0</v>
      </c>
      <c r="N235">
        <f t="shared" si="125"/>
        <v>0</v>
      </c>
      <c r="O235">
        <f t="shared" si="126"/>
        <v>0.6855662662437727</v>
      </c>
      <c r="P235">
        <f>M235*Inputs!B6/12</f>
        <v>0</v>
      </c>
      <c r="Q235">
        <f t="shared" si="127"/>
        <v>0</v>
      </c>
      <c r="R235">
        <f>N235*Inputs!B6/12</f>
        <v>0</v>
      </c>
      <c r="S235">
        <f t="shared" si="128"/>
        <v>0</v>
      </c>
      <c r="T235">
        <f t="shared" si="129"/>
        <v>2.895810403521301E-3</v>
      </c>
      <c r="U235">
        <f t="shared" si="130"/>
        <v>0</v>
      </c>
      <c r="V235">
        <f t="shared" si="131"/>
        <v>2.895810403521301E-3</v>
      </c>
      <c r="W235">
        <f t="shared" si="132"/>
        <v>6.0964849064867731E-2</v>
      </c>
      <c r="X235">
        <f t="shared" si="133"/>
        <v>0</v>
      </c>
      <c r="Y235">
        <f t="shared" si="134"/>
        <v>0</v>
      </c>
      <c r="Z235">
        <f t="shared" si="135"/>
        <v>0</v>
      </c>
      <c r="AA235">
        <f t="shared" si="136"/>
        <v>0</v>
      </c>
      <c r="AB235">
        <f t="shared" si="137"/>
        <v>0</v>
      </c>
      <c r="AC235">
        <f t="shared" si="138"/>
        <v>6.0964849064867731E-2</v>
      </c>
      <c r="AD235">
        <f t="shared" si="139"/>
        <v>0</v>
      </c>
      <c r="AE235">
        <f t="shared" si="140"/>
        <v>6.0964849064867731E-2</v>
      </c>
      <c r="AF235">
        <f t="shared" si="141"/>
        <v>0</v>
      </c>
      <c r="AG235">
        <f t="shared" si="142"/>
        <v>6.0964849064867731E-2</v>
      </c>
      <c r="AH235">
        <f t="shared" si="143"/>
        <v>6.0964849064867731E-2</v>
      </c>
      <c r="AI235">
        <f t="shared" si="144"/>
        <v>0</v>
      </c>
      <c r="AJ235">
        <f t="shared" si="145"/>
        <v>0</v>
      </c>
      <c r="AK235">
        <f t="shared" si="146"/>
        <v>6.0964849064867731E-2</v>
      </c>
      <c r="AL235">
        <f t="shared" si="147"/>
        <v>0</v>
      </c>
      <c r="AM235">
        <f t="shared" si="148"/>
        <v>0</v>
      </c>
      <c r="AN235">
        <f t="shared" si="149"/>
        <v>6.0964849064867731E-2</v>
      </c>
      <c r="AO235">
        <f t="shared" si="150"/>
        <v>0</v>
      </c>
      <c r="AP235">
        <f t="shared" si="151"/>
        <v>0</v>
      </c>
      <c r="AQ235">
        <f t="shared" si="152"/>
        <v>0</v>
      </c>
      <c r="AR235">
        <f t="shared" si="153"/>
        <v>0.62460141717890494</v>
      </c>
      <c r="AS235">
        <f t="shared" si="154"/>
        <v>0</v>
      </c>
      <c r="AT235">
        <f t="shared" si="155"/>
        <v>0</v>
      </c>
      <c r="AU235">
        <f t="shared" si="156"/>
        <v>0</v>
      </c>
    </row>
    <row r="236" spans="1:47" x14ac:dyDescent="0.2">
      <c r="A236">
        <v>235</v>
      </c>
      <c r="B236">
        <f>PoolStates_V2!B236</f>
        <v>0</v>
      </c>
      <c r="C236">
        <f>PoolStates_V2!S236</f>
        <v>2.6379534786850236E-3</v>
      </c>
      <c r="D236">
        <f>PoolStates_V2!T236</f>
        <v>5.5662015658949057E-2</v>
      </c>
      <c r="E236">
        <f>PoolStates_V2!Q236</f>
        <v>2.8824693009832351E-5</v>
      </c>
      <c r="F236">
        <f t="shared" si="157"/>
        <v>0</v>
      </c>
      <c r="G236">
        <f t="shared" si="158"/>
        <v>0</v>
      </c>
      <c r="H236">
        <f t="shared" si="159"/>
        <v>0.62460141717890494</v>
      </c>
      <c r="I236">
        <f t="shared" si="120"/>
        <v>2.8824693009832351E-5</v>
      </c>
      <c r="J236">
        <f t="shared" si="121"/>
        <v>0</v>
      </c>
      <c r="K236">
        <f t="shared" si="122"/>
        <v>0</v>
      </c>
      <c r="L236">
        <f t="shared" si="123"/>
        <v>0</v>
      </c>
      <c r="M236">
        <f t="shared" si="124"/>
        <v>0</v>
      </c>
      <c r="N236">
        <f t="shared" si="125"/>
        <v>0</v>
      </c>
      <c r="O236">
        <f t="shared" si="126"/>
        <v>0.62457259248589514</v>
      </c>
      <c r="P236">
        <f>M236*Inputs!B6/12</f>
        <v>0</v>
      </c>
      <c r="Q236">
        <f t="shared" si="127"/>
        <v>0</v>
      </c>
      <c r="R236">
        <f>N236*Inputs!B6/12</f>
        <v>0</v>
      </c>
      <c r="S236">
        <f t="shared" si="128"/>
        <v>0</v>
      </c>
      <c r="T236">
        <f t="shared" si="129"/>
        <v>2.6379534786850236E-3</v>
      </c>
      <c r="U236">
        <f t="shared" si="130"/>
        <v>0</v>
      </c>
      <c r="V236">
        <f t="shared" si="131"/>
        <v>2.6379534786850236E-3</v>
      </c>
      <c r="W236">
        <f t="shared" si="132"/>
        <v>5.5662015658949057E-2</v>
      </c>
      <c r="X236">
        <f t="shared" si="133"/>
        <v>0</v>
      </c>
      <c r="Y236">
        <f t="shared" si="134"/>
        <v>0</v>
      </c>
      <c r="Z236">
        <f t="shared" si="135"/>
        <v>0</v>
      </c>
      <c r="AA236">
        <f t="shared" si="136"/>
        <v>0</v>
      </c>
      <c r="AB236">
        <f t="shared" si="137"/>
        <v>0</v>
      </c>
      <c r="AC236">
        <f t="shared" si="138"/>
        <v>5.5662015658949057E-2</v>
      </c>
      <c r="AD236">
        <f t="shared" si="139"/>
        <v>0</v>
      </c>
      <c r="AE236">
        <f t="shared" si="140"/>
        <v>5.5662015658949057E-2</v>
      </c>
      <c r="AF236">
        <f t="shared" si="141"/>
        <v>0</v>
      </c>
      <c r="AG236">
        <f t="shared" si="142"/>
        <v>5.5662015658949057E-2</v>
      </c>
      <c r="AH236">
        <f t="shared" si="143"/>
        <v>5.5662015658949057E-2</v>
      </c>
      <c r="AI236">
        <f t="shared" si="144"/>
        <v>0</v>
      </c>
      <c r="AJ236">
        <f t="shared" si="145"/>
        <v>0</v>
      </c>
      <c r="AK236">
        <f t="shared" si="146"/>
        <v>5.5662015658949057E-2</v>
      </c>
      <c r="AL236">
        <f t="shared" si="147"/>
        <v>0</v>
      </c>
      <c r="AM236">
        <f t="shared" si="148"/>
        <v>0</v>
      </c>
      <c r="AN236">
        <f t="shared" si="149"/>
        <v>5.5662015658949057E-2</v>
      </c>
      <c r="AO236">
        <f t="shared" si="150"/>
        <v>0</v>
      </c>
      <c r="AP236">
        <f t="shared" si="151"/>
        <v>0</v>
      </c>
      <c r="AQ236">
        <f t="shared" si="152"/>
        <v>0</v>
      </c>
      <c r="AR236">
        <f t="shared" si="153"/>
        <v>0.56891057682694612</v>
      </c>
      <c r="AS236">
        <f t="shared" si="154"/>
        <v>0</v>
      </c>
      <c r="AT236">
        <f t="shared" si="155"/>
        <v>0</v>
      </c>
      <c r="AU236">
        <f t="shared" si="156"/>
        <v>0</v>
      </c>
    </row>
    <row r="237" spans="1:47" x14ac:dyDescent="0.2">
      <c r="A237">
        <v>236</v>
      </c>
      <c r="B237">
        <f>PoolStates_V2!B237</f>
        <v>0</v>
      </c>
      <c r="C237">
        <f>PoolStates_V2!S237</f>
        <v>2.4025393978671828E-3</v>
      </c>
      <c r="D237">
        <f>PoolStates_V2!T237</f>
        <v>5.0812774364191932E-2</v>
      </c>
      <c r="E237">
        <f>PoolStates_V2!Q237</f>
        <v>2.6336695155286944E-5</v>
      </c>
      <c r="F237">
        <f t="shared" si="157"/>
        <v>0</v>
      </c>
      <c r="G237">
        <f t="shared" si="158"/>
        <v>0</v>
      </c>
      <c r="H237">
        <f t="shared" si="159"/>
        <v>0.56891057682694612</v>
      </c>
      <c r="I237">
        <f t="shared" si="120"/>
        <v>2.6336695155286944E-5</v>
      </c>
      <c r="J237">
        <f t="shared" si="121"/>
        <v>0</v>
      </c>
      <c r="K237">
        <f t="shared" si="122"/>
        <v>0</v>
      </c>
      <c r="L237">
        <f t="shared" si="123"/>
        <v>0</v>
      </c>
      <c r="M237">
        <f t="shared" si="124"/>
        <v>0</v>
      </c>
      <c r="N237">
        <f t="shared" si="125"/>
        <v>0</v>
      </c>
      <c r="O237">
        <f t="shared" si="126"/>
        <v>0.56888424013179084</v>
      </c>
      <c r="P237">
        <f>M237*Inputs!B6/12</f>
        <v>0</v>
      </c>
      <c r="Q237">
        <f t="shared" si="127"/>
        <v>0</v>
      </c>
      <c r="R237">
        <f>N237*Inputs!B6/12</f>
        <v>0</v>
      </c>
      <c r="S237">
        <f t="shared" si="128"/>
        <v>0</v>
      </c>
      <c r="T237">
        <f t="shared" si="129"/>
        <v>2.4025393978671828E-3</v>
      </c>
      <c r="U237">
        <f t="shared" si="130"/>
        <v>0</v>
      </c>
      <c r="V237">
        <f t="shared" si="131"/>
        <v>2.4025393978671828E-3</v>
      </c>
      <c r="W237">
        <f t="shared" si="132"/>
        <v>5.0812774364191932E-2</v>
      </c>
      <c r="X237">
        <f t="shared" si="133"/>
        <v>0</v>
      </c>
      <c r="Y237">
        <f t="shared" si="134"/>
        <v>0</v>
      </c>
      <c r="Z237">
        <f t="shared" si="135"/>
        <v>0</v>
      </c>
      <c r="AA237">
        <f t="shared" si="136"/>
        <v>0</v>
      </c>
      <c r="AB237">
        <f t="shared" si="137"/>
        <v>0</v>
      </c>
      <c r="AC237">
        <f t="shared" si="138"/>
        <v>5.0812774364191932E-2</v>
      </c>
      <c r="AD237">
        <f t="shared" si="139"/>
        <v>0</v>
      </c>
      <c r="AE237">
        <f t="shared" si="140"/>
        <v>5.0812774364191932E-2</v>
      </c>
      <c r="AF237">
        <f t="shared" si="141"/>
        <v>0</v>
      </c>
      <c r="AG237">
        <f t="shared" si="142"/>
        <v>5.0812774364191932E-2</v>
      </c>
      <c r="AH237">
        <f t="shared" si="143"/>
        <v>5.0812774364191932E-2</v>
      </c>
      <c r="AI237">
        <f t="shared" si="144"/>
        <v>0</v>
      </c>
      <c r="AJ237">
        <f t="shared" si="145"/>
        <v>0</v>
      </c>
      <c r="AK237">
        <f t="shared" si="146"/>
        <v>5.0812774364191932E-2</v>
      </c>
      <c r="AL237">
        <f t="shared" si="147"/>
        <v>0</v>
      </c>
      <c r="AM237">
        <f t="shared" si="148"/>
        <v>0</v>
      </c>
      <c r="AN237">
        <f t="shared" si="149"/>
        <v>5.0812774364191932E-2</v>
      </c>
      <c r="AO237">
        <f t="shared" si="150"/>
        <v>0</v>
      </c>
      <c r="AP237">
        <f t="shared" si="151"/>
        <v>0</v>
      </c>
      <c r="AQ237">
        <f t="shared" si="152"/>
        <v>0</v>
      </c>
      <c r="AR237">
        <f t="shared" si="153"/>
        <v>0.51807146576759888</v>
      </c>
      <c r="AS237">
        <f t="shared" si="154"/>
        <v>0</v>
      </c>
      <c r="AT237">
        <f t="shared" si="155"/>
        <v>0</v>
      </c>
      <c r="AU237">
        <f t="shared" si="156"/>
        <v>0</v>
      </c>
    </row>
    <row r="238" spans="1:47" x14ac:dyDescent="0.2">
      <c r="A238">
        <v>237</v>
      </c>
      <c r="B238">
        <f>PoolStates_V2!B238</f>
        <v>0</v>
      </c>
      <c r="C238">
        <f>PoolStates_V2!S238</f>
        <v>2.1876475411915486E-3</v>
      </c>
      <c r="D238">
        <f>PoolStates_V2!T238</f>
        <v>4.6378823859154768E-2</v>
      </c>
      <c r="E238">
        <f>PoolStates_V2!Q238</f>
        <v>2.4060252808216202E-5</v>
      </c>
      <c r="F238">
        <f t="shared" si="157"/>
        <v>0</v>
      </c>
      <c r="G238">
        <f t="shared" si="158"/>
        <v>0</v>
      </c>
      <c r="H238">
        <f t="shared" si="159"/>
        <v>0.51807146576759888</v>
      </c>
      <c r="I238">
        <f t="shared" si="120"/>
        <v>2.4060252808216202E-5</v>
      </c>
      <c r="J238">
        <f t="shared" si="121"/>
        <v>0</v>
      </c>
      <c r="K238">
        <f t="shared" si="122"/>
        <v>0</v>
      </c>
      <c r="L238">
        <f t="shared" si="123"/>
        <v>0</v>
      </c>
      <c r="M238">
        <f t="shared" si="124"/>
        <v>0</v>
      </c>
      <c r="N238">
        <f t="shared" si="125"/>
        <v>0</v>
      </c>
      <c r="O238">
        <f t="shared" si="126"/>
        <v>0.51804740551479067</v>
      </c>
      <c r="P238">
        <f>M238*Inputs!B6/12</f>
        <v>0</v>
      </c>
      <c r="Q238">
        <f t="shared" si="127"/>
        <v>0</v>
      </c>
      <c r="R238">
        <f>N238*Inputs!B6/12</f>
        <v>0</v>
      </c>
      <c r="S238">
        <f t="shared" si="128"/>
        <v>0</v>
      </c>
      <c r="T238">
        <f t="shared" si="129"/>
        <v>2.1876475411915486E-3</v>
      </c>
      <c r="U238">
        <f t="shared" si="130"/>
        <v>0</v>
      </c>
      <c r="V238">
        <f t="shared" si="131"/>
        <v>2.1876475411915486E-3</v>
      </c>
      <c r="W238">
        <f t="shared" si="132"/>
        <v>4.6378823859154768E-2</v>
      </c>
      <c r="X238">
        <f t="shared" si="133"/>
        <v>0</v>
      </c>
      <c r="Y238">
        <f t="shared" si="134"/>
        <v>0</v>
      </c>
      <c r="Z238">
        <f t="shared" si="135"/>
        <v>0</v>
      </c>
      <c r="AA238">
        <f t="shared" si="136"/>
        <v>0</v>
      </c>
      <c r="AB238">
        <f t="shared" si="137"/>
        <v>0</v>
      </c>
      <c r="AC238">
        <f t="shared" si="138"/>
        <v>4.6378823859154768E-2</v>
      </c>
      <c r="AD238">
        <f t="shared" si="139"/>
        <v>0</v>
      </c>
      <c r="AE238">
        <f t="shared" si="140"/>
        <v>4.6378823859154768E-2</v>
      </c>
      <c r="AF238">
        <f t="shared" si="141"/>
        <v>0</v>
      </c>
      <c r="AG238">
        <f t="shared" si="142"/>
        <v>4.6378823859154768E-2</v>
      </c>
      <c r="AH238">
        <f t="shared" si="143"/>
        <v>4.6378823859154768E-2</v>
      </c>
      <c r="AI238">
        <f t="shared" si="144"/>
        <v>0</v>
      </c>
      <c r="AJ238">
        <f t="shared" si="145"/>
        <v>0</v>
      </c>
      <c r="AK238">
        <f t="shared" si="146"/>
        <v>4.6378823859154768E-2</v>
      </c>
      <c r="AL238">
        <f t="shared" si="147"/>
        <v>0</v>
      </c>
      <c r="AM238">
        <f t="shared" si="148"/>
        <v>0</v>
      </c>
      <c r="AN238">
        <f t="shared" si="149"/>
        <v>4.6378823859154768E-2</v>
      </c>
      <c r="AO238">
        <f t="shared" si="150"/>
        <v>0</v>
      </c>
      <c r="AP238">
        <f t="shared" si="151"/>
        <v>0</v>
      </c>
      <c r="AQ238">
        <f t="shared" si="152"/>
        <v>0</v>
      </c>
      <c r="AR238">
        <f t="shared" si="153"/>
        <v>0.47166858165563591</v>
      </c>
      <c r="AS238">
        <f t="shared" si="154"/>
        <v>0</v>
      </c>
      <c r="AT238">
        <f t="shared" si="155"/>
        <v>0</v>
      </c>
      <c r="AU238">
        <f t="shared" si="156"/>
        <v>0</v>
      </c>
    </row>
    <row r="239" spans="1:47" x14ac:dyDescent="0.2">
      <c r="A239">
        <v>238</v>
      </c>
      <c r="B239">
        <f>PoolStates_V2!B239</f>
        <v>0</v>
      </c>
      <c r="C239">
        <f>PoolStates_V2!S239</f>
        <v>1.9915195264187087E-3</v>
      </c>
      <c r="D239">
        <f>PoolStates_V2!T239</f>
        <v>4.232506398537967E-2</v>
      </c>
      <c r="E239">
        <f>PoolStates_V2!Q239</f>
        <v>2.1977586365674924E-5</v>
      </c>
      <c r="F239">
        <f t="shared" si="157"/>
        <v>0</v>
      </c>
      <c r="G239">
        <f t="shared" si="158"/>
        <v>0</v>
      </c>
      <c r="H239">
        <f t="shared" si="159"/>
        <v>0.47166858165563591</v>
      </c>
      <c r="I239">
        <f t="shared" si="120"/>
        <v>2.1977586365674924E-5</v>
      </c>
      <c r="J239">
        <f t="shared" si="121"/>
        <v>0</v>
      </c>
      <c r="K239">
        <f t="shared" si="122"/>
        <v>0</v>
      </c>
      <c r="L239">
        <f t="shared" si="123"/>
        <v>0</v>
      </c>
      <c r="M239">
        <f t="shared" si="124"/>
        <v>0</v>
      </c>
      <c r="N239">
        <f t="shared" si="125"/>
        <v>0</v>
      </c>
      <c r="O239">
        <f t="shared" si="126"/>
        <v>0.47164660406927023</v>
      </c>
      <c r="P239">
        <f>M239*Inputs!B6/12</f>
        <v>0</v>
      </c>
      <c r="Q239">
        <f t="shared" si="127"/>
        <v>0</v>
      </c>
      <c r="R239">
        <f>N239*Inputs!B6/12</f>
        <v>0</v>
      </c>
      <c r="S239">
        <f t="shared" si="128"/>
        <v>0</v>
      </c>
      <c r="T239">
        <f t="shared" si="129"/>
        <v>1.9915195264187087E-3</v>
      </c>
      <c r="U239">
        <f t="shared" si="130"/>
        <v>0</v>
      </c>
      <c r="V239">
        <f t="shared" si="131"/>
        <v>1.9915195264187087E-3</v>
      </c>
      <c r="W239">
        <f t="shared" si="132"/>
        <v>4.232506398537967E-2</v>
      </c>
      <c r="X239">
        <f t="shared" si="133"/>
        <v>0</v>
      </c>
      <c r="Y239">
        <f t="shared" si="134"/>
        <v>0</v>
      </c>
      <c r="Z239">
        <f t="shared" si="135"/>
        <v>0</v>
      </c>
      <c r="AA239">
        <f t="shared" si="136"/>
        <v>0</v>
      </c>
      <c r="AB239">
        <f t="shared" si="137"/>
        <v>0</v>
      </c>
      <c r="AC239">
        <f t="shared" si="138"/>
        <v>4.232506398537967E-2</v>
      </c>
      <c r="AD239">
        <f t="shared" si="139"/>
        <v>0</v>
      </c>
      <c r="AE239">
        <f t="shared" si="140"/>
        <v>4.232506398537967E-2</v>
      </c>
      <c r="AF239">
        <f t="shared" si="141"/>
        <v>0</v>
      </c>
      <c r="AG239">
        <f t="shared" si="142"/>
        <v>4.232506398537967E-2</v>
      </c>
      <c r="AH239">
        <f t="shared" si="143"/>
        <v>4.232506398537967E-2</v>
      </c>
      <c r="AI239">
        <f t="shared" si="144"/>
        <v>0</v>
      </c>
      <c r="AJ239">
        <f t="shared" si="145"/>
        <v>0</v>
      </c>
      <c r="AK239">
        <f t="shared" si="146"/>
        <v>4.232506398537967E-2</v>
      </c>
      <c r="AL239">
        <f t="shared" si="147"/>
        <v>0</v>
      </c>
      <c r="AM239">
        <f t="shared" si="148"/>
        <v>0</v>
      </c>
      <c r="AN239">
        <f t="shared" si="149"/>
        <v>4.232506398537967E-2</v>
      </c>
      <c r="AO239">
        <f t="shared" si="150"/>
        <v>0</v>
      </c>
      <c r="AP239">
        <f t="shared" si="151"/>
        <v>0</v>
      </c>
      <c r="AQ239">
        <f t="shared" si="152"/>
        <v>0</v>
      </c>
      <c r="AR239">
        <f t="shared" si="153"/>
        <v>0.42932154008389056</v>
      </c>
      <c r="AS239">
        <f t="shared" si="154"/>
        <v>0</v>
      </c>
      <c r="AT239">
        <f t="shared" si="155"/>
        <v>0</v>
      </c>
      <c r="AU239">
        <f t="shared" si="156"/>
        <v>0</v>
      </c>
    </row>
    <row r="240" spans="1:47" x14ac:dyDescent="0.2">
      <c r="A240">
        <v>239</v>
      </c>
      <c r="B240">
        <f>PoolStates_V2!B240</f>
        <v>0</v>
      </c>
      <c r="C240">
        <f>PoolStates_V2!S240</f>
        <v>1.8125456453101443E-3</v>
      </c>
      <c r="D240">
        <f>PoolStates_V2!T240</f>
        <v>3.8619330419498742E-2</v>
      </c>
      <c r="E240">
        <f>PoolStates_V2!Q240</f>
        <v>2.0072396527610572E-5</v>
      </c>
      <c r="F240">
        <f t="shared" si="157"/>
        <v>0</v>
      </c>
      <c r="G240">
        <f t="shared" si="158"/>
        <v>0</v>
      </c>
      <c r="H240">
        <f t="shared" si="159"/>
        <v>0.42932154008389056</v>
      </c>
      <c r="I240">
        <f t="shared" si="120"/>
        <v>2.0072396527610572E-5</v>
      </c>
      <c r="J240">
        <f t="shared" si="121"/>
        <v>0</v>
      </c>
      <c r="K240">
        <f t="shared" si="122"/>
        <v>0</v>
      </c>
      <c r="L240">
        <f t="shared" si="123"/>
        <v>0</v>
      </c>
      <c r="M240">
        <f t="shared" si="124"/>
        <v>0</v>
      </c>
      <c r="N240">
        <f t="shared" si="125"/>
        <v>0</v>
      </c>
      <c r="O240">
        <f t="shared" si="126"/>
        <v>0.42930146768736294</v>
      </c>
      <c r="P240">
        <f>M240*Inputs!B6/12</f>
        <v>0</v>
      </c>
      <c r="Q240">
        <f t="shared" si="127"/>
        <v>0</v>
      </c>
      <c r="R240">
        <f>N240*Inputs!B6/12</f>
        <v>0</v>
      </c>
      <c r="S240">
        <f t="shared" si="128"/>
        <v>0</v>
      </c>
      <c r="T240">
        <f t="shared" si="129"/>
        <v>1.8125456453101443E-3</v>
      </c>
      <c r="U240">
        <f t="shared" si="130"/>
        <v>0</v>
      </c>
      <c r="V240">
        <f t="shared" si="131"/>
        <v>1.8125456453101443E-3</v>
      </c>
      <c r="W240">
        <f t="shared" si="132"/>
        <v>3.8619330419498742E-2</v>
      </c>
      <c r="X240">
        <f t="shared" si="133"/>
        <v>0</v>
      </c>
      <c r="Y240">
        <f t="shared" si="134"/>
        <v>0</v>
      </c>
      <c r="Z240">
        <f t="shared" si="135"/>
        <v>0</v>
      </c>
      <c r="AA240">
        <f t="shared" si="136"/>
        <v>0</v>
      </c>
      <c r="AB240">
        <f t="shared" si="137"/>
        <v>0</v>
      </c>
      <c r="AC240">
        <f t="shared" si="138"/>
        <v>3.8619330419498742E-2</v>
      </c>
      <c r="AD240">
        <f t="shared" si="139"/>
        <v>0</v>
      </c>
      <c r="AE240">
        <f t="shared" si="140"/>
        <v>3.8619330419498742E-2</v>
      </c>
      <c r="AF240">
        <f t="shared" si="141"/>
        <v>0</v>
      </c>
      <c r="AG240">
        <f t="shared" si="142"/>
        <v>3.8619330419498742E-2</v>
      </c>
      <c r="AH240">
        <f t="shared" si="143"/>
        <v>3.8619330419498742E-2</v>
      </c>
      <c r="AI240">
        <f t="shared" si="144"/>
        <v>0</v>
      </c>
      <c r="AJ240">
        <f t="shared" si="145"/>
        <v>0</v>
      </c>
      <c r="AK240">
        <f t="shared" si="146"/>
        <v>3.8619330419498742E-2</v>
      </c>
      <c r="AL240">
        <f t="shared" si="147"/>
        <v>0</v>
      </c>
      <c r="AM240">
        <f t="shared" si="148"/>
        <v>0</v>
      </c>
      <c r="AN240">
        <f t="shared" si="149"/>
        <v>3.8619330419498742E-2</v>
      </c>
      <c r="AO240">
        <f t="shared" si="150"/>
        <v>0</v>
      </c>
      <c r="AP240">
        <f t="shared" si="151"/>
        <v>0</v>
      </c>
      <c r="AQ240">
        <f t="shared" si="152"/>
        <v>0</v>
      </c>
      <c r="AR240">
        <f t="shared" si="153"/>
        <v>0.39068213726786422</v>
      </c>
      <c r="AS240">
        <f t="shared" si="154"/>
        <v>0</v>
      </c>
      <c r="AT240">
        <f t="shared" si="155"/>
        <v>0</v>
      </c>
      <c r="AU240">
        <f t="shared" si="156"/>
        <v>0</v>
      </c>
    </row>
    <row r="241" spans="1:47" x14ac:dyDescent="0.2">
      <c r="A241">
        <v>240</v>
      </c>
      <c r="B241">
        <f>PoolStates_V2!B241</f>
        <v>0</v>
      </c>
      <c r="C241">
        <f>PoolStates_V2!S241</f>
        <v>1.6492524244898434E-3</v>
      </c>
      <c r="D241">
        <f>PoolStates_V2!T241</f>
        <v>3.5232151185910214E-2</v>
      </c>
      <c r="E241">
        <f>PoolStates_V2!Q241</f>
        <v>1.8329741990862608E-5</v>
      </c>
      <c r="F241">
        <f t="shared" si="157"/>
        <v>0</v>
      </c>
      <c r="G241">
        <f t="shared" si="158"/>
        <v>0</v>
      </c>
      <c r="H241">
        <f t="shared" si="159"/>
        <v>0.39068213726786422</v>
      </c>
      <c r="I241">
        <f t="shared" si="120"/>
        <v>1.8329741990862608E-5</v>
      </c>
      <c r="J241">
        <f t="shared" si="121"/>
        <v>0</v>
      </c>
      <c r="K241">
        <f t="shared" si="122"/>
        <v>0</v>
      </c>
      <c r="L241">
        <f t="shared" si="123"/>
        <v>0</v>
      </c>
      <c r="M241">
        <f t="shared" si="124"/>
        <v>0</v>
      </c>
      <c r="N241">
        <f t="shared" si="125"/>
        <v>0</v>
      </c>
      <c r="O241">
        <f t="shared" si="126"/>
        <v>0.39066380752587337</v>
      </c>
      <c r="P241">
        <f>M241*Inputs!B6/12</f>
        <v>0</v>
      </c>
      <c r="Q241">
        <f t="shared" si="127"/>
        <v>0</v>
      </c>
      <c r="R241">
        <f>N241*Inputs!B6/12</f>
        <v>0</v>
      </c>
      <c r="S241">
        <f t="shared" si="128"/>
        <v>0</v>
      </c>
      <c r="T241">
        <f t="shared" si="129"/>
        <v>1.6492524244898434E-3</v>
      </c>
      <c r="U241">
        <f t="shared" si="130"/>
        <v>0</v>
      </c>
      <c r="V241">
        <f t="shared" si="131"/>
        <v>1.6492524244898434E-3</v>
      </c>
      <c r="W241">
        <f t="shared" si="132"/>
        <v>3.5232151185910214E-2</v>
      </c>
      <c r="X241">
        <f t="shared" si="133"/>
        <v>0</v>
      </c>
      <c r="Y241">
        <f t="shared" si="134"/>
        <v>0</v>
      </c>
      <c r="Z241">
        <f t="shared" si="135"/>
        <v>0</v>
      </c>
      <c r="AA241">
        <f t="shared" si="136"/>
        <v>0</v>
      </c>
      <c r="AB241">
        <f t="shared" si="137"/>
        <v>0</v>
      </c>
      <c r="AC241">
        <f t="shared" si="138"/>
        <v>3.5232151185910214E-2</v>
      </c>
      <c r="AD241">
        <f t="shared" si="139"/>
        <v>0</v>
      </c>
      <c r="AE241">
        <f t="shared" si="140"/>
        <v>3.5232151185910214E-2</v>
      </c>
      <c r="AF241">
        <f t="shared" si="141"/>
        <v>0</v>
      </c>
      <c r="AG241">
        <f t="shared" si="142"/>
        <v>3.5232151185910214E-2</v>
      </c>
      <c r="AH241">
        <f t="shared" si="143"/>
        <v>3.5232151185910214E-2</v>
      </c>
      <c r="AI241">
        <f t="shared" si="144"/>
        <v>0</v>
      </c>
      <c r="AJ241">
        <f t="shared" si="145"/>
        <v>0</v>
      </c>
      <c r="AK241">
        <f t="shared" si="146"/>
        <v>3.5232151185910214E-2</v>
      </c>
      <c r="AL241">
        <f t="shared" si="147"/>
        <v>0</v>
      </c>
      <c r="AM241">
        <f t="shared" si="148"/>
        <v>0</v>
      </c>
      <c r="AN241">
        <f t="shared" si="149"/>
        <v>3.5232151185910214E-2</v>
      </c>
      <c r="AO241">
        <f t="shared" si="150"/>
        <v>0</v>
      </c>
      <c r="AP241">
        <f t="shared" si="151"/>
        <v>0</v>
      </c>
      <c r="AQ241">
        <f t="shared" si="152"/>
        <v>0</v>
      </c>
      <c r="AR241">
        <f t="shared" si="153"/>
        <v>0.35543165633996315</v>
      </c>
      <c r="AS241">
        <f t="shared" si="154"/>
        <v>0</v>
      </c>
      <c r="AT241">
        <f t="shared" si="155"/>
        <v>0</v>
      </c>
      <c r="AU241">
        <f t="shared" si="156"/>
        <v>0</v>
      </c>
    </row>
    <row r="242" spans="1:47" x14ac:dyDescent="0.2">
      <c r="A242">
        <v>241</v>
      </c>
      <c r="B242">
        <f>PoolStates_V2!B242</f>
        <v>0</v>
      </c>
      <c r="C242">
        <f>PoolStates_V2!S242</f>
        <v>1.5002912182209042E-3</v>
      </c>
      <c r="D242">
        <f>PoolStates_V2!T242</f>
        <v>3.2136523222590654E-2</v>
      </c>
      <c r="E242">
        <f>PoolStates_V2!Q242</f>
        <v>1.6735927184008442E-5</v>
      </c>
      <c r="F242">
        <f t="shared" si="157"/>
        <v>0</v>
      </c>
      <c r="G242">
        <f t="shared" si="158"/>
        <v>0</v>
      </c>
      <c r="H242">
        <f t="shared" si="159"/>
        <v>0.35543165633996315</v>
      </c>
      <c r="I242">
        <f t="shared" si="120"/>
        <v>1.6735927184008442E-5</v>
      </c>
      <c r="J242">
        <f t="shared" si="121"/>
        <v>0</v>
      </c>
      <c r="K242">
        <f t="shared" si="122"/>
        <v>0</v>
      </c>
      <c r="L242">
        <f t="shared" si="123"/>
        <v>0</v>
      </c>
      <c r="M242">
        <f t="shared" si="124"/>
        <v>0</v>
      </c>
      <c r="N242">
        <f t="shared" si="125"/>
        <v>0</v>
      </c>
      <c r="O242">
        <f t="shared" si="126"/>
        <v>0.35541492041277917</v>
      </c>
      <c r="P242">
        <f>M242*Inputs!B6/12</f>
        <v>0</v>
      </c>
      <c r="Q242">
        <f t="shared" si="127"/>
        <v>0</v>
      </c>
      <c r="R242">
        <f>N242*Inputs!B6/12</f>
        <v>0</v>
      </c>
      <c r="S242">
        <f t="shared" si="128"/>
        <v>0</v>
      </c>
      <c r="T242">
        <f t="shared" si="129"/>
        <v>1.5002912182209042E-3</v>
      </c>
      <c r="U242">
        <f t="shared" si="130"/>
        <v>0</v>
      </c>
      <c r="V242">
        <f t="shared" si="131"/>
        <v>1.5002912182209042E-3</v>
      </c>
      <c r="W242">
        <f t="shared" si="132"/>
        <v>3.2136523222590654E-2</v>
      </c>
      <c r="X242">
        <f t="shared" si="133"/>
        <v>0</v>
      </c>
      <c r="Y242">
        <f t="shared" si="134"/>
        <v>0</v>
      </c>
      <c r="Z242">
        <f t="shared" si="135"/>
        <v>0</v>
      </c>
      <c r="AA242">
        <f t="shared" si="136"/>
        <v>0</v>
      </c>
      <c r="AB242">
        <f t="shared" si="137"/>
        <v>0</v>
      </c>
      <c r="AC242">
        <f t="shared" si="138"/>
        <v>3.2136523222590654E-2</v>
      </c>
      <c r="AD242">
        <f t="shared" si="139"/>
        <v>0</v>
      </c>
      <c r="AE242">
        <f t="shared" si="140"/>
        <v>3.2136523222590654E-2</v>
      </c>
      <c r="AF242">
        <f t="shared" si="141"/>
        <v>0</v>
      </c>
      <c r="AG242">
        <f t="shared" si="142"/>
        <v>3.2136523222590654E-2</v>
      </c>
      <c r="AH242">
        <f t="shared" si="143"/>
        <v>3.2136523222590654E-2</v>
      </c>
      <c r="AI242">
        <f t="shared" si="144"/>
        <v>0</v>
      </c>
      <c r="AJ242">
        <f t="shared" si="145"/>
        <v>0</v>
      </c>
      <c r="AK242">
        <f t="shared" si="146"/>
        <v>3.2136523222590654E-2</v>
      </c>
      <c r="AL242">
        <f t="shared" si="147"/>
        <v>0</v>
      </c>
      <c r="AM242">
        <f t="shared" si="148"/>
        <v>0</v>
      </c>
      <c r="AN242">
        <f t="shared" si="149"/>
        <v>3.2136523222590654E-2</v>
      </c>
      <c r="AO242">
        <f t="shared" si="150"/>
        <v>0</v>
      </c>
      <c r="AP242">
        <f t="shared" si="151"/>
        <v>0</v>
      </c>
      <c r="AQ242">
        <f t="shared" si="152"/>
        <v>0</v>
      </c>
      <c r="AR242">
        <f t="shared" si="153"/>
        <v>0.32327839719018853</v>
      </c>
      <c r="AS242">
        <f t="shared" si="154"/>
        <v>0</v>
      </c>
      <c r="AT242">
        <f t="shared" si="155"/>
        <v>0</v>
      </c>
      <c r="AU242">
        <f t="shared" si="156"/>
        <v>0</v>
      </c>
    </row>
    <row r="243" spans="1:47" x14ac:dyDescent="0.2">
      <c r="A243">
        <v>242</v>
      </c>
      <c r="B243">
        <f>PoolStates_V2!B243</f>
        <v>0</v>
      </c>
      <c r="C243">
        <f>PoolStates_V2!S243</f>
        <v>1.3644277480928343E-3</v>
      </c>
      <c r="D243">
        <f>PoolStates_V2!T243</f>
        <v>2.9307707358173628E-2</v>
      </c>
      <c r="E243">
        <f>PoolStates_V2!Q243</f>
        <v>1.5278399223178684E-5</v>
      </c>
      <c r="F243">
        <f t="shared" si="157"/>
        <v>0</v>
      </c>
      <c r="G243">
        <f t="shared" si="158"/>
        <v>0</v>
      </c>
      <c r="H243">
        <f t="shared" si="159"/>
        <v>0.32327839719018853</v>
      </c>
      <c r="I243">
        <f t="shared" si="120"/>
        <v>1.5278399223178684E-5</v>
      </c>
      <c r="J243">
        <f t="shared" si="121"/>
        <v>0</v>
      </c>
      <c r="K243">
        <f t="shared" si="122"/>
        <v>0</v>
      </c>
      <c r="L243">
        <f t="shared" si="123"/>
        <v>0</v>
      </c>
      <c r="M243">
        <f t="shared" si="124"/>
        <v>0</v>
      </c>
      <c r="N243">
        <f t="shared" si="125"/>
        <v>0</v>
      </c>
      <c r="O243">
        <f t="shared" si="126"/>
        <v>0.32326311879096536</v>
      </c>
      <c r="P243">
        <f>M243*Inputs!B6/12</f>
        <v>0</v>
      </c>
      <c r="Q243">
        <f t="shared" si="127"/>
        <v>0</v>
      </c>
      <c r="R243">
        <f>N243*Inputs!B6/12</f>
        <v>0</v>
      </c>
      <c r="S243">
        <f t="shared" si="128"/>
        <v>0</v>
      </c>
      <c r="T243">
        <f t="shared" si="129"/>
        <v>1.3644277480928343E-3</v>
      </c>
      <c r="U243">
        <f t="shared" si="130"/>
        <v>0</v>
      </c>
      <c r="V243">
        <f t="shared" si="131"/>
        <v>1.3644277480928343E-3</v>
      </c>
      <c r="W243">
        <f t="shared" si="132"/>
        <v>2.9307707358173628E-2</v>
      </c>
      <c r="X243">
        <f t="shared" si="133"/>
        <v>0</v>
      </c>
      <c r="Y243">
        <f t="shared" si="134"/>
        <v>0</v>
      </c>
      <c r="Z243">
        <f t="shared" si="135"/>
        <v>0</v>
      </c>
      <c r="AA243">
        <f t="shared" si="136"/>
        <v>0</v>
      </c>
      <c r="AB243">
        <f t="shared" si="137"/>
        <v>0</v>
      </c>
      <c r="AC243">
        <f t="shared" si="138"/>
        <v>2.9307707358173628E-2</v>
      </c>
      <c r="AD243">
        <f t="shared" si="139"/>
        <v>0</v>
      </c>
      <c r="AE243">
        <f t="shared" si="140"/>
        <v>2.9307707358173628E-2</v>
      </c>
      <c r="AF243">
        <f t="shared" si="141"/>
        <v>0</v>
      </c>
      <c r="AG243">
        <f t="shared" si="142"/>
        <v>2.9307707358173628E-2</v>
      </c>
      <c r="AH243">
        <f t="shared" si="143"/>
        <v>2.9307707358173628E-2</v>
      </c>
      <c r="AI243">
        <f t="shared" si="144"/>
        <v>0</v>
      </c>
      <c r="AJ243">
        <f t="shared" si="145"/>
        <v>0</v>
      </c>
      <c r="AK243">
        <f t="shared" si="146"/>
        <v>2.9307707358173628E-2</v>
      </c>
      <c r="AL243">
        <f t="shared" si="147"/>
        <v>0</v>
      </c>
      <c r="AM243">
        <f t="shared" si="148"/>
        <v>0</v>
      </c>
      <c r="AN243">
        <f t="shared" si="149"/>
        <v>2.9307707358173628E-2</v>
      </c>
      <c r="AO243">
        <f t="shared" si="150"/>
        <v>0</v>
      </c>
      <c r="AP243">
        <f t="shared" si="151"/>
        <v>0</v>
      </c>
      <c r="AQ243">
        <f t="shared" si="152"/>
        <v>0</v>
      </c>
      <c r="AR243">
        <f t="shared" si="153"/>
        <v>0.29395541143279175</v>
      </c>
      <c r="AS243">
        <f t="shared" si="154"/>
        <v>0</v>
      </c>
      <c r="AT243">
        <f t="shared" si="155"/>
        <v>0</v>
      </c>
      <c r="AU243">
        <f t="shared" si="156"/>
        <v>0</v>
      </c>
    </row>
    <row r="244" spans="1:47" x14ac:dyDescent="0.2">
      <c r="A244">
        <v>243</v>
      </c>
      <c r="B244">
        <f>PoolStates_V2!B244</f>
        <v>0</v>
      </c>
      <c r="C244">
        <f>PoolStates_V2!S244</f>
        <v>1.2405325115763149E-3</v>
      </c>
      <c r="D244">
        <f>PoolStates_V2!T244</f>
        <v>2.6723040192186933E-2</v>
      </c>
      <c r="E244">
        <f>PoolStates_V2!Q244</f>
        <v>1.394565333560245E-5</v>
      </c>
      <c r="F244">
        <f t="shared" si="157"/>
        <v>0</v>
      </c>
      <c r="G244">
        <f t="shared" si="158"/>
        <v>0</v>
      </c>
      <c r="H244">
        <f t="shared" si="159"/>
        <v>0.29395541143279175</v>
      </c>
      <c r="I244">
        <f t="shared" si="120"/>
        <v>1.394565333560245E-5</v>
      </c>
      <c r="J244">
        <f t="shared" si="121"/>
        <v>0</v>
      </c>
      <c r="K244">
        <f t="shared" si="122"/>
        <v>0</v>
      </c>
      <c r="L244">
        <f t="shared" si="123"/>
        <v>0</v>
      </c>
      <c r="M244">
        <f t="shared" si="124"/>
        <v>0</v>
      </c>
      <c r="N244">
        <f t="shared" si="125"/>
        <v>0</v>
      </c>
      <c r="O244">
        <f t="shared" si="126"/>
        <v>0.29394146577945612</v>
      </c>
      <c r="P244">
        <f>M244*Inputs!B6/12</f>
        <v>0</v>
      </c>
      <c r="Q244">
        <f t="shared" si="127"/>
        <v>0</v>
      </c>
      <c r="R244">
        <f>N244*Inputs!B6/12</f>
        <v>0</v>
      </c>
      <c r="S244">
        <f t="shared" si="128"/>
        <v>0</v>
      </c>
      <c r="T244">
        <f t="shared" si="129"/>
        <v>1.2405325115763149E-3</v>
      </c>
      <c r="U244">
        <f t="shared" si="130"/>
        <v>0</v>
      </c>
      <c r="V244">
        <f t="shared" si="131"/>
        <v>1.2405325115763149E-3</v>
      </c>
      <c r="W244">
        <f t="shared" si="132"/>
        <v>2.6723040192186933E-2</v>
      </c>
      <c r="X244">
        <f t="shared" si="133"/>
        <v>0</v>
      </c>
      <c r="Y244">
        <f t="shared" si="134"/>
        <v>0</v>
      </c>
      <c r="Z244">
        <f t="shared" si="135"/>
        <v>0</v>
      </c>
      <c r="AA244">
        <f t="shared" si="136"/>
        <v>0</v>
      </c>
      <c r="AB244">
        <f t="shared" si="137"/>
        <v>0</v>
      </c>
      <c r="AC244">
        <f t="shared" si="138"/>
        <v>2.6723040192186933E-2</v>
      </c>
      <c r="AD244">
        <f t="shared" si="139"/>
        <v>0</v>
      </c>
      <c r="AE244">
        <f t="shared" si="140"/>
        <v>2.6723040192186933E-2</v>
      </c>
      <c r="AF244">
        <f t="shared" si="141"/>
        <v>0</v>
      </c>
      <c r="AG244">
        <f t="shared" si="142"/>
        <v>2.6723040192186933E-2</v>
      </c>
      <c r="AH244">
        <f t="shared" si="143"/>
        <v>2.6723040192186933E-2</v>
      </c>
      <c r="AI244">
        <f t="shared" si="144"/>
        <v>0</v>
      </c>
      <c r="AJ244">
        <f t="shared" si="145"/>
        <v>0</v>
      </c>
      <c r="AK244">
        <f t="shared" si="146"/>
        <v>2.6723040192186933E-2</v>
      </c>
      <c r="AL244">
        <f t="shared" si="147"/>
        <v>0</v>
      </c>
      <c r="AM244">
        <f t="shared" si="148"/>
        <v>0</v>
      </c>
      <c r="AN244">
        <f t="shared" si="149"/>
        <v>2.6723040192186933E-2</v>
      </c>
      <c r="AO244">
        <f t="shared" si="150"/>
        <v>0</v>
      </c>
      <c r="AP244">
        <f t="shared" si="151"/>
        <v>0</v>
      </c>
      <c r="AQ244">
        <f t="shared" si="152"/>
        <v>0</v>
      </c>
      <c r="AR244">
        <f t="shared" si="153"/>
        <v>0.26721842558726921</v>
      </c>
      <c r="AS244">
        <f t="shared" si="154"/>
        <v>0</v>
      </c>
      <c r="AT244">
        <f t="shared" si="155"/>
        <v>0</v>
      </c>
      <c r="AU244">
        <f t="shared" si="156"/>
        <v>0</v>
      </c>
    </row>
    <row r="245" spans="1:47" x14ac:dyDescent="0.2">
      <c r="A245">
        <v>244</v>
      </c>
      <c r="B245">
        <f>PoolStates_V2!B245</f>
        <v>0</v>
      </c>
      <c r="C245">
        <f>PoolStates_V2!S245</f>
        <v>1.1275719877960335E-3</v>
      </c>
      <c r="D245">
        <f>PoolStates_V2!T245</f>
        <v>2.4361761493249673E-2</v>
      </c>
      <c r="E245">
        <f>PoolStates_V2!Q245</f>
        <v>1.2727146058887082E-5</v>
      </c>
      <c r="F245">
        <f t="shared" si="157"/>
        <v>0</v>
      </c>
      <c r="G245">
        <f t="shared" si="158"/>
        <v>0</v>
      </c>
      <c r="H245">
        <f t="shared" si="159"/>
        <v>0.26721842558726921</v>
      </c>
      <c r="I245">
        <f t="shared" si="120"/>
        <v>1.2727146058887082E-5</v>
      </c>
      <c r="J245">
        <f t="shared" si="121"/>
        <v>0</v>
      </c>
      <c r="K245">
        <f t="shared" si="122"/>
        <v>0</v>
      </c>
      <c r="L245">
        <f t="shared" si="123"/>
        <v>0</v>
      </c>
      <c r="M245">
        <f t="shared" si="124"/>
        <v>0</v>
      </c>
      <c r="N245">
        <f t="shared" si="125"/>
        <v>0</v>
      </c>
      <c r="O245">
        <f t="shared" si="126"/>
        <v>0.26720569844121034</v>
      </c>
      <c r="P245">
        <f>M245*Inputs!B6/12</f>
        <v>0</v>
      </c>
      <c r="Q245">
        <f t="shared" si="127"/>
        <v>0</v>
      </c>
      <c r="R245">
        <f>N245*Inputs!B6/12</f>
        <v>0</v>
      </c>
      <c r="S245">
        <f t="shared" si="128"/>
        <v>0</v>
      </c>
      <c r="T245">
        <f t="shared" si="129"/>
        <v>1.1275719877960335E-3</v>
      </c>
      <c r="U245">
        <f t="shared" si="130"/>
        <v>0</v>
      </c>
      <c r="V245">
        <f t="shared" si="131"/>
        <v>1.1275719877960335E-3</v>
      </c>
      <c r="W245">
        <f t="shared" si="132"/>
        <v>2.4361761493249673E-2</v>
      </c>
      <c r="X245">
        <f t="shared" si="133"/>
        <v>0</v>
      </c>
      <c r="Y245">
        <f t="shared" si="134"/>
        <v>0</v>
      </c>
      <c r="Z245">
        <f t="shared" si="135"/>
        <v>0</v>
      </c>
      <c r="AA245">
        <f t="shared" si="136"/>
        <v>0</v>
      </c>
      <c r="AB245">
        <f t="shared" si="137"/>
        <v>0</v>
      </c>
      <c r="AC245">
        <f t="shared" si="138"/>
        <v>2.4361761493249673E-2</v>
      </c>
      <c r="AD245">
        <f t="shared" si="139"/>
        <v>0</v>
      </c>
      <c r="AE245">
        <f t="shared" si="140"/>
        <v>2.4361761493249673E-2</v>
      </c>
      <c r="AF245">
        <f t="shared" si="141"/>
        <v>0</v>
      </c>
      <c r="AG245">
        <f t="shared" si="142"/>
        <v>2.4361761493249673E-2</v>
      </c>
      <c r="AH245">
        <f t="shared" si="143"/>
        <v>2.4361761493249673E-2</v>
      </c>
      <c r="AI245">
        <f t="shared" si="144"/>
        <v>0</v>
      </c>
      <c r="AJ245">
        <f t="shared" si="145"/>
        <v>0</v>
      </c>
      <c r="AK245">
        <f t="shared" si="146"/>
        <v>2.4361761493249673E-2</v>
      </c>
      <c r="AL245">
        <f t="shared" si="147"/>
        <v>0</v>
      </c>
      <c r="AM245">
        <f t="shared" si="148"/>
        <v>0</v>
      </c>
      <c r="AN245">
        <f t="shared" si="149"/>
        <v>2.4361761493249673E-2</v>
      </c>
      <c r="AO245">
        <f t="shared" si="150"/>
        <v>0</v>
      </c>
      <c r="AP245">
        <f t="shared" si="151"/>
        <v>0</v>
      </c>
      <c r="AQ245">
        <f t="shared" si="152"/>
        <v>0</v>
      </c>
      <c r="AR245">
        <f t="shared" si="153"/>
        <v>0.24284393694796066</v>
      </c>
      <c r="AS245">
        <f t="shared" si="154"/>
        <v>0</v>
      </c>
      <c r="AT245">
        <f t="shared" si="155"/>
        <v>0</v>
      </c>
      <c r="AU245">
        <f t="shared" si="156"/>
        <v>0</v>
      </c>
    </row>
    <row r="246" spans="1:47" x14ac:dyDescent="0.2">
      <c r="A246">
        <v>245</v>
      </c>
      <c r="B246">
        <f>PoolStates_V2!B246</f>
        <v>0</v>
      </c>
      <c r="C246">
        <f>PoolStates_V2!S246</f>
        <v>1.0246005747448674E-3</v>
      </c>
      <c r="D246">
        <f>PoolStates_V2!T246</f>
        <v>2.2204855842967514E-2</v>
      </c>
      <c r="E246">
        <f>PoolStates_V2!Q246</f>
        <v>1.1613215580320448E-5</v>
      </c>
      <c r="F246">
        <f t="shared" si="157"/>
        <v>0</v>
      </c>
      <c r="G246">
        <f t="shared" si="158"/>
        <v>0</v>
      </c>
      <c r="H246">
        <f t="shared" si="159"/>
        <v>0.24284393694796066</v>
      </c>
      <c r="I246">
        <f t="shared" si="120"/>
        <v>1.1613215580320448E-5</v>
      </c>
      <c r="J246">
        <f t="shared" si="121"/>
        <v>0</v>
      </c>
      <c r="K246">
        <f t="shared" si="122"/>
        <v>0</v>
      </c>
      <c r="L246">
        <f t="shared" si="123"/>
        <v>0</v>
      </c>
      <c r="M246">
        <f t="shared" si="124"/>
        <v>0</v>
      </c>
      <c r="N246">
        <f t="shared" si="125"/>
        <v>0</v>
      </c>
      <c r="O246">
        <f t="shared" si="126"/>
        <v>0.24283232373238034</v>
      </c>
      <c r="P246">
        <f>M246*Inputs!B6/12</f>
        <v>0</v>
      </c>
      <c r="Q246">
        <f t="shared" si="127"/>
        <v>0</v>
      </c>
      <c r="R246">
        <f>N246*Inputs!B6/12</f>
        <v>0</v>
      </c>
      <c r="S246">
        <f t="shared" si="128"/>
        <v>0</v>
      </c>
      <c r="T246">
        <f t="shared" si="129"/>
        <v>1.0246005747448674E-3</v>
      </c>
      <c r="U246">
        <f t="shared" si="130"/>
        <v>0</v>
      </c>
      <c r="V246">
        <f t="shared" si="131"/>
        <v>1.0246005747448674E-3</v>
      </c>
      <c r="W246">
        <f t="shared" si="132"/>
        <v>2.2204855842967514E-2</v>
      </c>
      <c r="X246">
        <f t="shared" si="133"/>
        <v>0</v>
      </c>
      <c r="Y246">
        <f t="shared" si="134"/>
        <v>0</v>
      </c>
      <c r="Z246">
        <f t="shared" si="135"/>
        <v>0</v>
      </c>
      <c r="AA246">
        <f t="shared" si="136"/>
        <v>0</v>
      </c>
      <c r="AB246">
        <f t="shared" si="137"/>
        <v>0</v>
      </c>
      <c r="AC246">
        <f t="shared" si="138"/>
        <v>2.2204855842967514E-2</v>
      </c>
      <c r="AD246">
        <f t="shared" si="139"/>
        <v>0</v>
      </c>
      <c r="AE246">
        <f t="shared" si="140"/>
        <v>2.2204855842967514E-2</v>
      </c>
      <c r="AF246">
        <f t="shared" si="141"/>
        <v>0</v>
      </c>
      <c r="AG246">
        <f t="shared" si="142"/>
        <v>2.2204855842967514E-2</v>
      </c>
      <c r="AH246">
        <f t="shared" si="143"/>
        <v>2.2204855842967514E-2</v>
      </c>
      <c r="AI246">
        <f t="shared" si="144"/>
        <v>0</v>
      </c>
      <c r="AJ246">
        <f t="shared" si="145"/>
        <v>0</v>
      </c>
      <c r="AK246">
        <f t="shared" si="146"/>
        <v>2.2204855842967514E-2</v>
      </c>
      <c r="AL246">
        <f t="shared" si="147"/>
        <v>0</v>
      </c>
      <c r="AM246">
        <f t="shared" si="148"/>
        <v>0</v>
      </c>
      <c r="AN246">
        <f t="shared" si="149"/>
        <v>2.2204855842967514E-2</v>
      </c>
      <c r="AO246">
        <f t="shared" si="150"/>
        <v>0</v>
      </c>
      <c r="AP246">
        <f t="shared" si="151"/>
        <v>0</v>
      </c>
      <c r="AQ246">
        <f t="shared" si="152"/>
        <v>0</v>
      </c>
      <c r="AR246">
        <f t="shared" si="153"/>
        <v>0.22062746788941281</v>
      </c>
      <c r="AS246">
        <f t="shared" si="154"/>
        <v>0</v>
      </c>
      <c r="AT246">
        <f t="shared" si="155"/>
        <v>0</v>
      </c>
      <c r="AU246">
        <f t="shared" si="156"/>
        <v>0</v>
      </c>
    </row>
    <row r="247" spans="1:47" x14ac:dyDescent="0.2">
      <c r="A247">
        <v>246</v>
      </c>
      <c r="B247">
        <f>PoolStates_V2!B247</f>
        <v>0</v>
      </c>
      <c r="C247">
        <f>PoolStates_V2!S247</f>
        <v>9.3075319755647962E-4</v>
      </c>
      <c r="D247">
        <f>PoolStates_V2!T247</f>
        <v>2.0234907357032584E-2</v>
      </c>
      <c r="E247">
        <f>PoolStates_V2!Q247</f>
        <v>1.0595008632209E-5</v>
      </c>
      <c r="F247">
        <f t="shared" si="157"/>
        <v>0</v>
      </c>
      <c r="G247">
        <f t="shared" si="158"/>
        <v>0</v>
      </c>
      <c r="H247">
        <f t="shared" si="159"/>
        <v>0.22062746788941281</v>
      </c>
      <c r="I247">
        <f t="shared" si="120"/>
        <v>1.0595008632209E-5</v>
      </c>
      <c r="J247">
        <f t="shared" si="121"/>
        <v>0</v>
      </c>
      <c r="K247">
        <f t="shared" si="122"/>
        <v>0</v>
      </c>
      <c r="L247">
        <f t="shared" si="123"/>
        <v>0</v>
      </c>
      <c r="M247">
        <f t="shared" si="124"/>
        <v>0</v>
      </c>
      <c r="N247">
        <f t="shared" si="125"/>
        <v>0</v>
      </c>
      <c r="O247">
        <f t="shared" si="126"/>
        <v>0.22061687288078061</v>
      </c>
      <c r="P247">
        <f>M247*Inputs!B6/12</f>
        <v>0</v>
      </c>
      <c r="Q247">
        <f t="shared" si="127"/>
        <v>0</v>
      </c>
      <c r="R247">
        <f>N247*Inputs!B6/12</f>
        <v>0</v>
      </c>
      <c r="S247">
        <f t="shared" si="128"/>
        <v>0</v>
      </c>
      <c r="T247">
        <f t="shared" si="129"/>
        <v>9.3075319755647962E-4</v>
      </c>
      <c r="U247">
        <f t="shared" si="130"/>
        <v>0</v>
      </c>
      <c r="V247">
        <f t="shared" si="131"/>
        <v>9.3075319755647962E-4</v>
      </c>
      <c r="W247">
        <f t="shared" si="132"/>
        <v>2.0234907357032584E-2</v>
      </c>
      <c r="X247">
        <f t="shared" si="133"/>
        <v>0</v>
      </c>
      <c r="Y247">
        <f t="shared" si="134"/>
        <v>0</v>
      </c>
      <c r="Z247">
        <f t="shared" si="135"/>
        <v>0</v>
      </c>
      <c r="AA247">
        <f t="shared" si="136"/>
        <v>0</v>
      </c>
      <c r="AB247">
        <f t="shared" si="137"/>
        <v>0</v>
      </c>
      <c r="AC247">
        <f t="shared" si="138"/>
        <v>2.0234907357032584E-2</v>
      </c>
      <c r="AD247">
        <f t="shared" si="139"/>
        <v>0</v>
      </c>
      <c r="AE247">
        <f t="shared" si="140"/>
        <v>2.0234907357032584E-2</v>
      </c>
      <c r="AF247">
        <f t="shared" si="141"/>
        <v>0</v>
      </c>
      <c r="AG247">
        <f t="shared" si="142"/>
        <v>2.0234907357032584E-2</v>
      </c>
      <c r="AH247">
        <f t="shared" si="143"/>
        <v>2.0234907357032584E-2</v>
      </c>
      <c r="AI247">
        <f t="shared" si="144"/>
        <v>0</v>
      </c>
      <c r="AJ247">
        <f t="shared" si="145"/>
        <v>0</v>
      </c>
      <c r="AK247">
        <f t="shared" si="146"/>
        <v>2.0234907357032584E-2</v>
      </c>
      <c r="AL247">
        <f t="shared" si="147"/>
        <v>0</v>
      </c>
      <c r="AM247">
        <f t="shared" si="148"/>
        <v>0</v>
      </c>
      <c r="AN247">
        <f t="shared" si="149"/>
        <v>2.0234907357032584E-2</v>
      </c>
      <c r="AO247">
        <f t="shared" si="150"/>
        <v>0</v>
      </c>
      <c r="AP247">
        <f t="shared" si="151"/>
        <v>0</v>
      </c>
      <c r="AQ247">
        <f t="shared" si="152"/>
        <v>0</v>
      </c>
      <c r="AR247">
        <f t="shared" si="153"/>
        <v>0.20038196552374801</v>
      </c>
      <c r="AS247">
        <f t="shared" si="154"/>
        <v>0</v>
      </c>
      <c r="AT247">
        <f t="shared" si="155"/>
        <v>0</v>
      </c>
      <c r="AU247">
        <f t="shared" si="156"/>
        <v>0</v>
      </c>
    </row>
    <row r="248" spans="1:47" x14ac:dyDescent="0.2">
      <c r="A248">
        <v>247</v>
      </c>
      <c r="B248">
        <f>PoolStates_V2!B248</f>
        <v>0</v>
      </c>
      <c r="C248">
        <f>PoolStates_V2!S248</f>
        <v>8.4523853240719678E-4</v>
      </c>
      <c r="D248">
        <f>PoolStates_V2!T248</f>
        <v>1.843596641037781E-2</v>
      </c>
      <c r="E248">
        <f>PoolStates_V2!Q248</f>
        <v>9.6644134067980599E-6</v>
      </c>
      <c r="F248">
        <f t="shared" si="157"/>
        <v>0</v>
      </c>
      <c r="G248">
        <f t="shared" si="158"/>
        <v>0</v>
      </c>
      <c r="H248">
        <f t="shared" si="159"/>
        <v>0.20038196552374801</v>
      </c>
      <c r="I248">
        <f t="shared" si="120"/>
        <v>9.6644134067980599E-6</v>
      </c>
      <c r="J248">
        <f t="shared" si="121"/>
        <v>0</v>
      </c>
      <c r="K248">
        <f t="shared" si="122"/>
        <v>0</v>
      </c>
      <c r="L248">
        <f t="shared" si="123"/>
        <v>0</v>
      </c>
      <c r="M248">
        <f t="shared" si="124"/>
        <v>0</v>
      </c>
      <c r="N248">
        <f t="shared" si="125"/>
        <v>0</v>
      </c>
      <c r="O248">
        <f t="shared" si="126"/>
        <v>0.20037230111034121</v>
      </c>
      <c r="P248">
        <f>M248*Inputs!B6/12</f>
        <v>0</v>
      </c>
      <c r="Q248">
        <f t="shared" si="127"/>
        <v>0</v>
      </c>
      <c r="R248">
        <f>N248*Inputs!B6/12</f>
        <v>0</v>
      </c>
      <c r="S248">
        <f t="shared" si="128"/>
        <v>0</v>
      </c>
      <c r="T248">
        <f t="shared" si="129"/>
        <v>8.4523853240719678E-4</v>
      </c>
      <c r="U248">
        <f t="shared" si="130"/>
        <v>0</v>
      </c>
      <c r="V248">
        <f t="shared" si="131"/>
        <v>8.4523853240719678E-4</v>
      </c>
      <c r="W248">
        <f t="shared" si="132"/>
        <v>1.843596641037781E-2</v>
      </c>
      <c r="X248">
        <f t="shared" si="133"/>
        <v>0</v>
      </c>
      <c r="Y248">
        <f t="shared" si="134"/>
        <v>0</v>
      </c>
      <c r="Z248">
        <f t="shared" si="135"/>
        <v>0</v>
      </c>
      <c r="AA248">
        <f t="shared" si="136"/>
        <v>0</v>
      </c>
      <c r="AB248">
        <f t="shared" si="137"/>
        <v>0</v>
      </c>
      <c r="AC248">
        <f t="shared" si="138"/>
        <v>1.843596641037781E-2</v>
      </c>
      <c r="AD248">
        <f t="shared" si="139"/>
        <v>0</v>
      </c>
      <c r="AE248">
        <f t="shared" si="140"/>
        <v>1.843596641037781E-2</v>
      </c>
      <c r="AF248">
        <f t="shared" si="141"/>
        <v>0</v>
      </c>
      <c r="AG248">
        <f t="shared" si="142"/>
        <v>1.843596641037781E-2</v>
      </c>
      <c r="AH248">
        <f t="shared" si="143"/>
        <v>1.843596641037781E-2</v>
      </c>
      <c r="AI248">
        <f t="shared" si="144"/>
        <v>0</v>
      </c>
      <c r="AJ248">
        <f t="shared" si="145"/>
        <v>0</v>
      </c>
      <c r="AK248">
        <f t="shared" si="146"/>
        <v>1.843596641037781E-2</v>
      </c>
      <c r="AL248">
        <f t="shared" si="147"/>
        <v>0</v>
      </c>
      <c r="AM248">
        <f t="shared" si="148"/>
        <v>0</v>
      </c>
      <c r="AN248">
        <f t="shared" si="149"/>
        <v>1.843596641037781E-2</v>
      </c>
      <c r="AO248">
        <f t="shared" si="150"/>
        <v>0</v>
      </c>
      <c r="AP248">
        <f t="shared" si="151"/>
        <v>0</v>
      </c>
      <c r="AQ248">
        <f t="shared" si="152"/>
        <v>0</v>
      </c>
      <c r="AR248">
        <f t="shared" si="153"/>
        <v>0.1819363346999634</v>
      </c>
      <c r="AS248">
        <f t="shared" si="154"/>
        <v>0</v>
      </c>
      <c r="AT248">
        <f t="shared" si="155"/>
        <v>0</v>
      </c>
      <c r="AU248">
        <f t="shared" si="156"/>
        <v>0</v>
      </c>
    </row>
    <row r="249" spans="1:47" x14ac:dyDescent="0.2">
      <c r="A249">
        <v>248</v>
      </c>
      <c r="B249">
        <f>PoolStates_V2!B249</f>
        <v>0</v>
      </c>
      <c r="C249">
        <f>PoolStates_V2!S249</f>
        <v>7.6733279516755313E-4</v>
      </c>
      <c r="D249">
        <f>PoolStates_V2!T249</f>
        <v>1.6793427380833264E-2</v>
      </c>
      <c r="E249">
        <f>PoolStates_V2!Q249</f>
        <v>8.8139979980016309E-6</v>
      </c>
      <c r="F249">
        <f t="shared" si="157"/>
        <v>0</v>
      </c>
      <c r="G249">
        <f t="shared" si="158"/>
        <v>0</v>
      </c>
      <c r="H249">
        <f t="shared" si="159"/>
        <v>0.1819363346999634</v>
      </c>
      <c r="I249">
        <f t="shared" si="120"/>
        <v>8.8139979980016309E-6</v>
      </c>
      <c r="J249">
        <f t="shared" si="121"/>
        <v>0</v>
      </c>
      <c r="K249">
        <f t="shared" si="122"/>
        <v>0</v>
      </c>
      <c r="L249">
        <f t="shared" si="123"/>
        <v>0</v>
      </c>
      <c r="M249">
        <f t="shared" si="124"/>
        <v>0</v>
      </c>
      <c r="N249">
        <f t="shared" si="125"/>
        <v>0</v>
      </c>
      <c r="O249">
        <f t="shared" si="126"/>
        <v>0.18192752070196538</v>
      </c>
      <c r="P249">
        <f>M249*Inputs!B6/12</f>
        <v>0</v>
      </c>
      <c r="Q249">
        <f t="shared" si="127"/>
        <v>0</v>
      </c>
      <c r="R249">
        <f>N249*Inputs!B6/12</f>
        <v>0</v>
      </c>
      <c r="S249">
        <f t="shared" si="128"/>
        <v>0</v>
      </c>
      <c r="T249">
        <f t="shared" si="129"/>
        <v>7.6733279516755313E-4</v>
      </c>
      <c r="U249">
        <f t="shared" si="130"/>
        <v>0</v>
      </c>
      <c r="V249">
        <f t="shared" si="131"/>
        <v>7.6733279516755313E-4</v>
      </c>
      <c r="W249">
        <f t="shared" si="132"/>
        <v>1.6793427380833264E-2</v>
      </c>
      <c r="X249">
        <f t="shared" si="133"/>
        <v>0</v>
      </c>
      <c r="Y249">
        <f t="shared" si="134"/>
        <v>0</v>
      </c>
      <c r="Z249">
        <f t="shared" si="135"/>
        <v>0</v>
      </c>
      <c r="AA249">
        <f t="shared" si="136"/>
        <v>0</v>
      </c>
      <c r="AB249">
        <f t="shared" si="137"/>
        <v>0</v>
      </c>
      <c r="AC249">
        <f t="shared" si="138"/>
        <v>1.6793427380833264E-2</v>
      </c>
      <c r="AD249">
        <f t="shared" si="139"/>
        <v>0</v>
      </c>
      <c r="AE249">
        <f t="shared" si="140"/>
        <v>1.6793427380833264E-2</v>
      </c>
      <c r="AF249">
        <f t="shared" si="141"/>
        <v>0</v>
      </c>
      <c r="AG249">
        <f t="shared" si="142"/>
        <v>1.6793427380833264E-2</v>
      </c>
      <c r="AH249">
        <f t="shared" si="143"/>
        <v>1.6793427380833264E-2</v>
      </c>
      <c r="AI249">
        <f t="shared" si="144"/>
        <v>0</v>
      </c>
      <c r="AJ249">
        <f t="shared" si="145"/>
        <v>0</v>
      </c>
      <c r="AK249">
        <f t="shared" si="146"/>
        <v>1.6793427380833264E-2</v>
      </c>
      <c r="AL249">
        <f t="shared" si="147"/>
        <v>0</v>
      </c>
      <c r="AM249">
        <f t="shared" si="148"/>
        <v>0</v>
      </c>
      <c r="AN249">
        <f t="shared" si="149"/>
        <v>1.6793427380833264E-2</v>
      </c>
      <c r="AO249">
        <f t="shared" si="150"/>
        <v>0</v>
      </c>
      <c r="AP249">
        <f t="shared" si="151"/>
        <v>0</v>
      </c>
      <c r="AQ249">
        <f t="shared" si="152"/>
        <v>0</v>
      </c>
      <c r="AR249">
        <f t="shared" si="153"/>
        <v>0.16513409332113213</v>
      </c>
      <c r="AS249">
        <f t="shared" si="154"/>
        <v>0</v>
      </c>
      <c r="AT249">
        <f t="shared" si="155"/>
        <v>0</v>
      </c>
      <c r="AU249">
        <f t="shared" si="156"/>
        <v>0</v>
      </c>
    </row>
    <row r="250" spans="1:47" x14ac:dyDescent="0.2">
      <c r="A250">
        <v>249</v>
      </c>
      <c r="B250">
        <f>PoolStates_V2!B250</f>
        <v>0</v>
      </c>
      <c r="C250">
        <f>PoolStates_V2!S250</f>
        <v>6.963740481019876E-4</v>
      </c>
      <c r="D250">
        <f>PoolStates_V2!T250</f>
        <v>1.5293916506212646E-2</v>
      </c>
      <c r="E250">
        <f>PoolStates_V2!Q250</f>
        <v>8.0369539173079243E-6</v>
      </c>
      <c r="F250">
        <f t="shared" si="157"/>
        <v>0</v>
      </c>
      <c r="G250">
        <f t="shared" si="158"/>
        <v>0</v>
      </c>
      <c r="H250">
        <f t="shared" si="159"/>
        <v>0.16513409332113213</v>
      </c>
      <c r="I250">
        <f t="shared" si="120"/>
        <v>8.0369539173079243E-6</v>
      </c>
      <c r="J250">
        <f t="shared" si="121"/>
        <v>0</v>
      </c>
      <c r="K250">
        <f t="shared" si="122"/>
        <v>0</v>
      </c>
      <c r="L250">
        <f t="shared" si="123"/>
        <v>0</v>
      </c>
      <c r="M250">
        <f t="shared" si="124"/>
        <v>0</v>
      </c>
      <c r="N250">
        <f t="shared" si="125"/>
        <v>0</v>
      </c>
      <c r="O250">
        <f t="shared" si="126"/>
        <v>0.16512605636721484</v>
      </c>
      <c r="P250">
        <f>M250*Inputs!B6/12</f>
        <v>0</v>
      </c>
      <c r="Q250">
        <f t="shared" si="127"/>
        <v>0</v>
      </c>
      <c r="R250">
        <f>N250*Inputs!B6/12</f>
        <v>0</v>
      </c>
      <c r="S250">
        <f t="shared" si="128"/>
        <v>0</v>
      </c>
      <c r="T250">
        <f t="shared" si="129"/>
        <v>6.963740481019876E-4</v>
      </c>
      <c r="U250">
        <f t="shared" si="130"/>
        <v>0</v>
      </c>
      <c r="V250">
        <f t="shared" si="131"/>
        <v>6.963740481019876E-4</v>
      </c>
      <c r="W250">
        <f t="shared" si="132"/>
        <v>1.5293916506212646E-2</v>
      </c>
      <c r="X250">
        <f t="shared" si="133"/>
        <v>0</v>
      </c>
      <c r="Y250">
        <f t="shared" si="134"/>
        <v>0</v>
      </c>
      <c r="Z250">
        <f t="shared" si="135"/>
        <v>0</v>
      </c>
      <c r="AA250">
        <f t="shared" si="136"/>
        <v>0</v>
      </c>
      <c r="AB250">
        <f t="shared" si="137"/>
        <v>0</v>
      </c>
      <c r="AC250">
        <f t="shared" si="138"/>
        <v>1.5293916506212646E-2</v>
      </c>
      <c r="AD250">
        <f t="shared" si="139"/>
        <v>0</v>
      </c>
      <c r="AE250">
        <f t="shared" si="140"/>
        <v>1.5293916506212646E-2</v>
      </c>
      <c r="AF250">
        <f t="shared" si="141"/>
        <v>0</v>
      </c>
      <c r="AG250">
        <f t="shared" si="142"/>
        <v>1.5293916506212646E-2</v>
      </c>
      <c r="AH250">
        <f t="shared" si="143"/>
        <v>1.5293916506212646E-2</v>
      </c>
      <c r="AI250">
        <f t="shared" si="144"/>
        <v>0</v>
      </c>
      <c r="AJ250">
        <f t="shared" si="145"/>
        <v>0</v>
      </c>
      <c r="AK250">
        <f t="shared" si="146"/>
        <v>1.5293916506212646E-2</v>
      </c>
      <c r="AL250">
        <f t="shared" si="147"/>
        <v>0</v>
      </c>
      <c r="AM250">
        <f t="shared" si="148"/>
        <v>0</v>
      </c>
      <c r="AN250">
        <f t="shared" si="149"/>
        <v>1.5293916506212646E-2</v>
      </c>
      <c r="AO250">
        <f t="shared" si="150"/>
        <v>0</v>
      </c>
      <c r="AP250">
        <f t="shared" si="151"/>
        <v>0</v>
      </c>
      <c r="AQ250">
        <f t="shared" si="152"/>
        <v>0</v>
      </c>
      <c r="AR250">
        <f t="shared" si="153"/>
        <v>0.14983213986100219</v>
      </c>
      <c r="AS250">
        <f t="shared" si="154"/>
        <v>0</v>
      </c>
      <c r="AT250">
        <f t="shared" si="155"/>
        <v>0</v>
      </c>
      <c r="AU250">
        <f t="shared" si="156"/>
        <v>0</v>
      </c>
    </row>
    <row r="251" spans="1:47" x14ac:dyDescent="0.2">
      <c r="A251">
        <v>250</v>
      </c>
      <c r="B251">
        <f>PoolStates_V2!B251</f>
        <v>0</v>
      </c>
      <c r="C251">
        <f>PoolStates_V2!S251</f>
        <v>6.3175698175204384E-4</v>
      </c>
      <c r="D251">
        <f>PoolStates_V2!T251</f>
        <v>1.3925189023696534E-2</v>
      </c>
      <c r="E251">
        <f>PoolStates_V2!Q251</f>
        <v>7.3270442681102299E-6</v>
      </c>
      <c r="F251">
        <f t="shared" si="157"/>
        <v>0</v>
      </c>
      <c r="G251">
        <f t="shared" si="158"/>
        <v>0</v>
      </c>
      <c r="H251">
        <f t="shared" si="159"/>
        <v>0.14983213986100219</v>
      </c>
      <c r="I251">
        <f t="shared" si="120"/>
        <v>7.3270442681102299E-6</v>
      </c>
      <c r="J251">
        <f t="shared" si="121"/>
        <v>0</v>
      </c>
      <c r="K251">
        <f t="shared" si="122"/>
        <v>0</v>
      </c>
      <c r="L251">
        <f t="shared" si="123"/>
        <v>0</v>
      </c>
      <c r="M251">
        <f t="shared" si="124"/>
        <v>0</v>
      </c>
      <c r="N251">
        <f t="shared" si="125"/>
        <v>0</v>
      </c>
      <c r="O251">
        <f t="shared" si="126"/>
        <v>0.14982481281673407</v>
      </c>
      <c r="P251">
        <f>M251*Inputs!B6/12</f>
        <v>0</v>
      </c>
      <c r="Q251">
        <f t="shared" si="127"/>
        <v>0</v>
      </c>
      <c r="R251">
        <f>N251*Inputs!B6/12</f>
        <v>0</v>
      </c>
      <c r="S251">
        <f t="shared" si="128"/>
        <v>0</v>
      </c>
      <c r="T251">
        <f t="shared" si="129"/>
        <v>6.3175698175204384E-4</v>
      </c>
      <c r="U251">
        <f t="shared" si="130"/>
        <v>0</v>
      </c>
      <c r="V251">
        <f t="shared" si="131"/>
        <v>6.3175698175204384E-4</v>
      </c>
      <c r="W251">
        <f t="shared" si="132"/>
        <v>1.3925189023696534E-2</v>
      </c>
      <c r="X251">
        <f t="shared" si="133"/>
        <v>0</v>
      </c>
      <c r="Y251">
        <f t="shared" si="134"/>
        <v>0</v>
      </c>
      <c r="Z251">
        <f t="shared" si="135"/>
        <v>0</v>
      </c>
      <c r="AA251">
        <f t="shared" si="136"/>
        <v>0</v>
      </c>
      <c r="AB251">
        <f t="shared" si="137"/>
        <v>0</v>
      </c>
      <c r="AC251">
        <f t="shared" si="138"/>
        <v>1.3925189023696534E-2</v>
      </c>
      <c r="AD251">
        <f t="shared" si="139"/>
        <v>0</v>
      </c>
      <c r="AE251">
        <f t="shared" si="140"/>
        <v>1.3925189023696534E-2</v>
      </c>
      <c r="AF251">
        <f t="shared" si="141"/>
        <v>0</v>
      </c>
      <c r="AG251">
        <f t="shared" si="142"/>
        <v>1.3925189023696534E-2</v>
      </c>
      <c r="AH251">
        <f t="shared" si="143"/>
        <v>1.3925189023696534E-2</v>
      </c>
      <c r="AI251">
        <f t="shared" si="144"/>
        <v>0</v>
      </c>
      <c r="AJ251">
        <f t="shared" si="145"/>
        <v>0</v>
      </c>
      <c r="AK251">
        <f t="shared" si="146"/>
        <v>1.3925189023696534E-2</v>
      </c>
      <c r="AL251">
        <f t="shared" si="147"/>
        <v>0</v>
      </c>
      <c r="AM251">
        <f t="shared" si="148"/>
        <v>0</v>
      </c>
      <c r="AN251">
        <f t="shared" si="149"/>
        <v>1.3925189023696534E-2</v>
      </c>
      <c r="AO251">
        <f t="shared" si="150"/>
        <v>0</v>
      </c>
      <c r="AP251">
        <f t="shared" si="151"/>
        <v>0</v>
      </c>
      <c r="AQ251">
        <f t="shared" si="152"/>
        <v>0</v>
      </c>
      <c r="AR251">
        <f t="shared" si="153"/>
        <v>0.13589962379303755</v>
      </c>
      <c r="AS251">
        <f t="shared" si="154"/>
        <v>0</v>
      </c>
      <c r="AT251">
        <f t="shared" si="155"/>
        <v>0</v>
      </c>
      <c r="AU251">
        <f t="shared" si="156"/>
        <v>0</v>
      </c>
    </row>
    <row r="252" spans="1:47" x14ac:dyDescent="0.2">
      <c r="A252">
        <v>251</v>
      </c>
      <c r="B252">
        <f>PoolStates_V2!B252</f>
        <v>0</v>
      </c>
      <c r="C252">
        <f>PoolStates_V2!S252</f>
        <v>5.7292813266177924E-4</v>
      </c>
      <c r="D252">
        <f>PoolStates_V2!T252</f>
        <v>1.2676034828305262E-2</v>
      </c>
      <c r="E252">
        <f>PoolStates_V2!Q252</f>
        <v>6.6785561966036692E-6</v>
      </c>
      <c r="F252">
        <f t="shared" si="157"/>
        <v>0</v>
      </c>
      <c r="G252">
        <f t="shared" si="158"/>
        <v>0</v>
      </c>
      <c r="H252">
        <f t="shared" si="159"/>
        <v>0.13589962379303755</v>
      </c>
      <c r="I252">
        <f t="shared" si="120"/>
        <v>6.6785561966036692E-6</v>
      </c>
      <c r="J252">
        <f t="shared" si="121"/>
        <v>0</v>
      </c>
      <c r="K252">
        <f t="shared" si="122"/>
        <v>0</v>
      </c>
      <c r="L252">
        <f t="shared" si="123"/>
        <v>0</v>
      </c>
      <c r="M252">
        <f t="shared" si="124"/>
        <v>0</v>
      </c>
      <c r="N252">
        <f t="shared" si="125"/>
        <v>0</v>
      </c>
      <c r="O252">
        <f t="shared" si="126"/>
        <v>0.13589294523684095</v>
      </c>
      <c r="P252">
        <f>M252*Inputs!B6/12</f>
        <v>0</v>
      </c>
      <c r="Q252">
        <f t="shared" si="127"/>
        <v>0</v>
      </c>
      <c r="R252">
        <f>N252*Inputs!B6/12</f>
        <v>0</v>
      </c>
      <c r="S252">
        <f t="shared" si="128"/>
        <v>0</v>
      </c>
      <c r="T252">
        <f t="shared" si="129"/>
        <v>5.7292813266177924E-4</v>
      </c>
      <c r="U252">
        <f t="shared" si="130"/>
        <v>0</v>
      </c>
      <c r="V252">
        <f t="shared" si="131"/>
        <v>5.7292813266177924E-4</v>
      </c>
      <c r="W252">
        <f t="shared" si="132"/>
        <v>1.2676034828305262E-2</v>
      </c>
      <c r="X252">
        <f t="shared" si="133"/>
        <v>0</v>
      </c>
      <c r="Y252">
        <f t="shared" si="134"/>
        <v>0</v>
      </c>
      <c r="Z252">
        <f t="shared" si="135"/>
        <v>0</v>
      </c>
      <c r="AA252">
        <f t="shared" si="136"/>
        <v>0</v>
      </c>
      <c r="AB252">
        <f t="shared" si="137"/>
        <v>0</v>
      </c>
      <c r="AC252">
        <f t="shared" si="138"/>
        <v>1.2676034828305262E-2</v>
      </c>
      <c r="AD252">
        <f t="shared" si="139"/>
        <v>0</v>
      </c>
      <c r="AE252">
        <f t="shared" si="140"/>
        <v>1.2676034828305262E-2</v>
      </c>
      <c r="AF252">
        <f t="shared" si="141"/>
        <v>0</v>
      </c>
      <c r="AG252">
        <f t="shared" si="142"/>
        <v>1.2676034828305262E-2</v>
      </c>
      <c r="AH252">
        <f t="shared" si="143"/>
        <v>1.2676034828305262E-2</v>
      </c>
      <c r="AI252">
        <f t="shared" si="144"/>
        <v>0</v>
      </c>
      <c r="AJ252">
        <f t="shared" si="145"/>
        <v>0</v>
      </c>
      <c r="AK252">
        <f t="shared" si="146"/>
        <v>1.2676034828305262E-2</v>
      </c>
      <c r="AL252">
        <f t="shared" si="147"/>
        <v>0</v>
      </c>
      <c r="AM252">
        <f t="shared" si="148"/>
        <v>0</v>
      </c>
      <c r="AN252">
        <f t="shared" si="149"/>
        <v>1.2676034828305262E-2</v>
      </c>
      <c r="AO252">
        <f t="shared" si="150"/>
        <v>0</v>
      </c>
      <c r="AP252">
        <f t="shared" si="151"/>
        <v>0</v>
      </c>
      <c r="AQ252">
        <f t="shared" si="152"/>
        <v>0</v>
      </c>
      <c r="AR252">
        <f t="shared" si="153"/>
        <v>0.12321691040853569</v>
      </c>
      <c r="AS252">
        <f t="shared" si="154"/>
        <v>0</v>
      </c>
      <c r="AT252">
        <f t="shared" si="155"/>
        <v>0</v>
      </c>
      <c r="AU252">
        <f t="shared" si="156"/>
        <v>0</v>
      </c>
    </row>
    <row r="253" spans="1:47" x14ac:dyDescent="0.2">
      <c r="A253">
        <v>252</v>
      </c>
      <c r="B253">
        <f>PoolStates_V2!B253</f>
        <v>0</v>
      </c>
      <c r="C253">
        <f>PoolStates_V2!S253</f>
        <v>5.1938150083945549E-4</v>
      </c>
      <c r="D253">
        <f>PoolStates_V2!T253</f>
        <v>1.1536191949655734E-2</v>
      </c>
      <c r="E253">
        <f>PoolStates_V2!Q253</f>
        <v>6.0862572685286138E-6</v>
      </c>
      <c r="F253">
        <f t="shared" si="157"/>
        <v>0</v>
      </c>
      <c r="G253">
        <f t="shared" si="158"/>
        <v>0</v>
      </c>
      <c r="H253">
        <f t="shared" si="159"/>
        <v>0.12321691040853569</v>
      </c>
      <c r="I253">
        <f t="shared" si="120"/>
        <v>6.0862572685286138E-6</v>
      </c>
      <c r="J253">
        <f t="shared" si="121"/>
        <v>0</v>
      </c>
      <c r="K253">
        <f t="shared" si="122"/>
        <v>0</v>
      </c>
      <c r="L253">
        <f t="shared" si="123"/>
        <v>0</v>
      </c>
      <c r="M253">
        <f t="shared" si="124"/>
        <v>0</v>
      </c>
      <c r="N253">
        <f t="shared" si="125"/>
        <v>0</v>
      </c>
      <c r="O253">
        <f t="shared" si="126"/>
        <v>0.12321082415126716</v>
      </c>
      <c r="P253">
        <f>M253*Inputs!B6/12</f>
        <v>0</v>
      </c>
      <c r="Q253">
        <f t="shared" si="127"/>
        <v>0</v>
      </c>
      <c r="R253">
        <f>N253*Inputs!B6/12</f>
        <v>0</v>
      </c>
      <c r="S253">
        <f t="shared" si="128"/>
        <v>0</v>
      </c>
      <c r="T253">
        <f t="shared" si="129"/>
        <v>5.1938150083945549E-4</v>
      </c>
      <c r="U253">
        <f t="shared" si="130"/>
        <v>0</v>
      </c>
      <c r="V253">
        <f t="shared" si="131"/>
        <v>5.1938150083945549E-4</v>
      </c>
      <c r="W253">
        <f t="shared" si="132"/>
        <v>1.1536191949655734E-2</v>
      </c>
      <c r="X253">
        <f t="shared" si="133"/>
        <v>0</v>
      </c>
      <c r="Y253">
        <f t="shared" si="134"/>
        <v>0</v>
      </c>
      <c r="Z253">
        <f t="shared" si="135"/>
        <v>0</v>
      </c>
      <c r="AA253">
        <f t="shared" si="136"/>
        <v>0</v>
      </c>
      <c r="AB253">
        <f t="shared" si="137"/>
        <v>0</v>
      </c>
      <c r="AC253">
        <f t="shared" si="138"/>
        <v>1.1536191949655734E-2</v>
      </c>
      <c r="AD253">
        <f t="shared" si="139"/>
        <v>0</v>
      </c>
      <c r="AE253">
        <f t="shared" si="140"/>
        <v>1.1536191949655734E-2</v>
      </c>
      <c r="AF253">
        <f t="shared" si="141"/>
        <v>0</v>
      </c>
      <c r="AG253">
        <f t="shared" si="142"/>
        <v>1.1536191949655734E-2</v>
      </c>
      <c r="AH253">
        <f t="shared" si="143"/>
        <v>1.1536191949655734E-2</v>
      </c>
      <c r="AI253">
        <f t="shared" si="144"/>
        <v>0</v>
      </c>
      <c r="AJ253">
        <f t="shared" si="145"/>
        <v>0</v>
      </c>
      <c r="AK253">
        <f t="shared" si="146"/>
        <v>1.1536191949655734E-2</v>
      </c>
      <c r="AL253">
        <f t="shared" si="147"/>
        <v>0</v>
      </c>
      <c r="AM253">
        <f t="shared" si="148"/>
        <v>0</v>
      </c>
      <c r="AN253">
        <f t="shared" si="149"/>
        <v>1.1536191949655734E-2</v>
      </c>
      <c r="AO253">
        <f t="shared" si="150"/>
        <v>0</v>
      </c>
      <c r="AP253">
        <f t="shared" si="151"/>
        <v>0</v>
      </c>
      <c r="AQ253">
        <f t="shared" si="152"/>
        <v>0</v>
      </c>
      <c r="AR253">
        <f t="shared" si="153"/>
        <v>0.11167463220161143</v>
      </c>
      <c r="AS253">
        <f t="shared" si="154"/>
        <v>0</v>
      </c>
      <c r="AT253">
        <f t="shared" si="155"/>
        <v>0</v>
      </c>
      <c r="AU253">
        <f t="shared" si="156"/>
        <v>0</v>
      </c>
    </row>
    <row r="254" spans="1:47" x14ac:dyDescent="0.2">
      <c r="A254">
        <v>253</v>
      </c>
      <c r="B254">
        <f>PoolStates_V2!B254</f>
        <v>0</v>
      </c>
      <c r="C254">
        <f>PoolStates_V2!S254</f>
        <v>4.706545338203572E-4</v>
      </c>
      <c r="D254">
        <f>PoolStates_V2!T254</f>
        <v>1.0496267203519666E-2</v>
      </c>
      <c r="E254">
        <f>PoolStates_V2!Q254</f>
        <v>5.5453554496536299E-6</v>
      </c>
      <c r="F254">
        <f t="shared" si="157"/>
        <v>0</v>
      </c>
      <c r="G254">
        <f t="shared" si="158"/>
        <v>0</v>
      </c>
      <c r="H254">
        <f t="shared" si="159"/>
        <v>0.11167463220161143</v>
      </c>
      <c r="I254">
        <f t="shared" si="120"/>
        <v>5.5453554496536299E-6</v>
      </c>
      <c r="J254">
        <f t="shared" si="121"/>
        <v>0</v>
      </c>
      <c r="K254">
        <f t="shared" si="122"/>
        <v>0</v>
      </c>
      <c r="L254">
        <f t="shared" si="123"/>
        <v>0</v>
      </c>
      <c r="M254">
        <f t="shared" si="124"/>
        <v>0</v>
      </c>
      <c r="N254">
        <f t="shared" si="125"/>
        <v>0</v>
      </c>
      <c r="O254">
        <f t="shared" si="126"/>
        <v>0.11166908684616178</v>
      </c>
      <c r="P254">
        <f>M254*Inputs!B6/12</f>
        <v>0</v>
      </c>
      <c r="Q254">
        <f t="shared" si="127"/>
        <v>0</v>
      </c>
      <c r="R254">
        <f>N254*Inputs!B6/12</f>
        <v>0</v>
      </c>
      <c r="S254">
        <f t="shared" si="128"/>
        <v>0</v>
      </c>
      <c r="T254">
        <f t="shared" si="129"/>
        <v>4.706545338203572E-4</v>
      </c>
      <c r="U254">
        <f t="shared" si="130"/>
        <v>0</v>
      </c>
      <c r="V254">
        <f t="shared" si="131"/>
        <v>4.706545338203572E-4</v>
      </c>
      <c r="W254">
        <f t="shared" si="132"/>
        <v>1.0496267203519666E-2</v>
      </c>
      <c r="X254">
        <f t="shared" si="133"/>
        <v>0</v>
      </c>
      <c r="Y254">
        <f t="shared" si="134"/>
        <v>0</v>
      </c>
      <c r="Z254">
        <f t="shared" si="135"/>
        <v>0</v>
      </c>
      <c r="AA254">
        <f t="shared" si="136"/>
        <v>0</v>
      </c>
      <c r="AB254">
        <f t="shared" si="137"/>
        <v>0</v>
      </c>
      <c r="AC254">
        <f t="shared" si="138"/>
        <v>1.0496267203519666E-2</v>
      </c>
      <c r="AD254">
        <f t="shared" si="139"/>
        <v>0</v>
      </c>
      <c r="AE254">
        <f t="shared" si="140"/>
        <v>1.0496267203519666E-2</v>
      </c>
      <c r="AF254">
        <f t="shared" si="141"/>
        <v>0</v>
      </c>
      <c r="AG254">
        <f t="shared" si="142"/>
        <v>1.0496267203519666E-2</v>
      </c>
      <c r="AH254">
        <f t="shared" si="143"/>
        <v>1.0496267203519666E-2</v>
      </c>
      <c r="AI254">
        <f t="shared" si="144"/>
        <v>0</v>
      </c>
      <c r="AJ254">
        <f t="shared" si="145"/>
        <v>0</v>
      </c>
      <c r="AK254">
        <f t="shared" si="146"/>
        <v>1.0496267203519666E-2</v>
      </c>
      <c r="AL254">
        <f t="shared" si="147"/>
        <v>0</v>
      </c>
      <c r="AM254">
        <f t="shared" si="148"/>
        <v>0</v>
      </c>
      <c r="AN254">
        <f t="shared" si="149"/>
        <v>1.0496267203519666E-2</v>
      </c>
      <c r="AO254">
        <f t="shared" si="150"/>
        <v>0</v>
      </c>
      <c r="AP254">
        <f t="shared" si="151"/>
        <v>0</v>
      </c>
      <c r="AQ254">
        <f t="shared" si="152"/>
        <v>0</v>
      </c>
      <c r="AR254">
        <f t="shared" si="153"/>
        <v>0.10117281964264212</v>
      </c>
      <c r="AS254">
        <f t="shared" si="154"/>
        <v>0</v>
      </c>
      <c r="AT254">
        <f t="shared" si="155"/>
        <v>0</v>
      </c>
      <c r="AU254">
        <f t="shared" si="156"/>
        <v>0</v>
      </c>
    </row>
    <row r="255" spans="1:47" x14ac:dyDescent="0.2">
      <c r="A255">
        <v>254</v>
      </c>
      <c r="B255">
        <f>PoolStates_V2!B255</f>
        <v>0</v>
      </c>
      <c r="C255">
        <f>PoolStates_V2!S255</f>
        <v>4.2632444692333521E-4</v>
      </c>
      <c r="D255">
        <f>PoolStates_V2!T255</f>
        <v>9.5476634273584434E-3</v>
      </c>
      <c r="E255">
        <f>PoolStates_V2!Q255</f>
        <v>5.0514623941790894E-6</v>
      </c>
      <c r="F255">
        <f t="shared" si="157"/>
        <v>0</v>
      </c>
      <c r="G255">
        <f t="shared" si="158"/>
        <v>0</v>
      </c>
      <c r="H255">
        <f t="shared" si="159"/>
        <v>0.10117281964264212</v>
      </c>
      <c r="I255">
        <f t="shared" si="120"/>
        <v>5.0514623941790894E-6</v>
      </c>
      <c r="J255">
        <f t="shared" si="121"/>
        <v>0</v>
      </c>
      <c r="K255">
        <f t="shared" si="122"/>
        <v>0</v>
      </c>
      <c r="L255">
        <f t="shared" si="123"/>
        <v>0</v>
      </c>
      <c r="M255">
        <f t="shared" si="124"/>
        <v>0</v>
      </c>
      <c r="N255">
        <f t="shared" si="125"/>
        <v>0</v>
      </c>
      <c r="O255">
        <f t="shared" si="126"/>
        <v>0.10116776818024793</v>
      </c>
      <c r="P255">
        <f>M255*Inputs!B6/12</f>
        <v>0</v>
      </c>
      <c r="Q255">
        <f t="shared" si="127"/>
        <v>0</v>
      </c>
      <c r="R255">
        <f>N255*Inputs!B6/12</f>
        <v>0</v>
      </c>
      <c r="S255">
        <f t="shared" si="128"/>
        <v>0</v>
      </c>
      <c r="T255">
        <f t="shared" si="129"/>
        <v>4.2632444692333521E-4</v>
      </c>
      <c r="U255">
        <f t="shared" si="130"/>
        <v>0</v>
      </c>
      <c r="V255">
        <f t="shared" si="131"/>
        <v>4.2632444692333521E-4</v>
      </c>
      <c r="W255">
        <f t="shared" si="132"/>
        <v>9.5476634273584434E-3</v>
      </c>
      <c r="X255">
        <f t="shared" si="133"/>
        <v>0</v>
      </c>
      <c r="Y255">
        <f t="shared" si="134"/>
        <v>0</v>
      </c>
      <c r="Z255">
        <f t="shared" si="135"/>
        <v>0</v>
      </c>
      <c r="AA255">
        <f t="shared" si="136"/>
        <v>0</v>
      </c>
      <c r="AB255">
        <f t="shared" si="137"/>
        <v>0</v>
      </c>
      <c r="AC255">
        <f t="shared" si="138"/>
        <v>9.5476634273584434E-3</v>
      </c>
      <c r="AD255">
        <f t="shared" si="139"/>
        <v>0</v>
      </c>
      <c r="AE255">
        <f t="shared" si="140"/>
        <v>9.5476634273584434E-3</v>
      </c>
      <c r="AF255">
        <f t="shared" si="141"/>
        <v>0</v>
      </c>
      <c r="AG255">
        <f t="shared" si="142"/>
        <v>9.5476634273584434E-3</v>
      </c>
      <c r="AH255">
        <f t="shared" si="143"/>
        <v>9.5476634273584434E-3</v>
      </c>
      <c r="AI255">
        <f t="shared" si="144"/>
        <v>0</v>
      </c>
      <c r="AJ255">
        <f t="shared" si="145"/>
        <v>0</v>
      </c>
      <c r="AK255">
        <f t="shared" si="146"/>
        <v>9.5476634273584434E-3</v>
      </c>
      <c r="AL255">
        <f t="shared" si="147"/>
        <v>0</v>
      </c>
      <c r="AM255">
        <f t="shared" si="148"/>
        <v>0</v>
      </c>
      <c r="AN255">
        <f t="shared" si="149"/>
        <v>9.5476634273584434E-3</v>
      </c>
      <c r="AO255">
        <f t="shared" si="150"/>
        <v>0</v>
      </c>
      <c r="AP255">
        <f t="shared" si="151"/>
        <v>0</v>
      </c>
      <c r="AQ255">
        <f t="shared" si="152"/>
        <v>0</v>
      </c>
      <c r="AR255">
        <f t="shared" si="153"/>
        <v>9.1620104752889495E-2</v>
      </c>
      <c r="AS255">
        <f t="shared" si="154"/>
        <v>0</v>
      </c>
      <c r="AT255">
        <f t="shared" si="155"/>
        <v>0</v>
      </c>
      <c r="AU255">
        <f t="shared" si="156"/>
        <v>0</v>
      </c>
    </row>
    <row r="256" spans="1:47" x14ac:dyDescent="0.2">
      <c r="A256">
        <v>255</v>
      </c>
      <c r="B256">
        <f>PoolStates_V2!B256</f>
        <v>0</v>
      </c>
      <c r="C256">
        <f>PoolStates_V2!S256</f>
        <v>3.8600485179815763E-4</v>
      </c>
      <c r="D256">
        <f>PoolStates_V2!T256</f>
        <v>8.6825127573790135E-3</v>
      </c>
      <c r="E256">
        <f>PoolStates_V2!Q256</f>
        <v>4.6005597693951677E-6</v>
      </c>
      <c r="F256">
        <f t="shared" si="157"/>
        <v>0</v>
      </c>
      <c r="G256">
        <f t="shared" si="158"/>
        <v>0</v>
      </c>
      <c r="H256">
        <f t="shared" si="159"/>
        <v>9.1620104752889495E-2</v>
      </c>
      <c r="I256">
        <f t="shared" si="120"/>
        <v>4.6005597693951677E-6</v>
      </c>
      <c r="J256">
        <f t="shared" si="121"/>
        <v>0</v>
      </c>
      <c r="K256">
        <f t="shared" si="122"/>
        <v>0</v>
      </c>
      <c r="L256">
        <f t="shared" si="123"/>
        <v>0</v>
      </c>
      <c r="M256">
        <f t="shared" si="124"/>
        <v>0</v>
      </c>
      <c r="N256">
        <f t="shared" si="125"/>
        <v>0</v>
      </c>
      <c r="O256">
        <f t="shared" si="126"/>
        <v>9.1615504193120104E-2</v>
      </c>
      <c r="P256">
        <f>M256*Inputs!B6/12</f>
        <v>0</v>
      </c>
      <c r="Q256">
        <f t="shared" si="127"/>
        <v>0</v>
      </c>
      <c r="R256">
        <f>N256*Inputs!B6/12</f>
        <v>0</v>
      </c>
      <c r="S256">
        <f t="shared" si="128"/>
        <v>0</v>
      </c>
      <c r="T256">
        <f t="shared" si="129"/>
        <v>3.8600485179815763E-4</v>
      </c>
      <c r="U256">
        <f t="shared" si="130"/>
        <v>0</v>
      </c>
      <c r="V256">
        <f t="shared" si="131"/>
        <v>3.8600485179815763E-4</v>
      </c>
      <c r="W256">
        <f t="shared" si="132"/>
        <v>8.6825127573790135E-3</v>
      </c>
      <c r="X256">
        <f t="shared" si="133"/>
        <v>0</v>
      </c>
      <c r="Y256">
        <f t="shared" si="134"/>
        <v>0</v>
      </c>
      <c r="Z256">
        <f t="shared" si="135"/>
        <v>0</v>
      </c>
      <c r="AA256">
        <f t="shared" si="136"/>
        <v>0</v>
      </c>
      <c r="AB256">
        <f t="shared" si="137"/>
        <v>0</v>
      </c>
      <c r="AC256">
        <f t="shared" si="138"/>
        <v>8.6825127573790135E-3</v>
      </c>
      <c r="AD256">
        <f t="shared" si="139"/>
        <v>0</v>
      </c>
      <c r="AE256">
        <f t="shared" si="140"/>
        <v>8.6825127573790135E-3</v>
      </c>
      <c r="AF256">
        <f t="shared" si="141"/>
        <v>0</v>
      </c>
      <c r="AG256">
        <f t="shared" si="142"/>
        <v>8.6825127573790135E-3</v>
      </c>
      <c r="AH256">
        <f t="shared" si="143"/>
        <v>8.6825127573790135E-3</v>
      </c>
      <c r="AI256">
        <f t="shared" si="144"/>
        <v>0</v>
      </c>
      <c r="AJ256">
        <f t="shared" si="145"/>
        <v>0</v>
      </c>
      <c r="AK256">
        <f t="shared" si="146"/>
        <v>8.6825127573790135E-3</v>
      </c>
      <c r="AL256">
        <f t="shared" si="147"/>
        <v>0</v>
      </c>
      <c r="AM256">
        <f t="shared" si="148"/>
        <v>0</v>
      </c>
      <c r="AN256">
        <f t="shared" si="149"/>
        <v>8.6825127573790135E-3</v>
      </c>
      <c r="AO256">
        <f t="shared" si="150"/>
        <v>0</v>
      </c>
      <c r="AP256">
        <f t="shared" si="151"/>
        <v>0</v>
      </c>
      <c r="AQ256">
        <f t="shared" si="152"/>
        <v>0</v>
      </c>
      <c r="AR256">
        <f t="shared" si="153"/>
        <v>8.2932991435741094E-2</v>
      </c>
      <c r="AS256">
        <f t="shared" si="154"/>
        <v>0</v>
      </c>
      <c r="AT256">
        <f t="shared" si="155"/>
        <v>0</v>
      </c>
      <c r="AU256">
        <f t="shared" si="156"/>
        <v>0</v>
      </c>
    </row>
    <row r="257" spans="1:47" x14ac:dyDescent="0.2">
      <c r="A257">
        <v>256</v>
      </c>
      <c r="B257">
        <f>PoolStates_V2!B257</f>
        <v>0</v>
      </c>
      <c r="C257">
        <f>PoolStates_V2!S257</f>
        <v>3.4934266766016331E-4</v>
      </c>
      <c r="D257">
        <f>PoolStates_V2!T257</f>
        <v>7.8936154490846597E-3</v>
      </c>
      <c r="E257">
        <f>PoolStates_V2!Q257</f>
        <v>4.1889683671175167E-6</v>
      </c>
      <c r="F257">
        <f t="shared" si="157"/>
        <v>0</v>
      </c>
      <c r="G257">
        <f t="shared" si="158"/>
        <v>0</v>
      </c>
      <c r="H257">
        <f t="shared" si="159"/>
        <v>8.2932991435741094E-2</v>
      </c>
      <c r="I257">
        <f t="shared" si="120"/>
        <v>4.1889683671175167E-6</v>
      </c>
      <c r="J257">
        <f t="shared" si="121"/>
        <v>0</v>
      </c>
      <c r="K257">
        <f t="shared" si="122"/>
        <v>0</v>
      </c>
      <c r="L257">
        <f t="shared" si="123"/>
        <v>0</v>
      </c>
      <c r="M257">
        <f t="shared" si="124"/>
        <v>0</v>
      </c>
      <c r="N257">
        <f t="shared" si="125"/>
        <v>0</v>
      </c>
      <c r="O257">
        <f t="shared" si="126"/>
        <v>8.2928802467373983E-2</v>
      </c>
      <c r="P257">
        <f>M257*Inputs!B6/12</f>
        <v>0</v>
      </c>
      <c r="Q257">
        <f t="shared" si="127"/>
        <v>0</v>
      </c>
      <c r="R257">
        <f>N257*Inputs!B6/12</f>
        <v>0</v>
      </c>
      <c r="S257">
        <f t="shared" si="128"/>
        <v>0</v>
      </c>
      <c r="T257">
        <f t="shared" si="129"/>
        <v>3.4934266766016331E-4</v>
      </c>
      <c r="U257">
        <f t="shared" si="130"/>
        <v>0</v>
      </c>
      <c r="V257">
        <f t="shared" si="131"/>
        <v>3.4934266766016331E-4</v>
      </c>
      <c r="W257">
        <f t="shared" si="132"/>
        <v>7.8936154490846597E-3</v>
      </c>
      <c r="X257">
        <f t="shared" si="133"/>
        <v>0</v>
      </c>
      <c r="Y257">
        <f t="shared" si="134"/>
        <v>0</v>
      </c>
      <c r="Z257">
        <f t="shared" si="135"/>
        <v>0</v>
      </c>
      <c r="AA257">
        <f t="shared" si="136"/>
        <v>0</v>
      </c>
      <c r="AB257">
        <f t="shared" si="137"/>
        <v>0</v>
      </c>
      <c r="AC257">
        <f t="shared" si="138"/>
        <v>7.8936154490846597E-3</v>
      </c>
      <c r="AD257">
        <f t="shared" si="139"/>
        <v>0</v>
      </c>
      <c r="AE257">
        <f t="shared" si="140"/>
        <v>7.8936154490846597E-3</v>
      </c>
      <c r="AF257">
        <f t="shared" si="141"/>
        <v>0</v>
      </c>
      <c r="AG257">
        <f t="shared" si="142"/>
        <v>7.8936154490846597E-3</v>
      </c>
      <c r="AH257">
        <f t="shared" si="143"/>
        <v>7.8936154490846597E-3</v>
      </c>
      <c r="AI257">
        <f t="shared" si="144"/>
        <v>0</v>
      </c>
      <c r="AJ257">
        <f t="shared" si="145"/>
        <v>0</v>
      </c>
      <c r="AK257">
        <f t="shared" si="146"/>
        <v>7.8936154490846597E-3</v>
      </c>
      <c r="AL257">
        <f t="shared" si="147"/>
        <v>0</v>
      </c>
      <c r="AM257">
        <f t="shared" si="148"/>
        <v>0</v>
      </c>
      <c r="AN257">
        <f t="shared" si="149"/>
        <v>7.8936154490846597E-3</v>
      </c>
      <c r="AO257">
        <f t="shared" si="150"/>
        <v>0</v>
      </c>
      <c r="AP257">
        <f t="shared" si="151"/>
        <v>0</v>
      </c>
      <c r="AQ257">
        <f t="shared" si="152"/>
        <v>0</v>
      </c>
      <c r="AR257">
        <f t="shared" si="153"/>
        <v>7.5035187018289318E-2</v>
      </c>
      <c r="AS257">
        <f t="shared" si="154"/>
        <v>0</v>
      </c>
      <c r="AT257">
        <f t="shared" si="155"/>
        <v>0</v>
      </c>
      <c r="AU257">
        <f t="shared" si="156"/>
        <v>0</v>
      </c>
    </row>
    <row r="258" spans="1:47" x14ac:dyDescent="0.2">
      <c r="A258">
        <v>257</v>
      </c>
      <c r="B258">
        <f>PoolStates_V2!B258</f>
        <v>0</v>
      </c>
      <c r="C258">
        <f>PoolStates_V2!S258</f>
        <v>3.1601529171976271E-4</v>
      </c>
      <c r="D258">
        <f>PoolStates_V2!T258</f>
        <v>7.1743837841032228E-3</v>
      </c>
      <c r="E258">
        <f>PoolStates_V2!Q258</f>
        <v>3.8133197728095582E-6</v>
      </c>
      <c r="F258">
        <f t="shared" si="157"/>
        <v>0</v>
      </c>
      <c r="G258">
        <f t="shared" si="158"/>
        <v>0</v>
      </c>
      <c r="H258">
        <f t="shared" si="159"/>
        <v>7.5035187018289318E-2</v>
      </c>
      <c r="I258">
        <f t="shared" ref="I258:I321" si="160">MIN(E258,H258)</f>
        <v>3.8133197728095582E-6</v>
      </c>
      <c r="J258">
        <f t="shared" ref="J258:J321" si="161">MIN(MAX(E258-I258,0),G258)</f>
        <v>0</v>
      </c>
      <c r="K258">
        <f t="shared" ref="K258:K321" si="162">MIN(MAX(E258-I258-J258,0),F258)</f>
        <v>0</v>
      </c>
      <c r="L258">
        <f t="shared" ref="L258:L321" si="163">MAX(E258-I258-J258-K258,0)</f>
        <v>0</v>
      </c>
      <c r="M258">
        <f t="shared" ref="M258:M321" si="164">MAX(F258-K258,0)</f>
        <v>0</v>
      </c>
      <c r="N258">
        <f t="shared" ref="N258:N321" si="165">MAX(G258-J258,0)</f>
        <v>0</v>
      </c>
      <c r="O258">
        <f t="shared" ref="O258:O321" si="166">MAX(H258-I258,0)</f>
        <v>7.5031373698516507E-2</v>
      </c>
      <c r="P258">
        <f>M258*Inputs!B6/12</f>
        <v>0</v>
      </c>
      <c r="Q258">
        <f t="shared" ref="Q258:Q321" si="167">MIN(C258,P258)</f>
        <v>0</v>
      </c>
      <c r="R258">
        <f>N258*Inputs!B6/12</f>
        <v>0</v>
      </c>
      <c r="S258">
        <f t="shared" ref="S258:S321" si="168">MIN(MAX(C258-Q258,0),R258)</f>
        <v>0</v>
      </c>
      <c r="T258">
        <f t="shared" ref="T258:T321" si="169">MAX(C258-Q258-S258,0)</f>
        <v>3.1601529171976271E-4</v>
      </c>
      <c r="U258">
        <f t="shared" ref="U258:U321" si="170">IF(B258=1,T258,0)</f>
        <v>0</v>
      </c>
      <c r="V258">
        <f t="shared" ref="V258:V321" si="171">T258-U258</f>
        <v>3.1601529171976271E-4</v>
      </c>
      <c r="W258">
        <f t="shared" ref="W258:W321" si="172">D258+U258</f>
        <v>7.1743837841032228E-3</v>
      </c>
      <c r="X258">
        <f t="shared" ref="X258:X321" si="173">M258+N258</f>
        <v>0</v>
      </c>
      <c r="Y258">
        <f t="shared" ref="Y258:Y321" si="174">IF(X258&gt;0,W258*(M258/X258),0)</f>
        <v>0</v>
      </c>
      <c r="Z258">
        <f t="shared" ref="Z258:Z321" si="175">IF(X258&gt;0,W258-Y258,0)</f>
        <v>0</v>
      </c>
      <c r="AA258">
        <f t="shared" ref="AA258:AA321" si="176">MIN(Y258,M258)</f>
        <v>0</v>
      </c>
      <c r="AB258">
        <f t="shared" ref="AB258:AB321" si="177">MIN(Z258,N258)</f>
        <v>0</v>
      </c>
      <c r="AC258">
        <f t="shared" ref="AC258:AC321" si="178">MAX(W258-AA258-AB258,0)</f>
        <v>7.1743837841032228E-3</v>
      </c>
      <c r="AD258">
        <f t="shared" ref="AD258:AD321" si="179">MIN(AC258,MAX(M258-AA258,0))</f>
        <v>0</v>
      </c>
      <c r="AE258">
        <f t="shared" ref="AE258:AE321" si="180">MAX(AC258-AD258,0)</f>
        <v>7.1743837841032228E-3</v>
      </c>
      <c r="AF258">
        <f t="shared" ref="AF258:AF321" si="181">MIN(AE258,MAX(N258-AB258,0))</f>
        <v>0</v>
      </c>
      <c r="AG258">
        <f t="shared" ref="AG258:AG321" si="182">MAX(AE258-AF258,0)</f>
        <v>7.1743837841032228E-3</v>
      </c>
      <c r="AH258">
        <f t="shared" ref="AH258:AH321" si="183">MIN(AG258,O258)</f>
        <v>7.1743837841032228E-3</v>
      </c>
      <c r="AI258">
        <f t="shared" ref="AI258:AI321" si="184">MIN(W258,M258)</f>
        <v>0</v>
      </c>
      <c r="AJ258">
        <f t="shared" ref="AJ258:AJ321" si="185">MIN(MAX(W258-AI258,0),N258)</f>
        <v>0</v>
      </c>
      <c r="AK258">
        <f t="shared" ref="AK258:AK321" si="186">MIN(MAX(W258-AI258-AJ258,0),O258)</f>
        <v>7.1743837841032228E-3</v>
      </c>
      <c r="AL258">
        <f t="shared" ref="AL258:AL321" si="187">IF(B258=1,AI258,AA258+AD258)</f>
        <v>0</v>
      </c>
      <c r="AM258">
        <f t="shared" ref="AM258:AM321" si="188">IF(B258=1,AJ258,AB258+AF258)</f>
        <v>0</v>
      </c>
      <c r="AN258">
        <f t="shared" ref="AN258:AN321" si="189">IF(B258=1,AK258,AH258)</f>
        <v>7.1743837841032228E-3</v>
      </c>
      <c r="AO258">
        <f t="shared" ref="AO258:AO321" si="190">MAX(W258-AL258-AM258-AN258,0)</f>
        <v>0</v>
      </c>
      <c r="AP258">
        <f t="shared" ref="AP258:AP321" si="191">MAX(M258-AL258,0)</f>
        <v>0</v>
      </c>
      <c r="AQ258">
        <f t="shared" ref="AQ258:AQ321" si="192">MAX(N258-AM258,0)</f>
        <v>0</v>
      </c>
      <c r="AR258">
        <f t="shared" ref="AR258:AR321" si="193">MAX(O258-AN258,0)</f>
        <v>6.7856989914413288E-2</v>
      </c>
      <c r="AS258">
        <f t="shared" ref="AS258:AS321" si="194">W258-(AL258+AM258+AN258+AO258)</f>
        <v>0</v>
      </c>
      <c r="AT258">
        <f t="shared" ref="AT258:AT321" si="195">C258-(Q258+S258+V258+U258)</f>
        <v>0</v>
      </c>
      <c r="AU258">
        <f t="shared" ref="AU258:AU321" si="196">E258-(I258+J258+K258+L258)</f>
        <v>0</v>
      </c>
    </row>
    <row r="259" spans="1:47" x14ac:dyDescent="0.2">
      <c r="A259">
        <v>258</v>
      </c>
      <c r="B259">
        <f>PoolStates_V2!B259</f>
        <v>0</v>
      </c>
      <c r="C259">
        <f>PoolStates_V2!S259</f>
        <v>2.8572800725237141E-4</v>
      </c>
      <c r="D259">
        <f>PoolStates_V2!T259</f>
        <v>6.5187906435571824E-3</v>
      </c>
      <c r="E259">
        <f>PoolStates_V2!Q259</f>
        <v>3.4705303820279355E-6</v>
      </c>
      <c r="F259">
        <f t="shared" ref="F259:F322" si="197">AP258</f>
        <v>0</v>
      </c>
      <c r="G259">
        <f t="shared" ref="G259:G322" si="198">AQ258</f>
        <v>0</v>
      </c>
      <c r="H259">
        <f t="shared" ref="H259:H322" si="199">AR258</f>
        <v>6.7856989914413288E-2</v>
      </c>
      <c r="I259">
        <f t="shared" si="160"/>
        <v>3.4705303820279355E-6</v>
      </c>
      <c r="J259">
        <f t="shared" si="161"/>
        <v>0</v>
      </c>
      <c r="K259">
        <f t="shared" si="162"/>
        <v>0</v>
      </c>
      <c r="L259">
        <f t="shared" si="163"/>
        <v>0</v>
      </c>
      <c r="M259">
        <f t="shared" si="164"/>
        <v>0</v>
      </c>
      <c r="N259">
        <f t="shared" si="165"/>
        <v>0</v>
      </c>
      <c r="O259">
        <f t="shared" si="166"/>
        <v>6.7853519384031266E-2</v>
      </c>
      <c r="P259">
        <f>M259*Inputs!B6/12</f>
        <v>0</v>
      </c>
      <c r="Q259">
        <f t="shared" si="167"/>
        <v>0</v>
      </c>
      <c r="R259">
        <f>N259*Inputs!B6/12</f>
        <v>0</v>
      </c>
      <c r="S259">
        <f t="shared" si="168"/>
        <v>0</v>
      </c>
      <c r="T259">
        <f t="shared" si="169"/>
        <v>2.8572800725237141E-4</v>
      </c>
      <c r="U259">
        <f t="shared" si="170"/>
        <v>0</v>
      </c>
      <c r="V259">
        <f t="shared" si="171"/>
        <v>2.8572800725237141E-4</v>
      </c>
      <c r="W259">
        <f t="shared" si="172"/>
        <v>6.5187906435571824E-3</v>
      </c>
      <c r="X259">
        <f t="shared" si="173"/>
        <v>0</v>
      </c>
      <c r="Y259">
        <f t="shared" si="174"/>
        <v>0</v>
      </c>
      <c r="Z259">
        <f t="shared" si="175"/>
        <v>0</v>
      </c>
      <c r="AA259">
        <f t="shared" si="176"/>
        <v>0</v>
      </c>
      <c r="AB259">
        <f t="shared" si="177"/>
        <v>0</v>
      </c>
      <c r="AC259">
        <f t="shared" si="178"/>
        <v>6.5187906435571824E-3</v>
      </c>
      <c r="AD259">
        <f t="shared" si="179"/>
        <v>0</v>
      </c>
      <c r="AE259">
        <f t="shared" si="180"/>
        <v>6.5187906435571824E-3</v>
      </c>
      <c r="AF259">
        <f t="shared" si="181"/>
        <v>0</v>
      </c>
      <c r="AG259">
        <f t="shared" si="182"/>
        <v>6.5187906435571824E-3</v>
      </c>
      <c r="AH259">
        <f t="shared" si="183"/>
        <v>6.5187906435571824E-3</v>
      </c>
      <c r="AI259">
        <f t="shared" si="184"/>
        <v>0</v>
      </c>
      <c r="AJ259">
        <f t="shared" si="185"/>
        <v>0</v>
      </c>
      <c r="AK259">
        <f t="shared" si="186"/>
        <v>6.5187906435571824E-3</v>
      </c>
      <c r="AL259">
        <f t="shared" si="187"/>
        <v>0</v>
      </c>
      <c r="AM259">
        <f t="shared" si="188"/>
        <v>0</v>
      </c>
      <c r="AN259">
        <f t="shared" si="189"/>
        <v>6.5187906435571824E-3</v>
      </c>
      <c r="AO259">
        <f t="shared" si="190"/>
        <v>0</v>
      </c>
      <c r="AP259">
        <f t="shared" si="191"/>
        <v>0</v>
      </c>
      <c r="AQ259">
        <f t="shared" si="192"/>
        <v>0</v>
      </c>
      <c r="AR259">
        <f t="shared" si="193"/>
        <v>6.1334728740474083E-2</v>
      </c>
      <c r="AS259">
        <f t="shared" si="194"/>
        <v>0</v>
      </c>
      <c r="AT259">
        <f t="shared" si="195"/>
        <v>0</v>
      </c>
      <c r="AU259">
        <f t="shared" si="196"/>
        <v>0</v>
      </c>
    </row>
    <row r="260" spans="1:47" x14ac:dyDescent="0.2">
      <c r="A260">
        <v>259</v>
      </c>
      <c r="B260">
        <f>PoolStates_V2!B260</f>
        <v>0</v>
      </c>
      <c r="C260">
        <f>PoolStates_V2!S260</f>
        <v>2.5821160953348564E-4</v>
      </c>
      <c r="D260">
        <f>PoolStates_V2!T260</f>
        <v>5.9213223626652899E-3</v>
      </c>
      <c r="E260">
        <f>PoolStates_V2!Q260</f>
        <v>3.1577775710317139E-6</v>
      </c>
      <c r="F260">
        <f t="shared" si="197"/>
        <v>0</v>
      </c>
      <c r="G260">
        <f t="shared" si="198"/>
        <v>0</v>
      </c>
      <c r="H260">
        <f t="shared" si="199"/>
        <v>6.1334728740474083E-2</v>
      </c>
      <c r="I260">
        <f t="shared" si="160"/>
        <v>3.1577775710317139E-6</v>
      </c>
      <c r="J260">
        <f t="shared" si="161"/>
        <v>0</v>
      </c>
      <c r="K260">
        <f t="shared" si="162"/>
        <v>0</v>
      </c>
      <c r="L260">
        <f t="shared" si="163"/>
        <v>0</v>
      </c>
      <c r="M260">
        <f t="shared" si="164"/>
        <v>0</v>
      </c>
      <c r="N260">
        <f t="shared" si="165"/>
        <v>0</v>
      </c>
      <c r="O260">
        <f t="shared" si="166"/>
        <v>6.1331570962903051E-2</v>
      </c>
      <c r="P260">
        <f>M260*Inputs!B6/12</f>
        <v>0</v>
      </c>
      <c r="Q260">
        <f t="shared" si="167"/>
        <v>0</v>
      </c>
      <c r="R260">
        <f>N260*Inputs!B6/12</f>
        <v>0</v>
      </c>
      <c r="S260">
        <f t="shared" si="168"/>
        <v>0</v>
      </c>
      <c r="T260">
        <f t="shared" si="169"/>
        <v>2.5821160953348564E-4</v>
      </c>
      <c r="U260">
        <f t="shared" si="170"/>
        <v>0</v>
      </c>
      <c r="V260">
        <f t="shared" si="171"/>
        <v>2.5821160953348564E-4</v>
      </c>
      <c r="W260">
        <f t="shared" si="172"/>
        <v>5.9213223626652899E-3</v>
      </c>
      <c r="X260">
        <f t="shared" si="173"/>
        <v>0</v>
      </c>
      <c r="Y260">
        <f t="shared" si="174"/>
        <v>0</v>
      </c>
      <c r="Z260">
        <f t="shared" si="175"/>
        <v>0</v>
      </c>
      <c r="AA260">
        <f t="shared" si="176"/>
        <v>0</v>
      </c>
      <c r="AB260">
        <f t="shared" si="177"/>
        <v>0</v>
      </c>
      <c r="AC260">
        <f t="shared" si="178"/>
        <v>5.9213223626652899E-3</v>
      </c>
      <c r="AD260">
        <f t="shared" si="179"/>
        <v>0</v>
      </c>
      <c r="AE260">
        <f t="shared" si="180"/>
        <v>5.9213223626652899E-3</v>
      </c>
      <c r="AF260">
        <f t="shared" si="181"/>
        <v>0</v>
      </c>
      <c r="AG260">
        <f t="shared" si="182"/>
        <v>5.9213223626652899E-3</v>
      </c>
      <c r="AH260">
        <f t="shared" si="183"/>
        <v>5.9213223626652899E-3</v>
      </c>
      <c r="AI260">
        <f t="shared" si="184"/>
        <v>0</v>
      </c>
      <c r="AJ260">
        <f t="shared" si="185"/>
        <v>0</v>
      </c>
      <c r="AK260">
        <f t="shared" si="186"/>
        <v>5.9213223626652899E-3</v>
      </c>
      <c r="AL260">
        <f t="shared" si="187"/>
        <v>0</v>
      </c>
      <c r="AM260">
        <f t="shared" si="188"/>
        <v>0</v>
      </c>
      <c r="AN260">
        <f t="shared" si="189"/>
        <v>5.9213223626652899E-3</v>
      </c>
      <c r="AO260">
        <f t="shared" si="190"/>
        <v>0</v>
      </c>
      <c r="AP260">
        <f t="shared" si="191"/>
        <v>0</v>
      </c>
      <c r="AQ260">
        <f t="shared" si="192"/>
        <v>0</v>
      </c>
      <c r="AR260">
        <f t="shared" si="193"/>
        <v>5.5410248600237758E-2</v>
      </c>
      <c r="AS260">
        <f t="shared" si="194"/>
        <v>0</v>
      </c>
      <c r="AT260">
        <f t="shared" si="195"/>
        <v>0</v>
      </c>
      <c r="AU260">
        <f t="shared" si="196"/>
        <v>0</v>
      </c>
    </row>
    <row r="261" spans="1:47" x14ac:dyDescent="0.2">
      <c r="A261">
        <v>260</v>
      </c>
      <c r="B261">
        <f>PoolStates_V2!B261</f>
        <v>0</v>
      </c>
      <c r="C261">
        <f>PoolStates_V2!S261</f>
        <v>2.3322023149680105E-4</v>
      </c>
      <c r="D261">
        <f>PoolStates_V2!T261</f>
        <v>5.3769355128820842E-3</v>
      </c>
      <c r="E261">
        <f>PoolStates_V2!Q261</f>
        <v>2.8724778441996623E-6</v>
      </c>
      <c r="F261">
        <f t="shared" si="197"/>
        <v>0</v>
      </c>
      <c r="G261">
        <f t="shared" si="198"/>
        <v>0</v>
      </c>
      <c r="H261">
        <f t="shared" si="199"/>
        <v>5.5410248600237758E-2</v>
      </c>
      <c r="I261">
        <f t="shared" si="160"/>
        <v>2.8724778441996623E-6</v>
      </c>
      <c r="J261">
        <f t="shared" si="161"/>
        <v>0</v>
      </c>
      <c r="K261">
        <f t="shared" si="162"/>
        <v>0</v>
      </c>
      <c r="L261">
        <f t="shared" si="163"/>
        <v>0</v>
      </c>
      <c r="M261">
        <f t="shared" si="164"/>
        <v>0</v>
      </c>
      <c r="N261">
        <f t="shared" si="165"/>
        <v>0</v>
      </c>
      <c r="O261">
        <f t="shared" si="166"/>
        <v>5.5407376122393555E-2</v>
      </c>
      <c r="P261">
        <f>M261*Inputs!B6/12</f>
        <v>0</v>
      </c>
      <c r="Q261">
        <f t="shared" si="167"/>
        <v>0</v>
      </c>
      <c r="R261">
        <f>N261*Inputs!B6/12</f>
        <v>0</v>
      </c>
      <c r="S261">
        <f t="shared" si="168"/>
        <v>0</v>
      </c>
      <c r="T261">
        <f t="shared" si="169"/>
        <v>2.3322023149680105E-4</v>
      </c>
      <c r="U261">
        <f t="shared" si="170"/>
        <v>0</v>
      </c>
      <c r="V261">
        <f t="shared" si="171"/>
        <v>2.3322023149680105E-4</v>
      </c>
      <c r="W261">
        <f t="shared" si="172"/>
        <v>5.3769355128820842E-3</v>
      </c>
      <c r="X261">
        <f t="shared" si="173"/>
        <v>0</v>
      </c>
      <c r="Y261">
        <f t="shared" si="174"/>
        <v>0</v>
      </c>
      <c r="Z261">
        <f t="shared" si="175"/>
        <v>0</v>
      </c>
      <c r="AA261">
        <f t="shared" si="176"/>
        <v>0</v>
      </c>
      <c r="AB261">
        <f t="shared" si="177"/>
        <v>0</v>
      </c>
      <c r="AC261">
        <f t="shared" si="178"/>
        <v>5.3769355128820842E-3</v>
      </c>
      <c r="AD261">
        <f t="shared" si="179"/>
        <v>0</v>
      </c>
      <c r="AE261">
        <f t="shared" si="180"/>
        <v>5.3769355128820842E-3</v>
      </c>
      <c r="AF261">
        <f t="shared" si="181"/>
        <v>0</v>
      </c>
      <c r="AG261">
        <f t="shared" si="182"/>
        <v>5.3769355128820842E-3</v>
      </c>
      <c r="AH261">
        <f t="shared" si="183"/>
        <v>5.3769355128820842E-3</v>
      </c>
      <c r="AI261">
        <f t="shared" si="184"/>
        <v>0</v>
      </c>
      <c r="AJ261">
        <f t="shared" si="185"/>
        <v>0</v>
      </c>
      <c r="AK261">
        <f t="shared" si="186"/>
        <v>5.3769355128820842E-3</v>
      </c>
      <c r="AL261">
        <f t="shared" si="187"/>
        <v>0</v>
      </c>
      <c r="AM261">
        <f t="shared" si="188"/>
        <v>0</v>
      </c>
      <c r="AN261">
        <f t="shared" si="189"/>
        <v>5.3769355128820842E-3</v>
      </c>
      <c r="AO261">
        <f t="shared" si="190"/>
        <v>0</v>
      </c>
      <c r="AP261">
        <f t="shared" si="191"/>
        <v>0</v>
      </c>
      <c r="AQ261">
        <f t="shared" si="192"/>
        <v>0</v>
      </c>
      <c r="AR261">
        <f t="shared" si="193"/>
        <v>5.0030440609511471E-2</v>
      </c>
      <c r="AS261">
        <f t="shared" si="194"/>
        <v>0</v>
      </c>
      <c r="AT261">
        <f t="shared" si="195"/>
        <v>0</v>
      </c>
      <c r="AU261">
        <f t="shared" si="196"/>
        <v>0</v>
      </c>
    </row>
    <row r="262" spans="1:47" x14ac:dyDescent="0.2">
      <c r="A262">
        <v>261</v>
      </c>
      <c r="B262">
        <f>PoolStates_V2!B262</f>
        <v>0</v>
      </c>
      <c r="C262">
        <f>PoolStates_V2!S262</f>
        <v>2.1052935247241946E-4</v>
      </c>
      <c r="D262">
        <f>PoolStates_V2!T262</f>
        <v>4.8810172869178528E-3</v>
      </c>
      <c r="E262">
        <f>PoolStates_V2!Q262</f>
        <v>2.6122667954170641E-6</v>
      </c>
      <c r="F262">
        <f t="shared" si="197"/>
        <v>0</v>
      </c>
      <c r="G262">
        <f t="shared" si="198"/>
        <v>0</v>
      </c>
      <c r="H262">
        <f t="shared" si="199"/>
        <v>5.0030440609511471E-2</v>
      </c>
      <c r="I262">
        <f t="shared" si="160"/>
        <v>2.6122667954170641E-6</v>
      </c>
      <c r="J262">
        <f t="shared" si="161"/>
        <v>0</v>
      </c>
      <c r="K262">
        <f t="shared" si="162"/>
        <v>0</v>
      </c>
      <c r="L262">
        <f t="shared" si="163"/>
        <v>0</v>
      </c>
      <c r="M262">
        <f t="shared" si="164"/>
        <v>0</v>
      </c>
      <c r="N262">
        <f t="shared" si="165"/>
        <v>0</v>
      </c>
      <c r="O262">
        <f t="shared" si="166"/>
        <v>5.0027828342716053E-2</v>
      </c>
      <c r="P262">
        <f>M262*Inputs!B6/12</f>
        <v>0</v>
      </c>
      <c r="Q262">
        <f t="shared" si="167"/>
        <v>0</v>
      </c>
      <c r="R262">
        <f>N262*Inputs!B6/12</f>
        <v>0</v>
      </c>
      <c r="S262">
        <f t="shared" si="168"/>
        <v>0</v>
      </c>
      <c r="T262">
        <f t="shared" si="169"/>
        <v>2.1052935247241946E-4</v>
      </c>
      <c r="U262">
        <f t="shared" si="170"/>
        <v>0</v>
      </c>
      <c r="V262">
        <f t="shared" si="171"/>
        <v>2.1052935247241946E-4</v>
      </c>
      <c r="W262">
        <f t="shared" si="172"/>
        <v>4.8810172869178528E-3</v>
      </c>
      <c r="X262">
        <f t="shared" si="173"/>
        <v>0</v>
      </c>
      <c r="Y262">
        <f t="shared" si="174"/>
        <v>0</v>
      </c>
      <c r="Z262">
        <f t="shared" si="175"/>
        <v>0</v>
      </c>
      <c r="AA262">
        <f t="shared" si="176"/>
        <v>0</v>
      </c>
      <c r="AB262">
        <f t="shared" si="177"/>
        <v>0</v>
      </c>
      <c r="AC262">
        <f t="shared" si="178"/>
        <v>4.8810172869178528E-3</v>
      </c>
      <c r="AD262">
        <f t="shared" si="179"/>
        <v>0</v>
      </c>
      <c r="AE262">
        <f t="shared" si="180"/>
        <v>4.8810172869178528E-3</v>
      </c>
      <c r="AF262">
        <f t="shared" si="181"/>
        <v>0</v>
      </c>
      <c r="AG262">
        <f t="shared" si="182"/>
        <v>4.8810172869178528E-3</v>
      </c>
      <c r="AH262">
        <f t="shared" si="183"/>
        <v>4.8810172869178528E-3</v>
      </c>
      <c r="AI262">
        <f t="shared" si="184"/>
        <v>0</v>
      </c>
      <c r="AJ262">
        <f t="shared" si="185"/>
        <v>0</v>
      </c>
      <c r="AK262">
        <f t="shared" si="186"/>
        <v>4.8810172869178528E-3</v>
      </c>
      <c r="AL262">
        <f t="shared" si="187"/>
        <v>0</v>
      </c>
      <c r="AM262">
        <f t="shared" si="188"/>
        <v>0</v>
      </c>
      <c r="AN262">
        <f t="shared" si="189"/>
        <v>4.8810172869178528E-3</v>
      </c>
      <c r="AO262">
        <f t="shared" si="190"/>
        <v>0</v>
      </c>
      <c r="AP262">
        <f t="shared" si="191"/>
        <v>0</v>
      </c>
      <c r="AQ262">
        <f t="shared" si="192"/>
        <v>0</v>
      </c>
      <c r="AR262">
        <f t="shared" si="193"/>
        <v>4.5146811055798201E-2</v>
      </c>
      <c r="AS262">
        <f t="shared" si="194"/>
        <v>0</v>
      </c>
      <c r="AT262">
        <f t="shared" si="195"/>
        <v>0</v>
      </c>
      <c r="AU262">
        <f t="shared" si="196"/>
        <v>0</v>
      </c>
    </row>
    <row r="263" spans="1:47" x14ac:dyDescent="0.2">
      <c r="A263">
        <v>262</v>
      </c>
      <c r="B263">
        <f>PoolStates_V2!B263</f>
        <v>0</v>
      </c>
      <c r="C263">
        <f>PoolStates_V2!S263</f>
        <v>1.8993397473824591E-4</v>
      </c>
      <c r="D263">
        <f>PoolStates_V2!T263</f>
        <v>4.4293491886472185E-3</v>
      </c>
      <c r="E263">
        <f>PoolStates_V2!Q263</f>
        <v>2.3749807339281762E-6</v>
      </c>
      <c r="F263">
        <f t="shared" si="197"/>
        <v>0</v>
      </c>
      <c r="G263">
        <f t="shared" si="198"/>
        <v>0</v>
      </c>
      <c r="H263">
        <f t="shared" si="199"/>
        <v>4.5146811055798201E-2</v>
      </c>
      <c r="I263">
        <f t="shared" si="160"/>
        <v>2.3749807339281762E-6</v>
      </c>
      <c r="J263">
        <f t="shared" si="161"/>
        <v>0</v>
      </c>
      <c r="K263">
        <f t="shared" si="162"/>
        <v>0</v>
      </c>
      <c r="L263">
        <f t="shared" si="163"/>
        <v>0</v>
      </c>
      <c r="M263">
        <f t="shared" si="164"/>
        <v>0</v>
      </c>
      <c r="N263">
        <f t="shared" si="165"/>
        <v>0</v>
      </c>
      <c r="O263">
        <f t="shared" si="166"/>
        <v>4.514443607506427E-2</v>
      </c>
      <c r="P263">
        <f>M263*Inputs!B6/12</f>
        <v>0</v>
      </c>
      <c r="Q263">
        <f t="shared" si="167"/>
        <v>0</v>
      </c>
      <c r="R263">
        <f>N263*Inputs!B6/12</f>
        <v>0</v>
      </c>
      <c r="S263">
        <f t="shared" si="168"/>
        <v>0</v>
      </c>
      <c r="T263">
        <f t="shared" si="169"/>
        <v>1.8993397473824591E-4</v>
      </c>
      <c r="U263">
        <f t="shared" si="170"/>
        <v>0</v>
      </c>
      <c r="V263">
        <f t="shared" si="171"/>
        <v>1.8993397473824591E-4</v>
      </c>
      <c r="W263">
        <f t="shared" si="172"/>
        <v>4.4293491886472185E-3</v>
      </c>
      <c r="X263">
        <f t="shared" si="173"/>
        <v>0</v>
      </c>
      <c r="Y263">
        <f t="shared" si="174"/>
        <v>0</v>
      </c>
      <c r="Z263">
        <f t="shared" si="175"/>
        <v>0</v>
      </c>
      <c r="AA263">
        <f t="shared" si="176"/>
        <v>0</v>
      </c>
      <c r="AB263">
        <f t="shared" si="177"/>
        <v>0</v>
      </c>
      <c r="AC263">
        <f t="shared" si="178"/>
        <v>4.4293491886472185E-3</v>
      </c>
      <c r="AD263">
        <f t="shared" si="179"/>
        <v>0</v>
      </c>
      <c r="AE263">
        <f t="shared" si="180"/>
        <v>4.4293491886472185E-3</v>
      </c>
      <c r="AF263">
        <f t="shared" si="181"/>
        <v>0</v>
      </c>
      <c r="AG263">
        <f t="shared" si="182"/>
        <v>4.4293491886472185E-3</v>
      </c>
      <c r="AH263">
        <f t="shared" si="183"/>
        <v>4.4293491886472185E-3</v>
      </c>
      <c r="AI263">
        <f t="shared" si="184"/>
        <v>0</v>
      </c>
      <c r="AJ263">
        <f t="shared" si="185"/>
        <v>0</v>
      </c>
      <c r="AK263">
        <f t="shared" si="186"/>
        <v>4.4293491886472185E-3</v>
      </c>
      <c r="AL263">
        <f t="shared" si="187"/>
        <v>0</v>
      </c>
      <c r="AM263">
        <f t="shared" si="188"/>
        <v>0</v>
      </c>
      <c r="AN263">
        <f t="shared" si="189"/>
        <v>4.4293491886472185E-3</v>
      </c>
      <c r="AO263">
        <f t="shared" si="190"/>
        <v>0</v>
      </c>
      <c r="AP263">
        <f t="shared" si="191"/>
        <v>0</v>
      </c>
      <c r="AQ263">
        <f t="shared" si="192"/>
        <v>0</v>
      </c>
      <c r="AR263">
        <f t="shared" si="193"/>
        <v>4.0715086886417048E-2</v>
      </c>
      <c r="AS263">
        <f t="shared" si="194"/>
        <v>0</v>
      </c>
      <c r="AT263">
        <f t="shared" si="195"/>
        <v>0</v>
      </c>
      <c r="AU263">
        <f t="shared" si="196"/>
        <v>0</v>
      </c>
    </row>
    <row r="264" spans="1:47" x14ac:dyDescent="0.2">
      <c r="A264">
        <v>263</v>
      </c>
      <c r="B264">
        <f>PoolStates_V2!B264</f>
        <v>0</v>
      </c>
      <c r="C264">
        <f>PoolStates_V2!S264</f>
        <v>1.7124695388068576E-4</v>
      </c>
      <c r="D264">
        <f>PoolStates_V2!T264</f>
        <v>4.0180737544020951E-3</v>
      </c>
      <c r="E264">
        <f>PoolStates_V2!Q264</f>
        <v>2.1586398373986302E-6</v>
      </c>
      <c r="F264">
        <f t="shared" si="197"/>
        <v>0</v>
      </c>
      <c r="G264">
        <f t="shared" si="198"/>
        <v>0</v>
      </c>
      <c r="H264">
        <f t="shared" si="199"/>
        <v>4.0715086886417048E-2</v>
      </c>
      <c r="I264">
        <f t="shared" si="160"/>
        <v>2.1586398373986302E-6</v>
      </c>
      <c r="J264">
        <f t="shared" si="161"/>
        <v>0</v>
      </c>
      <c r="K264">
        <f t="shared" si="162"/>
        <v>0</v>
      </c>
      <c r="L264">
        <f t="shared" si="163"/>
        <v>0</v>
      </c>
      <c r="M264">
        <f t="shared" si="164"/>
        <v>0</v>
      </c>
      <c r="N264">
        <f t="shared" si="165"/>
        <v>0</v>
      </c>
      <c r="O264">
        <f t="shared" si="166"/>
        <v>4.0712928246579648E-2</v>
      </c>
      <c r="P264">
        <f>M264*Inputs!B6/12</f>
        <v>0</v>
      </c>
      <c r="Q264">
        <f t="shared" si="167"/>
        <v>0</v>
      </c>
      <c r="R264">
        <f>N264*Inputs!B6/12</f>
        <v>0</v>
      </c>
      <c r="S264">
        <f t="shared" si="168"/>
        <v>0</v>
      </c>
      <c r="T264">
        <f t="shared" si="169"/>
        <v>1.7124695388068576E-4</v>
      </c>
      <c r="U264">
        <f t="shared" si="170"/>
        <v>0</v>
      </c>
      <c r="V264">
        <f t="shared" si="171"/>
        <v>1.7124695388068576E-4</v>
      </c>
      <c r="W264">
        <f t="shared" si="172"/>
        <v>4.0180737544020951E-3</v>
      </c>
      <c r="X264">
        <f t="shared" si="173"/>
        <v>0</v>
      </c>
      <c r="Y264">
        <f t="shared" si="174"/>
        <v>0</v>
      </c>
      <c r="Z264">
        <f t="shared" si="175"/>
        <v>0</v>
      </c>
      <c r="AA264">
        <f t="shared" si="176"/>
        <v>0</v>
      </c>
      <c r="AB264">
        <f t="shared" si="177"/>
        <v>0</v>
      </c>
      <c r="AC264">
        <f t="shared" si="178"/>
        <v>4.0180737544020951E-3</v>
      </c>
      <c r="AD264">
        <f t="shared" si="179"/>
        <v>0</v>
      </c>
      <c r="AE264">
        <f t="shared" si="180"/>
        <v>4.0180737544020951E-3</v>
      </c>
      <c r="AF264">
        <f t="shared" si="181"/>
        <v>0</v>
      </c>
      <c r="AG264">
        <f t="shared" si="182"/>
        <v>4.0180737544020951E-3</v>
      </c>
      <c r="AH264">
        <f t="shared" si="183"/>
        <v>4.0180737544020951E-3</v>
      </c>
      <c r="AI264">
        <f t="shared" si="184"/>
        <v>0</v>
      </c>
      <c r="AJ264">
        <f t="shared" si="185"/>
        <v>0</v>
      </c>
      <c r="AK264">
        <f t="shared" si="186"/>
        <v>4.0180737544020951E-3</v>
      </c>
      <c r="AL264">
        <f t="shared" si="187"/>
        <v>0</v>
      </c>
      <c r="AM264">
        <f t="shared" si="188"/>
        <v>0</v>
      </c>
      <c r="AN264">
        <f t="shared" si="189"/>
        <v>4.0180737544020951E-3</v>
      </c>
      <c r="AO264">
        <f t="shared" si="190"/>
        <v>0</v>
      </c>
      <c r="AP264">
        <f t="shared" si="191"/>
        <v>0</v>
      </c>
      <c r="AQ264">
        <f t="shared" si="192"/>
        <v>0</v>
      </c>
      <c r="AR264">
        <f t="shared" si="193"/>
        <v>3.6694854492177555E-2</v>
      </c>
      <c r="AS264">
        <f t="shared" si="194"/>
        <v>0</v>
      </c>
      <c r="AT264">
        <f t="shared" si="195"/>
        <v>0</v>
      </c>
      <c r="AU264">
        <f t="shared" si="196"/>
        <v>0</v>
      </c>
    </row>
    <row r="265" spans="1:47" x14ac:dyDescent="0.2">
      <c r="A265">
        <v>264</v>
      </c>
      <c r="B265">
        <f>PoolStates_V2!B265</f>
        <v>0</v>
      </c>
      <c r="C265">
        <f>PoolStates_V2!S265</f>
        <v>1.5429747011995446E-4</v>
      </c>
      <c r="D265">
        <f>PoolStates_V2!T265</f>
        <v>3.6436640546315155E-3</v>
      </c>
      <c r="E265">
        <f>PoolStates_V2!Q265</f>
        <v>1.9614327061819027E-6</v>
      </c>
      <c r="F265">
        <f t="shared" si="197"/>
        <v>0</v>
      </c>
      <c r="G265">
        <f t="shared" si="198"/>
        <v>0</v>
      </c>
      <c r="H265">
        <f t="shared" si="199"/>
        <v>3.6694854492177555E-2</v>
      </c>
      <c r="I265">
        <f t="shared" si="160"/>
        <v>1.9614327061819027E-6</v>
      </c>
      <c r="J265">
        <f t="shared" si="161"/>
        <v>0</v>
      </c>
      <c r="K265">
        <f t="shared" si="162"/>
        <v>0</v>
      </c>
      <c r="L265">
        <f t="shared" si="163"/>
        <v>0</v>
      </c>
      <c r="M265">
        <f t="shared" si="164"/>
        <v>0</v>
      </c>
      <c r="N265">
        <f t="shared" si="165"/>
        <v>0</v>
      </c>
      <c r="O265">
        <f t="shared" si="166"/>
        <v>3.669289305947137E-2</v>
      </c>
      <c r="P265">
        <f>M265*Inputs!B6/12</f>
        <v>0</v>
      </c>
      <c r="Q265">
        <f t="shared" si="167"/>
        <v>0</v>
      </c>
      <c r="R265">
        <f>N265*Inputs!B6/12</f>
        <v>0</v>
      </c>
      <c r="S265">
        <f t="shared" si="168"/>
        <v>0</v>
      </c>
      <c r="T265">
        <f t="shared" si="169"/>
        <v>1.5429747011995446E-4</v>
      </c>
      <c r="U265">
        <f t="shared" si="170"/>
        <v>0</v>
      </c>
      <c r="V265">
        <f t="shared" si="171"/>
        <v>1.5429747011995446E-4</v>
      </c>
      <c r="W265">
        <f t="shared" si="172"/>
        <v>3.6436640546315155E-3</v>
      </c>
      <c r="X265">
        <f t="shared" si="173"/>
        <v>0</v>
      </c>
      <c r="Y265">
        <f t="shared" si="174"/>
        <v>0</v>
      </c>
      <c r="Z265">
        <f t="shared" si="175"/>
        <v>0</v>
      </c>
      <c r="AA265">
        <f t="shared" si="176"/>
        <v>0</v>
      </c>
      <c r="AB265">
        <f t="shared" si="177"/>
        <v>0</v>
      </c>
      <c r="AC265">
        <f t="shared" si="178"/>
        <v>3.6436640546315155E-3</v>
      </c>
      <c r="AD265">
        <f t="shared" si="179"/>
        <v>0</v>
      </c>
      <c r="AE265">
        <f t="shared" si="180"/>
        <v>3.6436640546315155E-3</v>
      </c>
      <c r="AF265">
        <f t="shared" si="181"/>
        <v>0</v>
      </c>
      <c r="AG265">
        <f t="shared" si="182"/>
        <v>3.6436640546315155E-3</v>
      </c>
      <c r="AH265">
        <f t="shared" si="183"/>
        <v>3.6436640546315155E-3</v>
      </c>
      <c r="AI265">
        <f t="shared" si="184"/>
        <v>0</v>
      </c>
      <c r="AJ265">
        <f t="shared" si="185"/>
        <v>0</v>
      </c>
      <c r="AK265">
        <f t="shared" si="186"/>
        <v>3.6436640546315155E-3</v>
      </c>
      <c r="AL265">
        <f t="shared" si="187"/>
        <v>0</v>
      </c>
      <c r="AM265">
        <f t="shared" si="188"/>
        <v>0</v>
      </c>
      <c r="AN265">
        <f t="shared" si="189"/>
        <v>3.6436640546315155E-3</v>
      </c>
      <c r="AO265">
        <f t="shared" si="190"/>
        <v>0</v>
      </c>
      <c r="AP265">
        <f t="shared" si="191"/>
        <v>0</v>
      </c>
      <c r="AQ265">
        <f t="shared" si="192"/>
        <v>0</v>
      </c>
      <c r="AR265">
        <f t="shared" si="193"/>
        <v>3.3049229004839857E-2</v>
      </c>
      <c r="AS265">
        <f t="shared" si="194"/>
        <v>0</v>
      </c>
      <c r="AT265">
        <f t="shared" si="195"/>
        <v>0</v>
      </c>
      <c r="AU265">
        <f t="shared" si="196"/>
        <v>0</v>
      </c>
    </row>
    <row r="266" spans="1:47" x14ac:dyDescent="0.2">
      <c r="A266">
        <v>265</v>
      </c>
      <c r="B266">
        <f>PoolStates_V2!B266</f>
        <v>0</v>
      </c>
      <c r="C266">
        <f>PoolStates_V2!S266</f>
        <v>1.3892962881918803E-4</v>
      </c>
      <c r="D266">
        <f>PoolStates_V2!T266</f>
        <v>3.3028957455595513E-3</v>
      </c>
      <c r="E266">
        <f>PoolStates_V2!Q266</f>
        <v>1.7817022031164665E-6</v>
      </c>
      <c r="F266">
        <f t="shared" si="197"/>
        <v>0</v>
      </c>
      <c r="G266">
        <f t="shared" si="198"/>
        <v>0</v>
      </c>
      <c r="H266">
        <f t="shared" si="199"/>
        <v>3.3049229004839857E-2</v>
      </c>
      <c r="I266">
        <f t="shared" si="160"/>
        <v>1.7817022031164665E-6</v>
      </c>
      <c r="J266">
        <f t="shared" si="161"/>
        <v>0</v>
      </c>
      <c r="K266">
        <f t="shared" si="162"/>
        <v>0</v>
      </c>
      <c r="L266">
        <f t="shared" si="163"/>
        <v>0</v>
      </c>
      <c r="M266">
        <f t="shared" si="164"/>
        <v>0</v>
      </c>
      <c r="N266">
        <f t="shared" si="165"/>
        <v>0</v>
      </c>
      <c r="O266">
        <f t="shared" si="166"/>
        <v>3.3047447302636743E-2</v>
      </c>
      <c r="P266">
        <f>M266*Inputs!B6/12</f>
        <v>0</v>
      </c>
      <c r="Q266">
        <f t="shared" si="167"/>
        <v>0</v>
      </c>
      <c r="R266">
        <f>N266*Inputs!B6/12</f>
        <v>0</v>
      </c>
      <c r="S266">
        <f t="shared" si="168"/>
        <v>0</v>
      </c>
      <c r="T266">
        <f t="shared" si="169"/>
        <v>1.3892962881918803E-4</v>
      </c>
      <c r="U266">
        <f t="shared" si="170"/>
        <v>0</v>
      </c>
      <c r="V266">
        <f t="shared" si="171"/>
        <v>1.3892962881918803E-4</v>
      </c>
      <c r="W266">
        <f t="shared" si="172"/>
        <v>3.3028957455595513E-3</v>
      </c>
      <c r="X266">
        <f t="shared" si="173"/>
        <v>0</v>
      </c>
      <c r="Y266">
        <f t="shared" si="174"/>
        <v>0</v>
      </c>
      <c r="Z266">
        <f t="shared" si="175"/>
        <v>0</v>
      </c>
      <c r="AA266">
        <f t="shared" si="176"/>
        <v>0</v>
      </c>
      <c r="AB266">
        <f t="shared" si="177"/>
        <v>0</v>
      </c>
      <c r="AC266">
        <f t="shared" si="178"/>
        <v>3.3028957455595513E-3</v>
      </c>
      <c r="AD266">
        <f t="shared" si="179"/>
        <v>0</v>
      </c>
      <c r="AE266">
        <f t="shared" si="180"/>
        <v>3.3028957455595513E-3</v>
      </c>
      <c r="AF266">
        <f t="shared" si="181"/>
        <v>0</v>
      </c>
      <c r="AG266">
        <f t="shared" si="182"/>
        <v>3.3028957455595513E-3</v>
      </c>
      <c r="AH266">
        <f t="shared" si="183"/>
        <v>3.3028957455595513E-3</v>
      </c>
      <c r="AI266">
        <f t="shared" si="184"/>
        <v>0</v>
      </c>
      <c r="AJ266">
        <f t="shared" si="185"/>
        <v>0</v>
      </c>
      <c r="AK266">
        <f t="shared" si="186"/>
        <v>3.3028957455595513E-3</v>
      </c>
      <c r="AL266">
        <f t="shared" si="187"/>
        <v>0</v>
      </c>
      <c r="AM266">
        <f t="shared" si="188"/>
        <v>0</v>
      </c>
      <c r="AN266">
        <f t="shared" si="189"/>
        <v>3.3028957455595513E-3</v>
      </c>
      <c r="AO266">
        <f t="shared" si="190"/>
        <v>0</v>
      </c>
      <c r="AP266">
        <f t="shared" si="191"/>
        <v>0</v>
      </c>
      <c r="AQ266">
        <f t="shared" si="192"/>
        <v>0</v>
      </c>
      <c r="AR266">
        <f t="shared" si="193"/>
        <v>2.9744551557077191E-2</v>
      </c>
      <c r="AS266">
        <f t="shared" si="194"/>
        <v>0</v>
      </c>
      <c r="AT266">
        <f t="shared" si="195"/>
        <v>0</v>
      </c>
      <c r="AU266">
        <f t="shared" si="196"/>
        <v>0</v>
      </c>
    </row>
    <row r="267" spans="1:47" x14ac:dyDescent="0.2">
      <c r="A267">
        <v>266</v>
      </c>
      <c r="B267">
        <f>PoolStates_V2!B267</f>
        <v>0</v>
      </c>
      <c r="C267">
        <f>PoolStates_V2!S267</f>
        <v>1.2500117937288489E-4</v>
      </c>
      <c r="D267">
        <f>PoolStates_V2!T267</f>
        <v>2.9928214594328716E-3</v>
      </c>
      <c r="E267">
        <f>PoolStates_V2!Q267</f>
        <v>1.6179324726698617E-6</v>
      </c>
      <c r="F267">
        <f t="shared" si="197"/>
        <v>0</v>
      </c>
      <c r="G267">
        <f t="shared" si="198"/>
        <v>0</v>
      </c>
      <c r="H267">
        <f t="shared" si="199"/>
        <v>2.9744551557077191E-2</v>
      </c>
      <c r="I267">
        <f t="shared" si="160"/>
        <v>1.6179324726698617E-6</v>
      </c>
      <c r="J267">
        <f t="shared" si="161"/>
        <v>0</v>
      </c>
      <c r="K267">
        <f t="shared" si="162"/>
        <v>0</v>
      </c>
      <c r="L267">
        <f t="shared" si="163"/>
        <v>0</v>
      </c>
      <c r="M267">
        <f t="shared" si="164"/>
        <v>0</v>
      </c>
      <c r="N267">
        <f t="shared" si="165"/>
        <v>0</v>
      </c>
      <c r="O267">
        <f t="shared" si="166"/>
        <v>2.974293362460452E-2</v>
      </c>
      <c r="P267">
        <f>M267*Inputs!B6/12</f>
        <v>0</v>
      </c>
      <c r="Q267">
        <f t="shared" si="167"/>
        <v>0</v>
      </c>
      <c r="R267">
        <f>N267*Inputs!B6/12</f>
        <v>0</v>
      </c>
      <c r="S267">
        <f t="shared" si="168"/>
        <v>0</v>
      </c>
      <c r="T267">
        <f t="shared" si="169"/>
        <v>1.2500117937288489E-4</v>
      </c>
      <c r="U267">
        <f t="shared" si="170"/>
        <v>0</v>
      </c>
      <c r="V267">
        <f t="shared" si="171"/>
        <v>1.2500117937288489E-4</v>
      </c>
      <c r="W267">
        <f t="shared" si="172"/>
        <v>2.9928214594328716E-3</v>
      </c>
      <c r="X267">
        <f t="shared" si="173"/>
        <v>0</v>
      </c>
      <c r="Y267">
        <f t="shared" si="174"/>
        <v>0</v>
      </c>
      <c r="Z267">
        <f t="shared" si="175"/>
        <v>0</v>
      </c>
      <c r="AA267">
        <f t="shared" si="176"/>
        <v>0</v>
      </c>
      <c r="AB267">
        <f t="shared" si="177"/>
        <v>0</v>
      </c>
      <c r="AC267">
        <f t="shared" si="178"/>
        <v>2.9928214594328716E-3</v>
      </c>
      <c r="AD267">
        <f t="shared" si="179"/>
        <v>0</v>
      </c>
      <c r="AE267">
        <f t="shared" si="180"/>
        <v>2.9928214594328716E-3</v>
      </c>
      <c r="AF267">
        <f t="shared" si="181"/>
        <v>0</v>
      </c>
      <c r="AG267">
        <f t="shared" si="182"/>
        <v>2.9928214594328716E-3</v>
      </c>
      <c r="AH267">
        <f t="shared" si="183"/>
        <v>2.9928214594328716E-3</v>
      </c>
      <c r="AI267">
        <f t="shared" si="184"/>
        <v>0</v>
      </c>
      <c r="AJ267">
        <f t="shared" si="185"/>
        <v>0</v>
      </c>
      <c r="AK267">
        <f t="shared" si="186"/>
        <v>2.9928214594328716E-3</v>
      </c>
      <c r="AL267">
        <f t="shared" si="187"/>
        <v>0</v>
      </c>
      <c r="AM267">
        <f t="shared" si="188"/>
        <v>0</v>
      </c>
      <c r="AN267">
        <f t="shared" si="189"/>
        <v>2.9928214594328716E-3</v>
      </c>
      <c r="AO267">
        <f t="shared" si="190"/>
        <v>0</v>
      </c>
      <c r="AP267">
        <f t="shared" si="191"/>
        <v>0</v>
      </c>
      <c r="AQ267">
        <f t="shared" si="192"/>
        <v>0</v>
      </c>
      <c r="AR267">
        <f t="shared" si="193"/>
        <v>2.6750112165171647E-2</v>
      </c>
      <c r="AS267">
        <f t="shared" si="194"/>
        <v>0</v>
      </c>
      <c r="AT267">
        <f t="shared" si="195"/>
        <v>0</v>
      </c>
      <c r="AU267">
        <f t="shared" si="196"/>
        <v>0</v>
      </c>
    </row>
    <row r="268" spans="1:47" x14ac:dyDescent="0.2">
      <c r="A268">
        <v>267</v>
      </c>
      <c r="B268">
        <f>PoolStates_V2!B268</f>
        <v>0</v>
      </c>
      <c r="C268">
        <f>PoolStates_V2!S268</f>
        <v>1.1238234256618123E-4</v>
      </c>
      <c r="D268">
        <f>PoolStates_V2!T268</f>
        <v>2.7107473393589519E-3</v>
      </c>
      <c r="E268">
        <f>PoolStates_V2!Q268</f>
        <v>1.4687370419611222E-6</v>
      </c>
      <c r="F268">
        <f t="shared" si="197"/>
        <v>0</v>
      </c>
      <c r="G268">
        <f t="shared" si="198"/>
        <v>0</v>
      </c>
      <c r="H268">
        <f t="shared" si="199"/>
        <v>2.6750112165171647E-2</v>
      </c>
      <c r="I268">
        <f t="shared" si="160"/>
        <v>1.4687370419611222E-6</v>
      </c>
      <c r="J268">
        <f t="shared" si="161"/>
        <v>0</v>
      </c>
      <c r="K268">
        <f t="shared" si="162"/>
        <v>0</v>
      </c>
      <c r="L268">
        <f t="shared" si="163"/>
        <v>0</v>
      </c>
      <c r="M268">
        <f t="shared" si="164"/>
        <v>0</v>
      </c>
      <c r="N268">
        <f t="shared" si="165"/>
        <v>0</v>
      </c>
      <c r="O268">
        <f t="shared" si="166"/>
        <v>2.6748643428129687E-2</v>
      </c>
      <c r="P268">
        <f>M268*Inputs!B6/12</f>
        <v>0</v>
      </c>
      <c r="Q268">
        <f t="shared" si="167"/>
        <v>0</v>
      </c>
      <c r="R268">
        <f>N268*Inputs!B6/12</f>
        <v>0</v>
      </c>
      <c r="S268">
        <f t="shared" si="168"/>
        <v>0</v>
      </c>
      <c r="T268">
        <f t="shared" si="169"/>
        <v>1.1238234256618123E-4</v>
      </c>
      <c r="U268">
        <f t="shared" si="170"/>
        <v>0</v>
      </c>
      <c r="V268">
        <f t="shared" si="171"/>
        <v>1.1238234256618123E-4</v>
      </c>
      <c r="W268">
        <f t="shared" si="172"/>
        <v>2.7107473393589519E-3</v>
      </c>
      <c r="X268">
        <f t="shared" si="173"/>
        <v>0</v>
      </c>
      <c r="Y268">
        <f t="shared" si="174"/>
        <v>0</v>
      </c>
      <c r="Z268">
        <f t="shared" si="175"/>
        <v>0</v>
      </c>
      <c r="AA268">
        <f t="shared" si="176"/>
        <v>0</v>
      </c>
      <c r="AB268">
        <f t="shared" si="177"/>
        <v>0</v>
      </c>
      <c r="AC268">
        <f t="shared" si="178"/>
        <v>2.7107473393589519E-3</v>
      </c>
      <c r="AD268">
        <f t="shared" si="179"/>
        <v>0</v>
      </c>
      <c r="AE268">
        <f t="shared" si="180"/>
        <v>2.7107473393589519E-3</v>
      </c>
      <c r="AF268">
        <f t="shared" si="181"/>
        <v>0</v>
      </c>
      <c r="AG268">
        <f t="shared" si="182"/>
        <v>2.7107473393589519E-3</v>
      </c>
      <c r="AH268">
        <f t="shared" si="183"/>
        <v>2.7107473393589519E-3</v>
      </c>
      <c r="AI268">
        <f t="shared" si="184"/>
        <v>0</v>
      </c>
      <c r="AJ268">
        <f t="shared" si="185"/>
        <v>0</v>
      </c>
      <c r="AK268">
        <f t="shared" si="186"/>
        <v>2.7107473393589519E-3</v>
      </c>
      <c r="AL268">
        <f t="shared" si="187"/>
        <v>0</v>
      </c>
      <c r="AM268">
        <f t="shared" si="188"/>
        <v>0</v>
      </c>
      <c r="AN268">
        <f t="shared" si="189"/>
        <v>2.7107473393589519E-3</v>
      </c>
      <c r="AO268">
        <f t="shared" si="190"/>
        <v>0</v>
      </c>
      <c r="AP268">
        <f t="shared" si="191"/>
        <v>0</v>
      </c>
      <c r="AQ268">
        <f t="shared" si="192"/>
        <v>0</v>
      </c>
      <c r="AR268">
        <f t="shared" si="193"/>
        <v>2.4037896088770737E-2</v>
      </c>
      <c r="AS268">
        <f t="shared" si="194"/>
        <v>0</v>
      </c>
      <c r="AT268">
        <f t="shared" si="195"/>
        <v>0</v>
      </c>
      <c r="AU268">
        <f t="shared" si="196"/>
        <v>0</v>
      </c>
    </row>
    <row r="269" spans="1:47" x14ac:dyDescent="0.2">
      <c r="A269">
        <v>268</v>
      </c>
      <c r="B269">
        <f>PoolStates_V2!B269</f>
        <v>0</v>
      </c>
      <c r="C269">
        <f>PoolStates_V2!S269</f>
        <v>1.0095473731863121E-4</v>
      </c>
      <c r="D269">
        <f>PoolStates_V2!T269</f>
        <v>2.4542115407209962E-3</v>
      </c>
      <c r="E269">
        <f>PoolStates_V2!Q269</f>
        <v>1.3328479141966956E-6</v>
      </c>
      <c r="F269">
        <f t="shared" si="197"/>
        <v>0</v>
      </c>
      <c r="G269">
        <f t="shared" si="198"/>
        <v>0</v>
      </c>
      <c r="H269">
        <f t="shared" si="199"/>
        <v>2.4037896088770737E-2</v>
      </c>
      <c r="I269">
        <f t="shared" si="160"/>
        <v>1.3328479141966956E-6</v>
      </c>
      <c r="J269">
        <f t="shared" si="161"/>
        <v>0</v>
      </c>
      <c r="K269">
        <f t="shared" si="162"/>
        <v>0</v>
      </c>
      <c r="L269">
        <f t="shared" si="163"/>
        <v>0</v>
      </c>
      <c r="M269">
        <f t="shared" si="164"/>
        <v>0</v>
      </c>
      <c r="N269">
        <f t="shared" si="165"/>
        <v>0</v>
      </c>
      <c r="O269">
        <f t="shared" si="166"/>
        <v>2.403656324085654E-2</v>
      </c>
      <c r="P269">
        <f>M269*Inputs!B6/12</f>
        <v>0</v>
      </c>
      <c r="Q269">
        <f t="shared" si="167"/>
        <v>0</v>
      </c>
      <c r="R269">
        <f>N269*Inputs!B6/12</f>
        <v>0</v>
      </c>
      <c r="S269">
        <f t="shared" si="168"/>
        <v>0</v>
      </c>
      <c r="T269">
        <f t="shared" si="169"/>
        <v>1.0095473731863121E-4</v>
      </c>
      <c r="U269">
        <f t="shared" si="170"/>
        <v>0</v>
      </c>
      <c r="V269">
        <f t="shared" si="171"/>
        <v>1.0095473731863121E-4</v>
      </c>
      <c r="W269">
        <f t="shared" si="172"/>
        <v>2.4542115407209962E-3</v>
      </c>
      <c r="X269">
        <f t="shared" si="173"/>
        <v>0</v>
      </c>
      <c r="Y269">
        <f t="shared" si="174"/>
        <v>0</v>
      </c>
      <c r="Z269">
        <f t="shared" si="175"/>
        <v>0</v>
      </c>
      <c r="AA269">
        <f t="shared" si="176"/>
        <v>0</v>
      </c>
      <c r="AB269">
        <f t="shared" si="177"/>
        <v>0</v>
      </c>
      <c r="AC269">
        <f t="shared" si="178"/>
        <v>2.4542115407209962E-3</v>
      </c>
      <c r="AD269">
        <f t="shared" si="179"/>
        <v>0</v>
      </c>
      <c r="AE269">
        <f t="shared" si="180"/>
        <v>2.4542115407209962E-3</v>
      </c>
      <c r="AF269">
        <f t="shared" si="181"/>
        <v>0</v>
      </c>
      <c r="AG269">
        <f t="shared" si="182"/>
        <v>2.4542115407209962E-3</v>
      </c>
      <c r="AH269">
        <f t="shared" si="183"/>
        <v>2.4542115407209962E-3</v>
      </c>
      <c r="AI269">
        <f t="shared" si="184"/>
        <v>0</v>
      </c>
      <c r="AJ269">
        <f t="shared" si="185"/>
        <v>0</v>
      </c>
      <c r="AK269">
        <f t="shared" si="186"/>
        <v>2.4542115407209962E-3</v>
      </c>
      <c r="AL269">
        <f t="shared" si="187"/>
        <v>0</v>
      </c>
      <c r="AM269">
        <f t="shared" si="188"/>
        <v>0</v>
      </c>
      <c r="AN269">
        <f t="shared" si="189"/>
        <v>2.4542115407209962E-3</v>
      </c>
      <c r="AO269">
        <f t="shared" si="190"/>
        <v>0</v>
      </c>
      <c r="AP269">
        <f t="shared" si="191"/>
        <v>0</v>
      </c>
      <c r="AQ269">
        <f t="shared" si="192"/>
        <v>0</v>
      </c>
      <c r="AR269">
        <f t="shared" si="193"/>
        <v>2.1582351700135543E-2</v>
      </c>
      <c r="AS269">
        <f t="shared" si="194"/>
        <v>0</v>
      </c>
      <c r="AT269">
        <f t="shared" si="195"/>
        <v>0</v>
      </c>
      <c r="AU269">
        <f t="shared" si="196"/>
        <v>0</v>
      </c>
    </row>
    <row r="270" spans="1:47" x14ac:dyDescent="0.2">
      <c r="A270">
        <v>269</v>
      </c>
      <c r="B270">
        <f>PoolStates_V2!B270</f>
        <v>0</v>
      </c>
      <c r="C270">
        <f>PoolStates_V2!S270</f>
        <v>9.0610398480576215E-5</v>
      </c>
      <c r="D270">
        <f>PoolStates_V2!T270</f>
        <v>2.2209645358324606E-3</v>
      </c>
      <c r="E270">
        <f>PoolStates_V2!Q270</f>
        <v>1.2091055724049966E-6</v>
      </c>
      <c r="F270">
        <f t="shared" si="197"/>
        <v>0</v>
      </c>
      <c r="G270">
        <f t="shared" si="198"/>
        <v>0</v>
      </c>
      <c r="H270">
        <f t="shared" si="199"/>
        <v>2.1582351700135543E-2</v>
      </c>
      <c r="I270">
        <f t="shared" si="160"/>
        <v>1.2091055724049966E-6</v>
      </c>
      <c r="J270">
        <f t="shared" si="161"/>
        <v>0</v>
      </c>
      <c r="K270">
        <f t="shared" si="162"/>
        <v>0</v>
      </c>
      <c r="L270">
        <f t="shared" si="163"/>
        <v>0</v>
      </c>
      <c r="M270">
        <f t="shared" si="164"/>
        <v>0</v>
      </c>
      <c r="N270">
        <f t="shared" si="165"/>
        <v>0</v>
      </c>
      <c r="O270">
        <f t="shared" si="166"/>
        <v>2.1581142594563139E-2</v>
      </c>
      <c r="P270">
        <f>M270*Inputs!B6/12</f>
        <v>0</v>
      </c>
      <c r="Q270">
        <f t="shared" si="167"/>
        <v>0</v>
      </c>
      <c r="R270">
        <f>N270*Inputs!B6/12</f>
        <v>0</v>
      </c>
      <c r="S270">
        <f t="shared" si="168"/>
        <v>0</v>
      </c>
      <c r="T270">
        <f t="shared" si="169"/>
        <v>9.0610398480576215E-5</v>
      </c>
      <c r="U270">
        <f t="shared" si="170"/>
        <v>0</v>
      </c>
      <c r="V270">
        <f t="shared" si="171"/>
        <v>9.0610398480576215E-5</v>
      </c>
      <c r="W270">
        <f t="shared" si="172"/>
        <v>2.2209645358324606E-3</v>
      </c>
      <c r="X270">
        <f t="shared" si="173"/>
        <v>0</v>
      </c>
      <c r="Y270">
        <f t="shared" si="174"/>
        <v>0</v>
      </c>
      <c r="Z270">
        <f t="shared" si="175"/>
        <v>0</v>
      </c>
      <c r="AA270">
        <f t="shared" si="176"/>
        <v>0</v>
      </c>
      <c r="AB270">
        <f t="shared" si="177"/>
        <v>0</v>
      </c>
      <c r="AC270">
        <f t="shared" si="178"/>
        <v>2.2209645358324606E-3</v>
      </c>
      <c r="AD270">
        <f t="shared" si="179"/>
        <v>0</v>
      </c>
      <c r="AE270">
        <f t="shared" si="180"/>
        <v>2.2209645358324606E-3</v>
      </c>
      <c r="AF270">
        <f t="shared" si="181"/>
        <v>0</v>
      </c>
      <c r="AG270">
        <f t="shared" si="182"/>
        <v>2.2209645358324606E-3</v>
      </c>
      <c r="AH270">
        <f t="shared" si="183"/>
        <v>2.2209645358324606E-3</v>
      </c>
      <c r="AI270">
        <f t="shared" si="184"/>
        <v>0</v>
      </c>
      <c r="AJ270">
        <f t="shared" si="185"/>
        <v>0</v>
      </c>
      <c r="AK270">
        <f t="shared" si="186"/>
        <v>2.2209645358324606E-3</v>
      </c>
      <c r="AL270">
        <f t="shared" si="187"/>
        <v>0</v>
      </c>
      <c r="AM270">
        <f t="shared" si="188"/>
        <v>0</v>
      </c>
      <c r="AN270">
        <f t="shared" si="189"/>
        <v>2.2209645358324606E-3</v>
      </c>
      <c r="AO270">
        <f t="shared" si="190"/>
        <v>0</v>
      </c>
      <c r="AP270">
        <f t="shared" si="191"/>
        <v>0</v>
      </c>
      <c r="AQ270">
        <f t="shared" si="192"/>
        <v>0</v>
      </c>
      <c r="AR270">
        <f t="shared" si="193"/>
        <v>1.9360178058730679E-2</v>
      </c>
      <c r="AS270">
        <f t="shared" si="194"/>
        <v>0</v>
      </c>
      <c r="AT270">
        <f t="shared" si="195"/>
        <v>0</v>
      </c>
      <c r="AU270">
        <f t="shared" si="196"/>
        <v>0</v>
      </c>
    </row>
    <row r="271" spans="1:47" x14ac:dyDescent="0.2">
      <c r="A271">
        <v>270</v>
      </c>
      <c r="B271">
        <f>PoolStates_V2!B271</f>
        <v>0</v>
      </c>
      <c r="C271">
        <f>PoolStates_V2!S271</f>
        <v>8.1250878042384768E-5</v>
      </c>
      <c r="D271">
        <f>PoolStates_V2!T271</f>
        <v>2.0089510719695767E-3</v>
      </c>
      <c r="E271">
        <f>PoolStates_V2!Q271</f>
        <v>1.0964498181041849E-6</v>
      </c>
      <c r="F271">
        <f t="shared" si="197"/>
        <v>0</v>
      </c>
      <c r="G271">
        <f t="shared" si="198"/>
        <v>0</v>
      </c>
      <c r="H271">
        <f t="shared" si="199"/>
        <v>1.9360178058730679E-2</v>
      </c>
      <c r="I271">
        <f t="shared" si="160"/>
        <v>1.0964498181041849E-6</v>
      </c>
      <c r="J271">
        <f t="shared" si="161"/>
        <v>0</v>
      </c>
      <c r="K271">
        <f t="shared" si="162"/>
        <v>0</v>
      </c>
      <c r="L271">
        <f t="shared" si="163"/>
        <v>0</v>
      </c>
      <c r="M271">
        <f t="shared" si="164"/>
        <v>0</v>
      </c>
      <c r="N271">
        <f t="shared" si="165"/>
        <v>0</v>
      </c>
      <c r="O271">
        <f t="shared" si="166"/>
        <v>1.9359081608912573E-2</v>
      </c>
      <c r="P271">
        <f>M271*Inputs!B6/12</f>
        <v>0</v>
      </c>
      <c r="Q271">
        <f t="shared" si="167"/>
        <v>0</v>
      </c>
      <c r="R271">
        <f>N271*Inputs!B6/12</f>
        <v>0</v>
      </c>
      <c r="S271">
        <f t="shared" si="168"/>
        <v>0</v>
      </c>
      <c r="T271">
        <f t="shared" si="169"/>
        <v>8.1250878042384768E-5</v>
      </c>
      <c r="U271">
        <f t="shared" si="170"/>
        <v>0</v>
      </c>
      <c r="V271">
        <f t="shared" si="171"/>
        <v>8.1250878042384768E-5</v>
      </c>
      <c r="W271">
        <f t="shared" si="172"/>
        <v>2.0089510719695767E-3</v>
      </c>
      <c r="X271">
        <f t="shared" si="173"/>
        <v>0</v>
      </c>
      <c r="Y271">
        <f t="shared" si="174"/>
        <v>0</v>
      </c>
      <c r="Z271">
        <f t="shared" si="175"/>
        <v>0</v>
      </c>
      <c r="AA271">
        <f t="shared" si="176"/>
        <v>0</v>
      </c>
      <c r="AB271">
        <f t="shared" si="177"/>
        <v>0</v>
      </c>
      <c r="AC271">
        <f t="shared" si="178"/>
        <v>2.0089510719695767E-3</v>
      </c>
      <c r="AD271">
        <f t="shared" si="179"/>
        <v>0</v>
      </c>
      <c r="AE271">
        <f t="shared" si="180"/>
        <v>2.0089510719695767E-3</v>
      </c>
      <c r="AF271">
        <f t="shared" si="181"/>
        <v>0</v>
      </c>
      <c r="AG271">
        <f t="shared" si="182"/>
        <v>2.0089510719695767E-3</v>
      </c>
      <c r="AH271">
        <f t="shared" si="183"/>
        <v>2.0089510719695767E-3</v>
      </c>
      <c r="AI271">
        <f t="shared" si="184"/>
        <v>0</v>
      </c>
      <c r="AJ271">
        <f t="shared" si="185"/>
        <v>0</v>
      </c>
      <c r="AK271">
        <f t="shared" si="186"/>
        <v>2.0089510719695767E-3</v>
      </c>
      <c r="AL271">
        <f t="shared" si="187"/>
        <v>0</v>
      </c>
      <c r="AM271">
        <f t="shared" si="188"/>
        <v>0</v>
      </c>
      <c r="AN271">
        <f t="shared" si="189"/>
        <v>2.0089510719695767E-3</v>
      </c>
      <c r="AO271">
        <f t="shared" si="190"/>
        <v>0</v>
      </c>
      <c r="AP271">
        <f t="shared" si="191"/>
        <v>0</v>
      </c>
      <c r="AQ271">
        <f t="shared" si="192"/>
        <v>0</v>
      </c>
      <c r="AR271">
        <f t="shared" si="193"/>
        <v>1.7350130536942995E-2</v>
      </c>
      <c r="AS271">
        <f t="shared" si="194"/>
        <v>0</v>
      </c>
      <c r="AT271">
        <f t="shared" si="195"/>
        <v>0</v>
      </c>
      <c r="AU271">
        <f t="shared" si="196"/>
        <v>0</v>
      </c>
    </row>
    <row r="272" spans="1:47" x14ac:dyDescent="0.2">
      <c r="A272">
        <v>271</v>
      </c>
      <c r="B272">
        <f>PoolStates_V2!B272</f>
        <v>0</v>
      </c>
      <c r="C272">
        <f>PoolStates_V2!S272</f>
        <v>7.2786422751923709E-5</v>
      </c>
      <c r="D272">
        <f>PoolStates_V2!T272</f>
        <v>1.8162936452927143E-3</v>
      </c>
      <c r="E272">
        <f>PoolStates_V2!Q272</f>
        <v>9.9391137573549353E-7</v>
      </c>
      <c r="F272">
        <f t="shared" si="197"/>
        <v>0</v>
      </c>
      <c r="G272">
        <f t="shared" si="198"/>
        <v>0</v>
      </c>
      <c r="H272">
        <f t="shared" si="199"/>
        <v>1.7350130536942995E-2</v>
      </c>
      <c r="I272">
        <f t="shared" si="160"/>
        <v>9.9391137573549353E-7</v>
      </c>
      <c r="J272">
        <f t="shared" si="161"/>
        <v>0</v>
      </c>
      <c r="K272">
        <f t="shared" si="162"/>
        <v>0</v>
      </c>
      <c r="L272">
        <f t="shared" si="163"/>
        <v>0</v>
      </c>
      <c r="M272">
        <f t="shared" si="164"/>
        <v>0</v>
      </c>
      <c r="N272">
        <f t="shared" si="165"/>
        <v>0</v>
      </c>
      <c r="O272">
        <f t="shared" si="166"/>
        <v>1.7349136625567259E-2</v>
      </c>
      <c r="P272">
        <f>M272*Inputs!B6/12</f>
        <v>0</v>
      </c>
      <c r="Q272">
        <f t="shared" si="167"/>
        <v>0</v>
      </c>
      <c r="R272">
        <f>N272*Inputs!B6/12</f>
        <v>0</v>
      </c>
      <c r="S272">
        <f t="shared" si="168"/>
        <v>0</v>
      </c>
      <c r="T272">
        <f t="shared" si="169"/>
        <v>7.2786422751923709E-5</v>
      </c>
      <c r="U272">
        <f t="shared" si="170"/>
        <v>0</v>
      </c>
      <c r="V272">
        <f t="shared" si="171"/>
        <v>7.2786422751923709E-5</v>
      </c>
      <c r="W272">
        <f t="shared" si="172"/>
        <v>1.8162936452927143E-3</v>
      </c>
      <c r="X272">
        <f t="shared" si="173"/>
        <v>0</v>
      </c>
      <c r="Y272">
        <f t="shared" si="174"/>
        <v>0</v>
      </c>
      <c r="Z272">
        <f t="shared" si="175"/>
        <v>0</v>
      </c>
      <c r="AA272">
        <f t="shared" si="176"/>
        <v>0</v>
      </c>
      <c r="AB272">
        <f t="shared" si="177"/>
        <v>0</v>
      </c>
      <c r="AC272">
        <f t="shared" si="178"/>
        <v>1.8162936452927143E-3</v>
      </c>
      <c r="AD272">
        <f t="shared" si="179"/>
        <v>0</v>
      </c>
      <c r="AE272">
        <f t="shared" si="180"/>
        <v>1.8162936452927143E-3</v>
      </c>
      <c r="AF272">
        <f t="shared" si="181"/>
        <v>0</v>
      </c>
      <c r="AG272">
        <f t="shared" si="182"/>
        <v>1.8162936452927143E-3</v>
      </c>
      <c r="AH272">
        <f t="shared" si="183"/>
        <v>1.8162936452927143E-3</v>
      </c>
      <c r="AI272">
        <f t="shared" si="184"/>
        <v>0</v>
      </c>
      <c r="AJ272">
        <f t="shared" si="185"/>
        <v>0</v>
      </c>
      <c r="AK272">
        <f t="shared" si="186"/>
        <v>1.8162936452927143E-3</v>
      </c>
      <c r="AL272">
        <f t="shared" si="187"/>
        <v>0</v>
      </c>
      <c r="AM272">
        <f t="shared" si="188"/>
        <v>0</v>
      </c>
      <c r="AN272">
        <f t="shared" si="189"/>
        <v>1.8162936452927143E-3</v>
      </c>
      <c r="AO272">
        <f t="shared" si="190"/>
        <v>0</v>
      </c>
      <c r="AP272">
        <f t="shared" si="191"/>
        <v>0</v>
      </c>
      <c r="AQ272">
        <f t="shared" si="192"/>
        <v>0</v>
      </c>
      <c r="AR272">
        <f t="shared" si="193"/>
        <v>1.5532842980274544E-2</v>
      </c>
      <c r="AS272">
        <f t="shared" si="194"/>
        <v>0</v>
      </c>
      <c r="AT272">
        <f t="shared" si="195"/>
        <v>0</v>
      </c>
      <c r="AU272">
        <f t="shared" si="196"/>
        <v>0</v>
      </c>
    </row>
    <row r="273" spans="1:47" x14ac:dyDescent="0.2">
      <c r="A273">
        <v>272</v>
      </c>
      <c r="B273">
        <f>PoolStates_V2!B273</f>
        <v>0</v>
      </c>
      <c r="C273">
        <f>PoolStates_V2!S273</f>
        <v>6.5135221718254846E-5</v>
      </c>
      <c r="D273">
        <f>PoolStates_V2!T273</f>
        <v>1.6412773645272311E-3</v>
      </c>
      <c r="E273">
        <f>PoolStates_V2!Q273</f>
        <v>9.0060419938532767E-7</v>
      </c>
      <c r="F273">
        <f t="shared" si="197"/>
        <v>0</v>
      </c>
      <c r="G273">
        <f t="shared" si="198"/>
        <v>0</v>
      </c>
      <c r="H273">
        <f t="shared" si="199"/>
        <v>1.5532842980274544E-2</v>
      </c>
      <c r="I273">
        <f t="shared" si="160"/>
        <v>9.0060419938532767E-7</v>
      </c>
      <c r="J273">
        <f t="shared" si="161"/>
        <v>0</v>
      </c>
      <c r="K273">
        <f t="shared" si="162"/>
        <v>0</v>
      </c>
      <c r="L273">
        <f t="shared" si="163"/>
        <v>0</v>
      </c>
      <c r="M273">
        <f t="shared" si="164"/>
        <v>0</v>
      </c>
      <c r="N273">
        <f t="shared" si="165"/>
        <v>0</v>
      </c>
      <c r="O273">
        <f t="shared" si="166"/>
        <v>1.5531942376075159E-2</v>
      </c>
      <c r="P273">
        <f>M273*Inputs!B6/12</f>
        <v>0</v>
      </c>
      <c r="Q273">
        <f t="shared" si="167"/>
        <v>0</v>
      </c>
      <c r="R273">
        <f>N273*Inputs!B6/12</f>
        <v>0</v>
      </c>
      <c r="S273">
        <f t="shared" si="168"/>
        <v>0</v>
      </c>
      <c r="T273">
        <f t="shared" si="169"/>
        <v>6.5135221718254846E-5</v>
      </c>
      <c r="U273">
        <f t="shared" si="170"/>
        <v>0</v>
      </c>
      <c r="V273">
        <f t="shared" si="171"/>
        <v>6.5135221718254846E-5</v>
      </c>
      <c r="W273">
        <f t="shared" si="172"/>
        <v>1.6412773645272311E-3</v>
      </c>
      <c r="X273">
        <f t="shared" si="173"/>
        <v>0</v>
      </c>
      <c r="Y273">
        <f t="shared" si="174"/>
        <v>0</v>
      </c>
      <c r="Z273">
        <f t="shared" si="175"/>
        <v>0</v>
      </c>
      <c r="AA273">
        <f t="shared" si="176"/>
        <v>0</v>
      </c>
      <c r="AB273">
        <f t="shared" si="177"/>
        <v>0</v>
      </c>
      <c r="AC273">
        <f t="shared" si="178"/>
        <v>1.6412773645272311E-3</v>
      </c>
      <c r="AD273">
        <f t="shared" si="179"/>
        <v>0</v>
      </c>
      <c r="AE273">
        <f t="shared" si="180"/>
        <v>1.6412773645272311E-3</v>
      </c>
      <c r="AF273">
        <f t="shared" si="181"/>
        <v>0</v>
      </c>
      <c r="AG273">
        <f t="shared" si="182"/>
        <v>1.6412773645272311E-3</v>
      </c>
      <c r="AH273">
        <f t="shared" si="183"/>
        <v>1.6412773645272311E-3</v>
      </c>
      <c r="AI273">
        <f t="shared" si="184"/>
        <v>0</v>
      </c>
      <c r="AJ273">
        <f t="shared" si="185"/>
        <v>0</v>
      </c>
      <c r="AK273">
        <f t="shared" si="186"/>
        <v>1.6412773645272311E-3</v>
      </c>
      <c r="AL273">
        <f t="shared" si="187"/>
        <v>0</v>
      </c>
      <c r="AM273">
        <f t="shared" si="188"/>
        <v>0</v>
      </c>
      <c r="AN273">
        <f t="shared" si="189"/>
        <v>1.6412773645272311E-3</v>
      </c>
      <c r="AO273">
        <f t="shared" si="190"/>
        <v>0</v>
      </c>
      <c r="AP273">
        <f t="shared" si="191"/>
        <v>0</v>
      </c>
      <c r="AQ273">
        <f t="shared" si="192"/>
        <v>0</v>
      </c>
      <c r="AR273">
        <f t="shared" si="193"/>
        <v>1.3890665011547928E-2</v>
      </c>
      <c r="AS273">
        <f t="shared" si="194"/>
        <v>0</v>
      </c>
      <c r="AT273">
        <f t="shared" si="195"/>
        <v>0</v>
      </c>
      <c r="AU273">
        <f t="shared" si="196"/>
        <v>0</v>
      </c>
    </row>
    <row r="274" spans="1:47" x14ac:dyDescent="0.2">
      <c r="A274">
        <v>273</v>
      </c>
      <c r="B274">
        <f>PoolStates_V2!B274</f>
        <v>0</v>
      </c>
      <c r="C274">
        <f>PoolStates_V2!S274</f>
        <v>5.8222718114036218E-5</v>
      </c>
      <c r="D274">
        <f>PoolStates_V2!T274</f>
        <v>1.4823360887049383E-3</v>
      </c>
      <c r="E274">
        <f>PoolStates_V2!Q274</f>
        <v>8.1571842354464547E-7</v>
      </c>
      <c r="F274">
        <f t="shared" si="197"/>
        <v>0</v>
      </c>
      <c r="G274">
        <f t="shared" si="198"/>
        <v>0</v>
      </c>
      <c r="H274">
        <f t="shared" si="199"/>
        <v>1.3890665011547928E-2</v>
      </c>
      <c r="I274">
        <f t="shared" si="160"/>
        <v>8.1571842354464547E-7</v>
      </c>
      <c r="J274">
        <f t="shared" si="161"/>
        <v>0</v>
      </c>
      <c r="K274">
        <f t="shared" si="162"/>
        <v>0</v>
      </c>
      <c r="L274">
        <f t="shared" si="163"/>
        <v>0</v>
      </c>
      <c r="M274">
        <f t="shared" si="164"/>
        <v>0</v>
      </c>
      <c r="N274">
        <f t="shared" si="165"/>
        <v>0</v>
      </c>
      <c r="O274">
        <f t="shared" si="166"/>
        <v>1.3889849293124383E-2</v>
      </c>
      <c r="P274">
        <f>M274*Inputs!B6/12</f>
        <v>0</v>
      </c>
      <c r="Q274">
        <f t="shared" si="167"/>
        <v>0</v>
      </c>
      <c r="R274">
        <f>N274*Inputs!B6/12</f>
        <v>0</v>
      </c>
      <c r="S274">
        <f t="shared" si="168"/>
        <v>0</v>
      </c>
      <c r="T274">
        <f t="shared" si="169"/>
        <v>5.8222718114036218E-5</v>
      </c>
      <c r="U274">
        <f t="shared" si="170"/>
        <v>0</v>
      </c>
      <c r="V274">
        <f t="shared" si="171"/>
        <v>5.8222718114036218E-5</v>
      </c>
      <c r="W274">
        <f t="shared" si="172"/>
        <v>1.4823360887049383E-3</v>
      </c>
      <c r="X274">
        <f t="shared" si="173"/>
        <v>0</v>
      </c>
      <c r="Y274">
        <f t="shared" si="174"/>
        <v>0</v>
      </c>
      <c r="Z274">
        <f t="shared" si="175"/>
        <v>0</v>
      </c>
      <c r="AA274">
        <f t="shared" si="176"/>
        <v>0</v>
      </c>
      <c r="AB274">
        <f t="shared" si="177"/>
        <v>0</v>
      </c>
      <c r="AC274">
        <f t="shared" si="178"/>
        <v>1.4823360887049383E-3</v>
      </c>
      <c r="AD274">
        <f t="shared" si="179"/>
        <v>0</v>
      </c>
      <c r="AE274">
        <f t="shared" si="180"/>
        <v>1.4823360887049383E-3</v>
      </c>
      <c r="AF274">
        <f t="shared" si="181"/>
        <v>0</v>
      </c>
      <c r="AG274">
        <f t="shared" si="182"/>
        <v>1.4823360887049383E-3</v>
      </c>
      <c r="AH274">
        <f t="shared" si="183"/>
        <v>1.4823360887049383E-3</v>
      </c>
      <c r="AI274">
        <f t="shared" si="184"/>
        <v>0</v>
      </c>
      <c r="AJ274">
        <f t="shared" si="185"/>
        <v>0</v>
      </c>
      <c r="AK274">
        <f t="shared" si="186"/>
        <v>1.4823360887049383E-3</v>
      </c>
      <c r="AL274">
        <f t="shared" si="187"/>
        <v>0</v>
      </c>
      <c r="AM274">
        <f t="shared" si="188"/>
        <v>0</v>
      </c>
      <c r="AN274">
        <f t="shared" si="189"/>
        <v>1.4823360887049383E-3</v>
      </c>
      <c r="AO274">
        <f t="shared" si="190"/>
        <v>0</v>
      </c>
      <c r="AP274">
        <f t="shared" si="191"/>
        <v>0</v>
      </c>
      <c r="AQ274">
        <f t="shared" si="192"/>
        <v>0</v>
      </c>
      <c r="AR274">
        <f t="shared" si="193"/>
        <v>1.2407513204419445E-2</v>
      </c>
      <c r="AS274">
        <f t="shared" si="194"/>
        <v>0</v>
      </c>
      <c r="AT274">
        <f t="shared" si="195"/>
        <v>0</v>
      </c>
      <c r="AU274">
        <f t="shared" si="196"/>
        <v>0</v>
      </c>
    </row>
    <row r="275" spans="1:47" x14ac:dyDescent="0.2">
      <c r="A275">
        <v>274</v>
      </c>
      <c r="B275">
        <f>PoolStates_V2!B275</f>
        <v>0</v>
      </c>
      <c r="C275">
        <f>PoolStates_V2!S275</f>
        <v>5.1980979579378164E-5</v>
      </c>
      <c r="D275">
        <f>PoolStates_V2!T275</f>
        <v>1.338039732845157E-3</v>
      </c>
      <c r="E275">
        <f>PoolStates_V2!Q275</f>
        <v>7.3851390445173023E-7</v>
      </c>
      <c r="F275">
        <f t="shared" si="197"/>
        <v>0</v>
      </c>
      <c r="G275">
        <f t="shared" si="198"/>
        <v>0</v>
      </c>
      <c r="H275">
        <f t="shared" si="199"/>
        <v>1.2407513204419445E-2</v>
      </c>
      <c r="I275">
        <f t="shared" si="160"/>
        <v>7.3851390445173023E-7</v>
      </c>
      <c r="J275">
        <f t="shared" si="161"/>
        <v>0</v>
      </c>
      <c r="K275">
        <f t="shared" si="162"/>
        <v>0</v>
      </c>
      <c r="L275">
        <f t="shared" si="163"/>
        <v>0</v>
      </c>
      <c r="M275">
        <f t="shared" si="164"/>
        <v>0</v>
      </c>
      <c r="N275">
        <f t="shared" si="165"/>
        <v>0</v>
      </c>
      <c r="O275">
        <f t="shared" si="166"/>
        <v>1.2406774690514993E-2</v>
      </c>
      <c r="P275">
        <f>M275*Inputs!B6/12</f>
        <v>0</v>
      </c>
      <c r="Q275">
        <f t="shared" si="167"/>
        <v>0</v>
      </c>
      <c r="R275">
        <f>N275*Inputs!B6/12</f>
        <v>0</v>
      </c>
      <c r="S275">
        <f t="shared" si="168"/>
        <v>0</v>
      </c>
      <c r="T275">
        <f t="shared" si="169"/>
        <v>5.1980979579378164E-5</v>
      </c>
      <c r="U275">
        <f t="shared" si="170"/>
        <v>0</v>
      </c>
      <c r="V275">
        <f t="shared" si="171"/>
        <v>5.1980979579378164E-5</v>
      </c>
      <c r="W275">
        <f t="shared" si="172"/>
        <v>1.338039732845157E-3</v>
      </c>
      <c r="X275">
        <f t="shared" si="173"/>
        <v>0</v>
      </c>
      <c r="Y275">
        <f t="shared" si="174"/>
        <v>0</v>
      </c>
      <c r="Z275">
        <f t="shared" si="175"/>
        <v>0</v>
      </c>
      <c r="AA275">
        <f t="shared" si="176"/>
        <v>0</v>
      </c>
      <c r="AB275">
        <f t="shared" si="177"/>
        <v>0</v>
      </c>
      <c r="AC275">
        <f t="shared" si="178"/>
        <v>1.338039732845157E-3</v>
      </c>
      <c r="AD275">
        <f t="shared" si="179"/>
        <v>0</v>
      </c>
      <c r="AE275">
        <f t="shared" si="180"/>
        <v>1.338039732845157E-3</v>
      </c>
      <c r="AF275">
        <f t="shared" si="181"/>
        <v>0</v>
      </c>
      <c r="AG275">
        <f t="shared" si="182"/>
        <v>1.338039732845157E-3</v>
      </c>
      <c r="AH275">
        <f t="shared" si="183"/>
        <v>1.338039732845157E-3</v>
      </c>
      <c r="AI275">
        <f t="shared" si="184"/>
        <v>0</v>
      </c>
      <c r="AJ275">
        <f t="shared" si="185"/>
        <v>0</v>
      </c>
      <c r="AK275">
        <f t="shared" si="186"/>
        <v>1.338039732845157E-3</v>
      </c>
      <c r="AL275">
        <f t="shared" si="187"/>
        <v>0</v>
      </c>
      <c r="AM275">
        <f t="shared" si="188"/>
        <v>0</v>
      </c>
      <c r="AN275">
        <f t="shared" si="189"/>
        <v>1.338039732845157E-3</v>
      </c>
      <c r="AO275">
        <f t="shared" si="190"/>
        <v>0</v>
      </c>
      <c r="AP275">
        <f t="shared" si="191"/>
        <v>0</v>
      </c>
      <c r="AQ275">
        <f t="shared" si="192"/>
        <v>0</v>
      </c>
      <c r="AR275">
        <f t="shared" si="193"/>
        <v>1.1068734957669836E-2</v>
      </c>
      <c r="AS275">
        <f t="shared" si="194"/>
        <v>0</v>
      </c>
      <c r="AT275">
        <f t="shared" si="195"/>
        <v>0</v>
      </c>
      <c r="AU275">
        <f t="shared" si="196"/>
        <v>0</v>
      </c>
    </row>
    <row r="276" spans="1:47" x14ac:dyDescent="0.2">
      <c r="A276">
        <v>275</v>
      </c>
      <c r="B276">
        <f>PoolStates_V2!B276</f>
        <v>0</v>
      </c>
      <c r="C276">
        <f>PoolStates_V2!S276</f>
        <v>4.6348122379581198E-5</v>
      </c>
      <c r="D276">
        <f>PoolStates_V2!T276</f>
        <v>1.2070826442504763E-3</v>
      </c>
      <c r="E276">
        <f>PoolStates_V2!Q276</f>
        <v>6.6831430296916284E-7</v>
      </c>
      <c r="F276">
        <f t="shared" si="197"/>
        <v>0</v>
      </c>
      <c r="G276">
        <f t="shared" si="198"/>
        <v>0</v>
      </c>
      <c r="H276">
        <f t="shared" si="199"/>
        <v>1.1068734957669836E-2</v>
      </c>
      <c r="I276">
        <f t="shared" si="160"/>
        <v>6.6831430296916284E-7</v>
      </c>
      <c r="J276">
        <f t="shared" si="161"/>
        <v>0</v>
      </c>
      <c r="K276">
        <f t="shared" si="162"/>
        <v>0</v>
      </c>
      <c r="L276">
        <f t="shared" si="163"/>
        <v>0</v>
      </c>
      <c r="M276">
        <f t="shared" si="164"/>
        <v>0</v>
      </c>
      <c r="N276">
        <f t="shared" si="165"/>
        <v>0</v>
      </c>
      <c r="O276">
        <f t="shared" si="166"/>
        <v>1.1068066643366866E-2</v>
      </c>
      <c r="P276">
        <f>M276*Inputs!B6/12</f>
        <v>0</v>
      </c>
      <c r="Q276">
        <f t="shared" si="167"/>
        <v>0</v>
      </c>
      <c r="R276">
        <f>N276*Inputs!B6/12</f>
        <v>0</v>
      </c>
      <c r="S276">
        <f t="shared" si="168"/>
        <v>0</v>
      </c>
      <c r="T276">
        <f t="shared" si="169"/>
        <v>4.6348122379581198E-5</v>
      </c>
      <c r="U276">
        <f t="shared" si="170"/>
        <v>0</v>
      </c>
      <c r="V276">
        <f t="shared" si="171"/>
        <v>4.6348122379581198E-5</v>
      </c>
      <c r="W276">
        <f t="shared" si="172"/>
        <v>1.2070826442504763E-3</v>
      </c>
      <c r="X276">
        <f t="shared" si="173"/>
        <v>0</v>
      </c>
      <c r="Y276">
        <f t="shared" si="174"/>
        <v>0</v>
      </c>
      <c r="Z276">
        <f t="shared" si="175"/>
        <v>0</v>
      </c>
      <c r="AA276">
        <f t="shared" si="176"/>
        <v>0</v>
      </c>
      <c r="AB276">
        <f t="shared" si="177"/>
        <v>0</v>
      </c>
      <c r="AC276">
        <f t="shared" si="178"/>
        <v>1.2070826442504763E-3</v>
      </c>
      <c r="AD276">
        <f t="shared" si="179"/>
        <v>0</v>
      </c>
      <c r="AE276">
        <f t="shared" si="180"/>
        <v>1.2070826442504763E-3</v>
      </c>
      <c r="AF276">
        <f t="shared" si="181"/>
        <v>0</v>
      </c>
      <c r="AG276">
        <f t="shared" si="182"/>
        <v>1.2070826442504763E-3</v>
      </c>
      <c r="AH276">
        <f t="shared" si="183"/>
        <v>1.2070826442504763E-3</v>
      </c>
      <c r="AI276">
        <f t="shared" si="184"/>
        <v>0</v>
      </c>
      <c r="AJ276">
        <f t="shared" si="185"/>
        <v>0</v>
      </c>
      <c r="AK276">
        <f t="shared" si="186"/>
        <v>1.2070826442504763E-3</v>
      </c>
      <c r="AL276">
        <f t="shared" si="187"/>
        <v>0</v>
      </c>
      <c r="AM276">
        <f t="shared" si="188"/>
        <v>0</v>
      </c>
      <c r="AN276">
        <f t="shared" si="189"/>
        <v>1.2070826442504763E-3</v>
      </c>
      <c r="AO276">
        <f t="shared" si="190"/>
        <v>0</v>
      </c>
      <c r="AP276">
        <f t="shared" si="191"/>
        <v>0</v>
      </c>
      <c r="AQ276">
        <f t="shared" si="192"/>
        <v>0</v>
      </c>
      <c r="AR276">
        <f t="shared" si="193"/>
        <v>9.8609839991163906E-3</v>
      </c>
      <c r="AS276">
        <f t="shared" si="194"/>
        <v>0</v>
      </c>
      <c r="AT276">
        <f t="shared" si="195"/>
        <v>0</v>
      </c>
      <c r="AU276">
        <f t="shared" si="196"/>
        <v>0</v>
      </c>
    </row>
    <row r="277" spans="1:47" x14ac:dyDescent="0.2">
      <c r="A277">
        <v>276</v>
      </c>
      <c r="B277">
        <f>PoolStates_V2!B277</f>
        <v>0</v>
      </c>
      <c r="C277">
        <f>PoolStates_V2!S277</f>
        <v>4.1267784781574154E-5</v>
      </c>
      <c r="D277">
        <f>PoolStates_V2!T277</f>
        <v>1.0882729601723502E-3</v>
      </c>
      <c r="E277">
        <f>PoolStates_V2!Q277</f>
        <v>6.0450166398963517E-7</v>
      </c>
      <c r="F277">
        <f t="shared" si="197"/>
        <v>0</v>
      </c>
      <c r="G277">
        <f t="shared" si="198"/>
        <v>0</v>
      </c>
      <c r="H277">
        <f t="shared" si="199"/>
        <v>9.8609839991163906E-3</v>
      </c>
      <c r="I277">
        <f t="shared" si="160"/>
        <v>6.0450166398963517E-7</v>
      </c>
      <c r="J277">
        <f t="shared" si="161"/>
        <v>0</v>
      </c>
      <c r="K277">
        <f t="shared" si="162"/>
        <v>0</v>
      </c>
      <c r="L277">
        <f t="shared" si="163"/>
        <v>0</v>
      </c>
      <c r="M277">
        <f t="shared" si="164"/>
        <v>0</v>
      </c>
      <c r="N277">
        <f t="shared" si="165"/>
        <v>0</v>
      </c>
      <c r="O277">
        <f t="shared" si="166"/>
        <v>9.8603794974524012E-3</v>
      </c>
      <c r="P277">
        <f>M277*Inputs!B6/12</f>
        <v>0</v>
      </c>
      <c r="Q277">
        <f t="shared" si="167"/>
        <v>0</v>
      </c>
      <c r="R277">
        <f>N277*Inputs!B6/12</f>
        <v>0</v>
      </c>
      <c r="S277">
        <f t="shared" si="168"/>
        <v>0</v>
      </c>
      <c r="T277">
        <f t="shared" si="169"/>
        <v>4.1267784781574154E-5</v>
      </c>
      <c r="U277">
        <f t="shared" si="170"/>
        <v>0</v>
      </c>
      <c r="V277">
        <f t="shared" si="171"/>
        <v>4.1267784781574154E-5</v>
      </c>
      <c r="W277">
        <f t="shared" si="172"/>
        <v>1.0882729601723502E-3</v>
      </c>
      <c r="X277">
        <f t="shared" si="173"/>
        <v>0</v>
      </c>
      <c r="Y277">
        <f t="shared" si="174"/>
        <v>0</v>
      </c>
      <c r="Z277">
        <f t="shared" si="175"/>
        <v>0</v>
      </c>
      <c r="AA277">
        <f t="shared" si="176"/>
        <v>0</v>
      </c>
      <c r="AB277">
        <f t="shared" si="177"/>
        <v>0</v>
      </c>
      <c r="AC277">
        <f t="shared" si="178"/>
        <v>1.0882729601723502E-3</v>
      </c>
      <c r="AD277">
        <f t="shared" si="179"/>
        <v>0</v>
      </c>
      <c r="AE277">
        <f t="shared" si="180"/>
        <v>1.0882729601723502E-3</v>
      </c>
      <c r="AF277">
        <f t="shared" si="181"/>
        <v>0</v>
      </c>
      <c r="AG277">
        <f t="shared" si="182"/>
        <v>1.0882729601723502E-3</v>
      </c>
      <c r="AH277">
        <f t="shared" si="183"/>
        <v>1.0882729601723502E-3</v>
      </c>
      <c r="AI277">
        <f t="shared" si="184"/>
        <v>0</v>
      </c>
      <c r="AJ277">
        <f t="shared" si="185"/>
        <v>0</v>
      </c>
      <c r="AK277">
        <f t="shared" si="186"/>
        <v>1.0882729601723502E-3</v>
      </c>
      <c r="AL277">
        <f t="shared" si="187"/>
        <v>0</v>
      </c>
      <c r="AM277">
        <f t="shared" si="188"/>
        <v>0</v>
      </c>
      <c r="AN277">
        <f t="shared" si="189"/>
        <v>1.0882729601723502E-3</v>
      </c>
      <c r="AO277">
        <f t="shared" si="190"/>
        <v>0</v>
      </c>
      <c r="AP277">
        <f t="shared" si="191"/>
        <v>0</v>
      </c>
      <c r="AQ277">
        <f t="shared" si="192"/>
        <v>0</v>
      </c>
      <c r="AR277">
        <f t="shared" si="193"/>
        <v>8.7721065372800503E-3</v>
      </c>
      <c r="AS277">
        <f t="shared" si="194"/>
        <v>0</v>
      </c>
      <c r="AT277">
        <f t="shared" si="195"/>
        <v>0</v>
      </c>
      <c r="AU277">
        <f t="shared" si="196"/>
        <v>0</v>
      </c>
    </row>
    <row r="278" spans="1:47" x14ac:dyDescent="0.2">
      <c r="A278">
        <v>277</v>
      </c>
      <c r="B278">
        <f>PoolStates_V2!B278</f>
        <v>0</v>
      </c>
      <c r="C278">
        <f>PoolStates_V2!S278</f>
        <v>3.6688645492015834E-5</v>
      </c>
      <c r="D278">
        <f>PoolStates_V2!T278</f>
        <v>9.8052286502667263E-4</v>
      </c>
      <c r="E278">
        <f>PoolStates_V2!Q278</f>
        <v>5.4651145107756959E-7</v>
      </c>
      <c r="F278">
        <f t="shared" si="197"/>
        <v>0</v>
      </c>
      <c r="G278">
        <f t="shared" si="198"/>
        <v>0</v>
      </c>
      <c r="H278">
        <f t="shared" si="199"/>
        <v>8.7721065372800503E-3</v>
      </c>
      <c r="I278">
        <f t="shared" si="160"/>
        <v>5.4651145107756959E-7</v>
      </c>
      <c r="J278">
        <f t="shared" si="161"/>
        <v>0</v>
      </c>
      <c r="K278">
        <f t="shared" si="162"/>
        <v>0</v>
      </c>
      <c r="L278">
        <f t="shared" si="163"/>
        <v>0</v>
      </c>
      <c r="M278">
        <f t="shared" si="164"/>
        <v>0</v>
      </c>
      <c r="N278">
        <f t="shared" si="165"/>
        <v>0</v>
      </c>
      <c r="O278">
        <f t="shared" si="166"/>
        <v>8.7715600258289721E-3</v>
      </c>
      <c r="P278">
        <f>M278*Inputs!B6/12</f>
        <v>0</v>
      </c>
      <c r="Q278">
        <f t="shared" si="167"/>
        <v>0</v>
      </c>
      <c r="R278">
        <f>N278*Inputs!B6/12</f>
        <v>0</v>
      </c>
      <c r="S278">
        <f t="shared" si="168"/>
        <v>0</v>
      </c>
      <c r="T278">
        <f t="shared" si="169"/>
        <v>3.6688645492015834E-5</v>
      </c>
      <c r="U278">
        <f t="shared" si="170"/>
        <v>0</v>
      </c>
      <c r="V278">
        <f t="shared" si="171"/>
        <v>3.6688645492015834E-5</v>
      </c>
      <c r="W278">
        <f t="shared" si="172"/>
        <v>9.8052286502667263E-4</v>
      </c>
      <c r="X278">
        <f t="shared" si="173"/>
        <v>0</v>
      </c>
      <c r="Y278">
        <f t="shared" si="174"/>
        <v>0</v>
      </c>
      <c r="Z278">
        <f t="shared" si="175"/>
        <v>0</v>
      </c>
      <c r="AA278">
        <f t="shared" si="176"/>
        <v>0</v>
      </c>
      <c r="AB278">
        <f t="shared" si="177"/>
        <v>0</v>
      </c>
      <c r="AC278">
        <f t="shared" si="178"/>
        <v>9.8052286502667263E-4</v>
      </c>
      <c r="AD278">
        <f t="shared" si="179"/>
        <v>0</v>
      </c>
      <c r="AE278">
        <f t="shared" si="180"/>
        <v>9.8052286502667263E-4</v>
      </c>
      <c r="AF278">
        <f t="shared" si="181"/>
        <v>0</v>
      </c>
      <c r="AG278">
        <f t="shared" si="182"/>
        <v>9.8052286502667263E-4</v>
      </c>
      <c r="AH278">
        <f t="shared" si="183"/>
        <v>9.8052286502667263E-4</v>
      </c>
      <c r="AI278">
        <f t="shared" si="184"/>
        <v>0</v>
      </c>
      <c r="AJ278">
        <f t="shared" si="185"/>
        <v>0</v>
      </c>
      <c r="AK278">
        <f t="shared" si="186"/>
        <v>9.8052286502667263E-4</v>
      </c>
      <c r="AL278">
        <f t="shared" si="187"/>
        <v>0</v>
      </c>
      <c r="AM278">
        <f t="shared" si="188"/>
        <v>0</v>
      </c>
      <c r="AN278">
        <f t="shared" si="189"/>
        <v>9.8052286502667263E-4</v>
      </c>
      <c r="AO278">
        <f t="shared" si="190"/>
        <v>0</v>
      </c>
      <c r="AP278">
        <f t="shared" si="191"/>
        <v>0</v>
      </c>
      <c r="AQ278">
        <f t="shared" si="192"/>
        <v>0</v>
      </c>
      <c r="AR278">
        <f t="shared" si="193"/>
        <v>7.7910371608022992E-3</v>
      </c>
      <c r="AS278">
        <f t="shared" si="194"/>
        <v>0</v>
      </c>
      <c r="AT278">
        <f t="shared" si="195"/>
        <v>0</v>
      </c>
      <c r="AU278">
        <f t="shared" si="196"/>
        <v>0</v>
      </c>
    </row>
    <row r="279" spans="1:47" x14ac:dyDescent="0.2">
      <c r="A279">
        <v>278</v>
      </c>
      <c r="B279">
        <f>PoolStates_V2!B279</f>
        <v>0</v>
      </c>
      <c r="C279">
        <f>PoolStates_V2!S279</f>
        <v>3.2563983346694775E-5</v>
      </c>
      <c r="D279">
        <f>PoolStates_V2!T279</f>
        <v>8.8283967216661919E-4</v>
      </c>
      <c r="E279">
        <f>PoolStates_V2!Q279</f>
        <v>4.9382799846134747E-7</v>
      </c>
      <c r="F279">
        <f t="shared" si="197"/>
        <v>0</v>
      </c>
      <c r="G279">
        <f t="shared" si="198"/>
        <v>0</v>
      </c>
      <c r="H279">
        <f t="shared" si="199"/>
        <v>7.7910371608022992E-3</v>
      </c>
      <c r="I279">
        <f t="shared" si="160"/>
        <v>4.9382799846134747E-7</v>
      </c>
      <c r="J279">
        <f t="shared" si="161"/>
        <v>0</v>
      </c>
      <c r="K279">
        <f t="shared" si="162"/>
        <v>0</v>
      </c>
      <c r="L279">
        <f t="shared" si="163"/>
        <v>0</v>
      </c>
      <c r="M279">
        <f t="shared" si="164"/>
        <v>0</v>
      </c>
      <c r="N279">
        <f t="shared" si="165"/>
        <v>0</v>
      </c>
      <c r="O279">
        <f t="shared" si="166"/>
        <v>7.7905433328038379E-3</v>
      </c>
      <c r="P279">
        <f>M279*Inputs!B6/12</f>
        <v>0</v>
      </c>
      <c r="Q279">
        <f t="shared" si="167"/>
        <v>0</v>
      </c>
      <c r="R279">
        <f>N279*Inputs!B6/12</f>
        <v>0</v>
      </c>
      <c r="S279">
        <f t="shared" si="168"/>
        <v>0</v>
      </c>
      <c r="T279">
        <f t="shared" si="169"/>
        <v>3.2563983346694775E-5</v>
      </c>
      <c r="U279">
        <f t="shared" si="170"/>
        <v>0</v>
      </c>
      <c r="V279">
        <f t="shared" si="171"/>
        <v>3.2563983346694775E-5</v>
      </c>
      <c r="W279">
        <f t="shared" si="172"/>
        <v>8.8283967216661919E-4</v>
      </c>
      <c r="X279">
        <f t="shared" si="173"/>
        <v>0</v>
      </c>
      <c r="Y279">
        <f t="shared" si="174"/>
        <v>0</v>
      </c>
      <c r="Z279">
        <f t="shared" si="175"/>
        <v>0</v>
      </c>
      <c r="AA279">
        <f t="shared" si="176"/>
        <v>0</v>
      </c>
      <c r="AB279">
        <f t="shared" si="177"/>
        <v>0</v>
      </c>
      <c r="AC279">
        <f t="shared" si="178"/>
        <v>8.8283967216661919E-4</v>
      </c>
      <c r="AD279">
        <f t="shared" si="179"/>
        <v>0</v>
      </c>
      <c r="AE279">
        <f t="shared" si="180"/>
        <v>8.8283967216661919E-4</v>
      </c>
      <c r="AF279">
        <f t="shared" si="181"/>
        <v>0</v>
      </c>
      <c r="AG279">
        <f t="shared" si="182"/>
        <v>8.8283967216661919E-4</v>
      </c>
      <c r="AH279">
        <f t="shared" si="183"/>
        <v>8.8283967216661919E-4</v>
      </c>
      <c r="AI279">
        <f t="shared" si="184"/>
        <v>0</v>
      </c>
      <c r="AJ279">
        <f t="shared" si="185"/>
        <v>0</v>
      </c>
      <c r="AK279">
        <f t="shared" si="186"/>
        <v>8.8283967216661919E-4</v>
      </c>
      <c r="AL279">
        <f t="shared" si="187"/>
        <v>0</v>
      </c>
      <c r="AM279">
        <f t="shared" si="188"/>
        <v>0</v>
      </c>
      <c r="AN279">
        <f t="shared" si="189"/>
        <v>8.8283967216661919E-4</v>
      </c>
      <c r="AO279">
        <f t="shared" si="190"/>
        <v>0</v>
      </c>
      <c r="AP279">
        <f t="shared" si="191"/>
        <v>0</v>
      </c>
      <c r="AQ279">
        <f t="shared" si="192"/>
        <v>0</v>
      </c>
      <c r="AR279">
        <f t="shared" si="193"/>
        <v>6.9077036606372188E-3</v>
      </c>
      <c r="AS279">
        <f t="shared" si="194"/>
        <v>0</v>
      </c>
      <c r="AT279">
        <f t="shared" si="195"/>
        <v>0</v>
      </c>
      <c r="AU279">
        <f t="shared" si="196"/>
        <v>0</v>
      </c>
    </row>
    <row r="280" spans="1:47" x14ac:dyDescent="0.2">
      <c r="A280">
        <v>279</v>
      </c>
      <c r="B280">
        <f>PoolStates_V2!B280</f>
        <v>0</v>
      </c>
      <c r="C280">
        <f>PoolStates_V2!S280</f>
        <v>2.8851274758595716E-5</v>
      </c>
      <c r="D280">
        <f>PoolStates_V2!T280</f>
        <v>7.943176615036624E-4</v>
      </c>
      <c r="E280">
        <f>PoolStates_V2!Q280</f>
        <v>4.4598034561910031E-7</v>
      </c>
      <c r="F280">
        <f t="shared" si="197"/>
        <v>0</v>
      </c>
      <c r="G280">
        <f t="shared" si="198"/>
        <v>0</v>
      </c>
      <c r="H280">
        <f t="shared" si="199"/>
        <v>6.9077036606372188E-3</v>
      </c>
      <c r="I280">
        <f t="shared" si="160"/>
        <v>4.4598034561910031E-7</v>
      </c>
      <c r="J280">
        <f t="shared" si="161"/>
        <v>0</v>
      </c>
      <c r="K280">
        <f t="shared" si="162"/>
        <v>0</v>
      </c>
      <c r="L280">
        <f t="shared" si="163"/>
        <v>0</v>
      </c>
      <c r="M280">
        <f t="shared" si="164"/>
        <v>0</v>
      </c>
      <c r="N280">
        <f t="shared" si="165"/>
        <v>0</v>
      </c>
      <c r="O280">
        <f t="shared" si="166"/>
        <v>6.9072576802915999E-3</v>
      </c>
      <c r="P280">
        <f>M280*Inputs!B6/12</f>
        <v>0</v>
      </c>
      <c r="Q280">
        <f t="shared" si="167"/>
        <v>0</v>
      </c>
      <c r="R280">
        <f>N280*Inputs!B6/12</f>
        <v>0</v>
      </c>
      <c r="S280">
        <f t="shared" si="168"/>
        <v>0</v>
      </c>
      <c r="T280">
        <f t="shared" si="169"/>
        <v>2.8851274758595716E-5</v>
      </c>
      <c r="U280">
        <f t="shared" si="170"/>
        <v>0</v>
      </c>
      <c r="V280">
        <f t="shared" si="171"/>
        <v>2.8851274758595716E-5</v>
      </c>
      <c r="W280">
        <f t="shared" si="172"/>
        <v>7.943176615036624E-4</v>
      </c>
      <c r="X280">
        <f t="shared" si="173"/>
        <v>0</v>
      </c>
      <c r="Y280">
        <f t="shared" si="174"/>
        <v>0</v>
      </c>
      <c r="Z280">
        <f t="shared" si="175"/>
        <v>0</v>
      </c>
      <c r="AA280">
        <f t="shared" si="176"/>
        <v>0</v>
      </c>
      <c r="AB280">
        <f t="shared" si="177"/>
        <v>0</v>
      </c>
      <c r="AC280">
        <f t="shared" si="178"/>
        <v>7.943176615036624E-4</v>
      </c>
      <c r="AD280">
        <f t="shared" si="179"/>
        <v>0</v>
      </c>
      <c r="AE280">
        <f t="shared" si="180"/>
        <v>7.943176615036624E-4</v>
      </c>
      <c r="AF280">
        <f t="shared" si="181"/>
        <v>0</v>
      </c>
      <c r="AG280">
        <f t="shared" si="182"/>
        <v>7.943176615036624E-4</v>
      </c>
      <c r="AH280">
        <f t="shared" si="183"/>
        <v>7.943176615036624E-4</v>
      </c>
      <c r="AI280">
        <f t="shared" si="184"/>
        <v>0</v>
      </c>
      <c r="AJ280">
        <f t="shared" si="185"/>
        <v>0</v>
      </c>
      <c r="AK280">
        <f t="shared" si="186"/>
        <v>7.943176615036624E-4</v>
      </c>
      <c r="AL280">
        <f t="shared" si="187"/>
        <v>0</v>
      </c>
      <c r="AM280">
        <f t="shared" si="188"/>
        <v>0</v>
      </c>
      <c r="AN280">
        <f t="shared" si="189"/>
        <v>7.943176615036624E-4</v>
      </c>
      <c r="AO280">
        <f t="shared" si="190"/>
        <v>0</v>
      </c>
      <c r="AP280">
        <f t="shared" si="191"/>
        <v>0</v>
      </c>
      <c r="AQ280">
        <f t="shared" si="192"/>
        <v>0</v>
      </c>
      <c r="AR280">
        <f t="shared" si="193"/>
        <v>6.1129400187879372E-3</v>
      </c>
      <c r="AS280">
        <f t="shared" si="194"/>
        <v>0</v>
      </c>
      <c r="AT280">
        <f t="shared" si="195"/>
        <v>0</v>
      </c>
      <c r="AU280">
        <f t="shared" si="196"/>
        <v>0</v>
      </c>
    </row>
    <row r="281" spans="1:47" x14ac:dyDescent="0.2">
      <c r="A281">
        <v>280</v>
      </c>
      <c r="B281">
        <f>PoolStates_V2!B281</f>
        <v>0</v>
      </c>
      <c r="C281">
        <f>PoolStates_V2!S281</f>
        <v>2.5511825723097719E-5</v>
      </c>
      <c r="D281">
        <f>PoolStates_V2!T281</f>
        <v>7.1413061006017197E-4</v>
      </c>
      <c r="E281">
        <f>PoolStates_V2!Q281</f>
        <v>4.0253842257224587E-7</v>
      </c>
      <c r="F281">
        <f t="shared" si="197"/>
        <v>0</v>
      </c>
      <c r="G281">
        <f t="shared" si="198"/>
        <v>0</v>
      </c>
      <c r="H281">
        <f t="shared" si="199"/>
        <v>6.1129400187879372E-3</v>
      </c>
      <c r="I281">
        <f t="shared" si="160"/>
        <v>4.0253842257224587E-7</v>
      </c>
      <c r="J281">
        <f t="shared" si="161"/>
        <v>0</v>
      </c>
      <c r="K281">
        <f t="shared" si="162"/>
        <v>0</v>
      </c>
      <c r="L281">
        <f t="shared" si="163"/>
        <v>0</v>
      </c>
      <c r="M281">
        <f t="shared" si="164"/>
        <v>0</v>
      </c>
      <c r="N281">
        <f t="shared" si="165"/>
        <v>0</v>
      </c>
      <c r="O281">
        <f t="shared" si="166"/>
        <v>6.112537480365365E-3</v>
      </c>
      <c r="P281">
        <f>M281*Inputs!B6/12</f>
        <v>0</v>
      </c>
      <c r="Q281">
        <f t="shared" si="167"/>
        <v>0</v>
      </c>
      <c r="R281">
        <f>N281*Inputs!B6/12</f>
        <v>0</v>
      </c>
      <c r="S281">
        <f t="shared" si="168"/>
        <v>0</v>
      </c>
      <c r="T281">
        <f t="shared" si="169"/>
        <v>2.5511825723097719E-5</v>
      </c>
      <c r="U281">
        <f t="shared" si="170"/>
        <v>0</v>
      </c>
      <c r="V281">
        <f t="shared" si="171"/>
        <v>2.5511825723097719E-5</v>
      </c>
      <c r="W281">
        <f t="shared" si="172"/>
        <v>7.1413061006017197E-4</v>
      </c>
      <c r="X281">
        <f t="shared" si="173"/>
        <v>0</v>
      </c>
      <c r="Y281">
        <f t="shared" si="174"/>
        <v>0</v>
      </c>
      <c r="Z281">
        <f t="shared" si="175"/>
        <v>0</v>
      </c>
      <c r="AA281">
        <f t="shared" si="176"/>
        <v>0</v>
      </c>
      <c r="AB281">
        <f t="shared" si="177"/>
        <v>0</v>
      </c>
      <c r="AC281">
        <f t="shared" si="178"/>
        <v>7.1413061006017197E-4</v>
      </c>
      <c r="AD281">
        <f t="shared" si="179"/>
        <v>0</v>
      </c>
      <c r="AE281">
        <f t="shared" si="180"/>
        <v>7.1413061006017197E-4</v>
      </c>
      <c r="AF281">
        <f t="shared" si="181"/>
        <v>0</v>
      </c>
      <c r="AG281">
        <f t="shared" si="182"/>
        <v>7.1413061006017197E-4</v>
      </c>
      <c r="AH281">
        <f t="shared" si="183"/>
        <v>7.1413061006017197E-4</v>
      </c>
      <c r="AI281">
        <f t="shared" si="184"/>
        <v>0</v>
      </c>
      <c r="AJ281">
        <f t="shared" si="185"/>
        <v>0</v>
      </c>
      <c r="AK281">
        <f t="shared" si="186"/>
        <v>7.1413061006017197E-4</v>
      </c>
      <c r="AL281">
        <f t="shared" si="187"/>
        <v>0</v>
      </c>
      <c r="AM281">
        <f t="shared" si="188"/>
        <v>0</v>
      </c>
      <c r="AN281">
        <f t="shared" si="189"/>
        <v>7.1413061006017197E-4</v>
      </c>
      <c r="AO281">
        <f t="shared" si="190"/>
        <v>0</v>
      </c>
      <c r="AP281">
        <f t="shared" si="191"/>
        <v>0</v>
      </c>
      <c r="AQ281">
        <f t="shared" si="192"/>
        <v>0</v>
      </c>
      <c r="AR281">
        <f t="shared" si="193"/>
        <v>5.3984068703051931E-3</v>
      </c>
      <c r="AS281">
        <f t="shared" si="194"/>
        <v>0</v>
      </c>
      <c r="AT281">
        <f t="shared" si="195"/>
        <v>0</v>
      </c>
      <c r="AU281">
        <f t="shared" si="196"/>
        <v>0</v>
      </c>
    </row>
    <row r="282" spans="1:47" x14ac:dyDescent="0.2">
      <c r="A282">
        <v>281</v>
      </c>
      <c r="B282">
        <f>PoolStates_V2!B282</f>
        <v>0</v>
      </c>
      <c r="C282">
        <f>PoolStates_V2!S282</f>
        <v>2.2510435445309289E-5</v>
      </c>
      <c r="D282">
        <f>PoolStates_V2!T282</f>
        <v>6.415249578906909E-4</v>
      </c>
      <c r="E282">
        <f>PoolStates_V2!Q282</f>
        <v>3.6310955663617818E-7</v>
      </c>
      <c r="F282">
        <f t="shared" si="197"/>
        <v>0</v>
      </c>
      <c r="G282">
        <f t="shared" si="198"/>
        <v>0</v>
      </c>
      <c r="H282">
        <f t="shared" si="199"/>
        <v>5.3984068703051931E-3</v>
      </c>
      <c r="I282">
        <f t="shared" si="160"/>
        <v>3.6310955663617818E-7</v>
      </c>
      <c r="J282">
        <f t="shared" si="161"/>
        <v>0</v>
      </c>
      <c r="K282">
        <f t="shared" si="162"/>
        <v>0</v>
      </c>
      <c r="L282">
        <f t="shared" si="163"/>
        <v>0</v>
      </c>
      <c r="M282">
        <f t="shared" si="164"/>
        <v>0</v>
      </c>
      <c r="N282">
        <f t="shared" si="165"/>
        <v>0</v>
      </c>
      <c r="O282">
        <f t="shared" si="166"/>
        <v>5.398043760748557E-3</v>
      </c>
      <c r="P282">
        <f>M282*Inputs!B6/12</f>
        <v>0</v>
      </c>
      <c r="Q282">
        <f t="shared" si="167"/>
        <v>0</v>
      </c>
      <c r="R282">
        <f>N282*Inputs!B6/12</f>
        <v>0</v>
      </c>
      <c r="S282">
        <f t="shared" si="168"/>
        <v>0</v>
      </c>
      <c r="T282">
        <f t="shared" si="169"/>
        <v>2.2510435445309289E-5</v>
      </c>
      <c r="U282">
        <f t="shared" si="170"/>
        <v>0</v>
      </c>
      <c r="V282">
        <f t="shared" si="171"/>
        <v>2.2510435445309289E-5</v>
      </c>
      <c r="W282">
        <f t="shared" si="172"/>
        <v>6.415249578906909E-4</v>
      </c>
      <c r="X282">
        <f t="shared" si="173"/>
        <v>0</v>
      </c>
      <c r="Y282">
        <f t="shared" si="174"/>
        <v>0</v>
      </c>
      <c r="Z282">
        <f t="shared" si="175"/>
        <v>0</v>
      </c>
      <c r="AA282">
        <f t="shared" si="176"/>
        <v>0</v>
      </c>
      <c r="AB282">
        <f t="shared" si="177"/>
        <v>0</v>
      </c>
      <c r="AC282">
        <f t="shared" si="178"/>
        <v>6.415249578906909E-4</v>
      </c>
      <c r="AD282">
        <f t="shared" si="179"/>
        <v>0</v>
      </c>
      <c r="AE282">
        <f t="shared" si="180"/>
        <v>6.415249578906909E-4</v>
      </c>
      <c r="AF282">
        <f t="shared" si="181"/>
        <v>0</v>
      </c>
      <c r="AG282">
        <f t="shared" si="182"/>
        <v>6.415249578906909E-4</v>
      </c>
      <c r="AH282">
        <f t="shared" si="183"/>
        <v>6.415249578906909E-4</v>
      </c>
      <c r="AI282">
        <f t="shared" si="184"/>
        <v>0</v>
      </c>
      <c r="AJ282">
        <f t="shared" si="185"/>
        <v>0</v>
      </c>
      <c r="AK282">
        <f t="shared" si="186"/>
        <v>6.415249578906909E-4</v>
      </c>
      <c r="AL282">
        <f t="shared" si="187"/>
        <v>0</v>
      </c>
      <c r="AM282">
        <f t="shared" si="188"/>
        <v>0</v>
      </c>
      <c r="AN282">
        <f t="shared" si="189"/>
        <v>6.415249578906909E-4</v>
      </c>
      <c r="AO282">
        <f t="shared" si="190"/>
        <v>0</v>
      </c>
      <c r="AP282">
        <f t="shared" si="191"/>
        <v>0</v>
      </c>
      <c r="AQ282">
        <f t="shared" si="192"/>
        <v>0</v>
      </c>
      <c r="AR282">
        <f t="shared" si="193"/>
        <v>4.7565188028578665E-3</v>
      </c>
      <c r="AS282">
        <f t="shared" si="194"/>
        <v>0</v>
      </c>
      <c r="AT282">
        <f t="shared" si="195"/>
        <v>0</v>
      </c>
      <c r="AU282">
        <f t="shared" si="196"/>
        <v>0</v>
      </c>
    </row>
    <row r="283" spans="1:47" x14ac:dyDescent="0.2">
      <c r="A283">
        <v>282</v>
      </c>
      <c r="B283">
        <f>PoolStates_V2!B283</f>
        <v>0</v>
      </c>
      <c r="C283">
        <f>PoolStates_V2!S283</f>
        <v>1.9815088898385966E-5</v>
      </c>
      <c r="D283">
        <f>PoolStates_V2!T283</f>
        <v>5.758135567783309E-4</v>
      </c>
      <c r="E283">
        <f>PoolStates_V2!Q283</f>
        <v>3.273352737959121E-7</v>
      </c>
      <c r="F283">
        <f t="shared" si="197"/>
        <v>0</v>
      </c>
      <c r="G283">
        <f t="shared" si="198"/>
        <v>0</v>
      </c>
      <c r="H283">
        <f t="shared" si="199"/>
        <v>4.7565188028578665E-3</v>
      </c>
      <c r="I283">
        <f t="shared" si="160"/>
        <v>3.273352737959121E-7</v>
      </c>
      <c r="J283">
        <f t="shared" si="161"/>
        <v>0</v>
      </c>
      <c r="K283">
        <f t="shared" si="162"/>
        <v>0</v>
      </c>
      <c r="L283">
        <f t="shared" si="163"/>
        <v>0</v>
      </c>
      <c r="M283">
        <f t="shared" si="164"/>
        <v>0</v>
      </c>
      <c r="N283">
        <f t="shared" si="165"/>
        <v>0</v>
      </c>
      <c r="O283">
        <f t="shared" si="166"/>
        <v>4.7561914675840703E-3</v>
      </c>
      <c r="P283">
        <f>M283*Inputs!B6/12</f>
        <v>0</v>
      </c>
      <c r="Q283">
        <f t="shared" si="167"/>
        <v>0</v>
      </c>
      <c r="R283">
        <f>N283*Inputs!B6/12</f>
        <v>0</v>
      </c>
      <c r="S283">
        <f t="shared" si="168"/>
        <v>0</v>
      </c>
      <c r="T283">
        <f t="shared" si="169"/>
        <v>1.9815088898385966E-5</v>
      </c>
      <c r="U283">
        <f t="shared" si="170"/>
        <v>0</v>
      </c>
      <c r="V283">
        <f t="shared" si="171"/>
        <v>1.9815088898385966E-5</v>
      </c>
      <c r="W283">
        <f t="shared" si="172"/>
        <v>5.758135567783309E-4</v>
      </c>
      <c r="X283">
        <f t="shared" si="173"/>
        <v>0</v>
      </c>
      <c r="Y283">
        <f t="shared" si="174"/>
        <v>0</v>
      </c>
      <c r="Z283">
        <f t="shared" si="175"/>
        <v>0</v>
      </c>
      <c r="AA283">
        <f t="shared" si="176"/>
        <v>0</v>
      </c>
      <c r="AB283">
        <f t="shared" si="177"/>
        <v>0</v>
      </c>
      <c r="AC283">
        <f t="shared" si="178"/>
        <v>5.758135567783309E-4</v>
      </c>
      <c r="AD283">
        <f t="shared" si="179"/>
        <v>0</v>
      </c>
      <c r="AE283">
        <f t="shared" si="180"/>
        <v>5.758135567783309E-4</v>
      </c>
      <c r="AF283">
        <f t="shared" si="181"/>
        <v>0</v>
      </c>
      <c r="AG283">
        <f t="shared" si="182"/>
        <v>5.758135567783309E-4</v>
      </c>
      <c r="AH283">
        <f t="shared" si="183"/>
        <v>5.758135567783309E-4</v>
      </c>
      <c r="AI283">
        <f t="shared" si="184"/>
        <v>0</v>
      </c>
      <c r="AJ283">
        <f t="shared" si="185"/>
        <v>0</v>
      </c>
      <c r="AK283">
        <f t="shared" si="186"/>
        <v>5.758135567783309E-4</v>
      </c>
      <c r="AL283">
        <f t="shared" si="187"/>
        <v>0</v>
      </c>
      <c r="AM283">
        <f t="shared" si="188"/>
        <v>0</v>
      </c>
      <c r="AN283">
        <f t="shared" si="189"/>
        <v>5.758135567783309E-4</v>
      </c>
      <c r="AO283">
        <f t="shared" si="190"/>
        <v>0</v>
      </c>
      <c r="AP283">
        <f t="shared" si="191"/>
        <v>0</v>
      </c>
      <c r="AQ283">
        <f t="shared" si="192"/>
        <v>0</v>
      </c>
      <c r="AR283">
        <f t="shared" si="193"/>
        <v>4.1803779108057397E-3</v>
      </c>
      <c r="AS283">
        <f t="shared" si="194"/>
        <v>0</v>
      </c>
      <c r="AT283">
        <f t="shared" si="195"/>
        <v>0</v>
      </c>
      <c r="AU283">
        <f t="shared" si="196"/>
        <v>0</v>
      </c>
    </row>
    <row r="284" spans="1:47" x14ac:dyDescent="0.2">
      <c r="A284">
        <v>283</v>
      </c>
      <c r="B284">
        <f>PoolStates_V2!B284</f>
        <v>0</v>
      </c>
      <c r="C284">
        <f>PoolStates_V2!S284</f>
        <v>1.739667584444015E-5</v>
      </c>
      <c r="D284">
        <f>PoolStates_V2!T284</f>
        <v>5.1636995375827356E-4</v>
      </c>
      <c r="E284">
        <f>PoolStates_V2!Q284</f>
        <v>2.9488837009363476E-7</v>
      </c>
      <c r="F284">
        <f t="shared" si="197"/>
        <v>0</v>
      </c>
      <c r="G284">
        <f t="shared" si="198"/>
        <v>0</v>
      </c>
      <c r="H284">
        <f t="shared" si="199"/>
        <v>4.1803779108057397E-3</v>
      </c>
      <c r="I284">
        <f t="shared" si="160"/>
        <v>2.9488837009363476E-7</v>
      </c>
      <c r="J284">
        <f t="shared" si="161"/>
        <v>0</v>
      </c>
      <c r="K284">
        <f t="shared" si="162"/>
        <v>0</v>
      </c>
      <c r="L284">
        <f t="shared" si="163"/>
        <v>0</v>
      </c>
      <c r="M284">
        <f t="shared" si="164"/>
        <v>0</v>
      </c>
      <c r="N284">
        <f t="shared" si="165"/>
        <v>0</v>
      </c>
      <c r="O284">
        <f t="shared" si="166"/>
        <v>4.1800830224356465E-3</v>
      </c>
      <c r="P284">
        <f>M284*Inputs!B6/12</f>
        <v>0</v>
      </c>
      <c r="Q284">
        <f t="shared" si="167"/>
        <v>0</v>
      </c>
      <c r="R284">
        <f>N284*Inputs!B6/12</f>
        <v>0</v>
      </c>
      <c r="S284">
        <f t="shared" si="168"/>
        <v>0</v>
      </c>
      <c r="T284">
        <f t="shared" si="169"/>
        <v>1.739667584444015E-5</v>
      </c>
      <c r="U284">
        <f t="shared" si="170"/>
        <v>0</v>
      </c>
      <c r="V284">
        <f t="shared" si="171"/>
        <v>1.739667584444015E-5</v>
      </c>
      <c r="W284">
        <f t="shared" si="172"/>
        <v>5.1636995375827356E-4</v>
      </c>
      <c r="X284">
        <f t="shared" si="173"/>
        <v>0</v>
      </c>
      <c r="Y284">
        <f t="shared" si="174"/>
        <v>0</v>
      </c>
      <c r="Z284">
        <f t="shared" si="175"/>
        <v>0</v>
      </c>
      <c r="AA284">
        <f t="shared" si="176"/>
        <v>0</v>
      </c>
      <c r="AB284">
        <f t="shared" si="177"/>
        <v>0</v>
      </c>
      <c r="AC284">
        <f t="shared" si="178"/>
        <v>5.1636995375827356E-4</v>
      </c>
      <c r="AD284">
        <f t="shared" si="179"/>
        <v>0</v>
      </c>
      <c r="AE284">
        <f t="shared" si="180"/>
        <v>5.1636995375827356E-4</v>
      </c>
      <c r="AF284">
        <f t="shared" si="181"/>
        <v>0</v>
      </c>
      <c r="AG284">
        <f t="shared" si="182"/>
        <v>5.1636995375827356E-4</v>
      </c>
      <c r="AH284">
        <f t="shared" si="183"/>
        <v>5.1636995375827356E-4</v>
      </c>
      <c r="AI284">
        <f t="shared" si="184"/>
        <v>0</v>
      </c>
      <c r="AJ284">
        <f t="shared" si="185"/>
        <v>0</v>
      </c>
      <c r="AK284">
        <f t="shared" si="186"/>
        <v>5.1636995375827356E-4</v>
      </c>
      <c r="AL284">
        <f t="shared" si="187"/>
        <v>0</v>
      </c>
      <c r="AM284">
        <f t="shared" si="188"/>
        <v>0</v>
      </c>
      <c r="AN284">
        <f t="shared" si="189"/>
        <v>5.1636995375827356E-4</v>
      </c>
      <c r="AO284">
        <f t="shared" si="190"/>
        <v>0</v>
      </c>
      <c r="AP284">
        <f t="shared" si="191"/>
        <v>0</v>
      </c>
      <c r="AQ284">
        <f t="shared" si="192"/>
        <v>0</v>
      </c>
      <c r="AR284">
        <f t="shared" si="193"/>
        <v>3.6637130686773727E-3</v>
      </c>
      <c r="AS284">
        <f t="shared" si="194"/>
        <v>0</v>
      </c>
      <c r="AT284">
        <f t="shared" si="195"/>
        <v>0</v>
      </c>
      <c r="AU284">
        <f t="shared" si="196"/>
        <v>0</v>
      </c>
    </row>
    <row r="285" spans="1:47" x14ac:dyDescent="0.2">
      <c r="A285">
        <v>284</v>
      </c>
      <c r="B285">
        <f>PoolStates_V2!B285</f>
        <v>0</v>
      </c>
      <c r="C285">
        <f>PoolStates_V2!S285</f>
        <v>1.5228734052705914E-5</v>
      </c>
      <c r="D285">
        <f>PoolStates_V2!T285</f>
        <v>4.6262316591517386E-4</v>
      </c>
      <c r="E285">
        <f>PoolStates_V2!Q285</f>
        <v>2.6547023045111545E-7</v>
      </c>
      <c r="F285">
        <f t="shared" si="197"/>
        <v>0</v>
      </c>
      <c r="G285">
        <f t="shared" si="198"/>
        <v>0</v>
      </c>
      <c r="H285">
        <f t="shared" si="199"/>
        <v>3.6637130686773727E-3</v>
      </c>
      <c r="I285">
        <f t="shared" si="160"/>
        <v>2.6547023045111545E-7</v>
      </c>
      <c r="J285">
        <f t="shared" si="161"/>
        <v>0</v>
      </c>
      <c r="K285">
        <f t="shared" si="162"/>
        <v>0</v>
      </c>
      <c r="L285">
        <f t="shared" si="163"/>
        <v>0</v>
      </c>
      <c r="M285">
        <f t="shared" si="164"/>
        <v>0</v>
      </c>
      <c r="N285">
        <f t="shared" si="165"/>
        <v>0</v>
      </c>
      <c r="O285">
        <f t="shared" si="166"/>
        <v>3.6634475984469216E-3</v>
      </c>
      <c r="P285">
        <f>M285*Inputs!B6/12</f>
        <v>0</v>
      </c>
      <c r="Q285">
        <f t="shared" si="167"/>
        <v>0</v>
      </c>
      <c r="R285">
        <f>N285*Inputs!B6/12</f>
        <v>0</v>
      </c>
      <c r="S285">
        <f t="shared" si="168"/>
        <v>0</v>
      </c>
      <c r="T285">
        <f t="shared" si="169"/>
        <v>1.5228734052705914E-5</v>
      </c>
      <c r="U285">
        <f t="shared" si="170"/>
        <v>0</v>
      </c>
      <c r="V285">
        <f t="shared" si="171"/>
        <v>1.5228734052705914E-5</v>
      </c>
      <c r="W285">
        <f t="shared" si="172"/>
        <v>4.6262316591517386E-4</v>
      </c>
      <c r="X285">
        <f t="shared" si="173"/>
        <v>0</v>
      </c>
      <c r="Y285">
        <f t="shared" si="174"/>
        <v>0</v>
      </c>
      <c r="Z285">
        <f t="shared" si="175"/>
        <v>0</v>
      </c>
      <c r="AA285">
        <f t="shared" si="176"/>
        <v>0</v>
      </c>
      <c r="AB285">
        <f t="shared" si="177"/>
        <v>0</v>
      </c>
      <c r="AC285">
        <f t="shared" si="178"/>
        <v>4.6262316591517386E-4</v>
      </c>
      <c r="AD285">
        <f t="shared" si="179"/>
        <v>0</v>
      </c>
      <c r="AE285">
        <f t="shared" si="180"/>
        <v>4.6262316591517386E-4</v>
      </c>
      <c r="AF285">
        <f t="shared" si="181"/>
        <v>0</v>
      </c>
      <c r="AG285">
        <f t="shared" si="182"/>
        <v>4.6262316591517386E-4</v>
      </c>
      <c r="AH285">
        <f t="shared" si="183"/>
        <v>4.6262316591517386E-4</v>
      </c>
      <c r="AI285">
        <f t="shared" si="184"/>
        <v>0</v>
      </c>
      <c r="AJ285">
        <f t="shared" si="185"/>
        <v>0</v>
      </c>
      <c r="AK285">
        <f t="shared" si="186"/>
        <v>4.6262316591517386E-4</v>
      </c>
      <c r="AL285">
        <f t="shared" si="187"/>
        <v>0</v>
      </c>
      <c r="AM285">
        <f t="shared" si="188"/>
        <v>0</v>
      </c>
      <c r="AN285">
        <f t="shared" si="189"/>
        <v>4.6262316591517386E-4</v>
      </c>
      <c r="AO285">
        <f t="shared" si="190"/>
        <v>0</v>
      </c>
      <c r="AP285">
        <f t="shared" si="191"/>
        <v>0</v>
      </c>
      <c r="AQ285">
        <f t="shared" si="192"/>
        <v>0</v>
      </c>
      <c r="AR285">
        <f t="shared" si="193"/>
        <v>3.2008244325317479E-3</v>
      </c>
      <c r="AS285">
        <f t="shared" si="194"/>
        <v>0</v>
      </c>
      <c r="AT285">
        <f t="shared" si="195"/>
        <v>0</v>
      </c>
      <c r="AU285">
        <f t="shared" si="196"/>
        <v>0</v>
      </c>
    </row>
    <row r="286" spans="1:47" x14ac:dyDescent="0.2">
      <c r="A286">
        <v>285</v>
      </c>
      <c r="B286">
        <f>PoolStates_V2!B286</f>
        <v>0</v>
      </c>
      <c r="C286">
        <f>PoolStates_V2!S286</f>
        <v>1.3287214634014282E-5</v>
      </c>
      <c r="D286">
        <f>PoolStates_V2!T286</f>
        <v>4.1405290714195475E-4</v>
      </c>
      <c r="E286">
        <f>PoolStates_V2!Q286</f>
        <v>2.3880837421747728E-7</v>
      </c>
      <c r="F286">
        <f t="shared" si="197"/>
        <v>0</v>
      </c>
      <c r="G286">
        <f t="shared" si="198"/>
        <v>0</v>
      </c>
      <c r="H286">
        <f t="shared" si="199"/>
        <v>3.2008244325317479E-3</v>
      </c>
      <c r="I286">
        <f t="shared" si="160"/>
        <v>2.3880837421747728E-7</v>
      </c>
      <c r="J286">
        <f t="shared" si="161"/>
        <v>0</v>
      </c>
      <c r="K286">
        <f t="shared" si="162"/>
        <v>0</v>
      </c>
      <c r="L286">
        <f t="shared" si="163"/>
        <v>0</v>
      </c>
      <c r="M286">
        <f t="shared" si="164"/>
        <v>0</v>
      </c>
      <c r="N286">
        <f t="shared" si="165"/>
        <v>0</v>
      </c>
      <c r="O286">
        <f t="shared" si="166"/>
        <v>3.2005856241575305E-3</v>
      </c>
      <c r="P286">
        <f>M286*Inputs!B6/12</f>
        <v>0</v>
      </c>
      <c r="Q286">
        <f t="shared" si="167"/>
        <v>0</v>
      </c>
      <c r="R286">
        <f>N286*Inputs!B6/12</f>
        <v>0</v>
      </c>
      <c r="S286">
        <f t="shared" si="168"/>
        <v>0</v>
      </c>
      <c r="T286">
        <f t="shared" si="169"/>
        <v>1.3287214634014282E-5</v>
      </c>
      <c r="U286">
        <f t="shared" si="170"/>
        <v>0</v>
      </c>
      <c r="V286">
        <f t="shared" si="171"/>
        <v>1.3287214634014282E-5</v>
      </c>
      <c r="W286">
        <f t="shared" si="172"/>
        <v>4.1405290714195475E-4</v>
      </c>
      <c r="X286">
        <f t="shared" si="173"/>
        <v>0</v>
      </c>
      <c r="Y286">
        <f t="shared" si="174"/>
        <v>0</v>
      </c>
      <c r="Z286">
        <f t="shared" si="175"/>
        <v>0</v>
      </c>
      <c r="AA286">
        <f t="shared" si="176"/>
        <v>0</v>
      </c>
      <c r="AB286">
        <f t="shared" si="177"/>
        <v>0</v>
      </c>
      <c r="AC286">
        <f t="shared" si="178"/>
        <v>4.1405290714195475E-4</v>
      </c>
      <c r="AD286">
        <f t="shared" si="179"/>
        <v>0</v>
      </c>
      <c r="AE286">
        <f t="shared" si="180"/>
        <v>4.1405290714195475E-4</v>
      </c>
      <c r="AF286">
        <f t="shared" si="181"/>
        <v>0</v>
      </c>
      <c r="AG286">
        <f t="shared" si="182"/>
        <v>4.1405290714195475E-4</v>
      </c>
      <c r="AH286">
        <f t="shared" si="183"/>
        <v>4.1405290714195475E-4</v>
      </c>
      <c r="AI286">
        <f t="shared" si="184"/>
        <v>0</v>
      </c>
      <c r="AJ286">
        <f t="shared" si="185"/>
        <v>0</v>
      </c>
      <c r="AK286">
        <f t="shared" si="186"/>
        <v>4.1405290714195475E-4</v>
      </c>
      <c r="AL286">
        <f t="shared" si="187"/>
        <v>0</v>
      </c>
      <c r="AM286">
        <f t="shared" si="188"/>
        <v>0</v>
      </c>
      <c r="AN286">
        <f t="shared" si="189"/>
        <v>4.1405290714195475E-4</v>
      </c>
      <c r="AO286">
        <f t="shared" si="190"/>
        <v>0</v>
      </c>
      <c r="AP286">
        <f t="shared" si="191"/>
        <v>0</v>
      </c>
      <c r="AQ286">
        <f t="shared" si="192"/>
        <v>0</v>
      </c>
      <c r="AR286">
        <f t="shared" si="193"/>
        <v>2.7865327170155758E-3</v>
      </c>
      <c r="AS286">
        <f t="shared" si="194"/>
        <v>0</v>
      </c>
      <c r="AT286">
        <f t="shared" si="195"/>
        <v>0</v>
      </c>
      <c r="AU286">
        <f t="shared" si="196"/>
        <v>0</v>
      </c>
    </row>
    <row r="287" spans="1:47" x14ac:dyDescent="0.2">
      <c r="A287">
        <v>286</v>
      </c>
      <c r="B287">
        <f>PoolStates_V2!B287</f>
        <v>0</v>
      </c>
      <c r="C287">
        <f>PoolStates_V2!S287</f>
        <v>1.1550267577000453E-5</v>
      </c>
      <c r="D287">
        <f>PoolStates_V2!T287</f>
        <v>3.7018523177447611E-4</v>
      </c>
      <c r="E287">
        <f>PoolStates_V2!Q287</f>
        <v>2.1465420844530467E-7</v>
      </c>
      <c r="F287">
        <f t="shared" si="197"/>
        <v>0</v>
      </c>
      <c r="G287">
        <f t="shared" si="198"/>
        <v>0</v>
      </c>
      <c r="H287">
        <f t="shared" si="199"/>
        <v>2.7865327170155758E-3</v>
      </c>
      <c r="I287">
        <f t="shared" si="160"/>
        <v>2.1465420844530467E-7</v>
      </c>
      <c r="J287">
        <f t="shared" si="161"/>
        <v>0</v>
      </c>
      <c r="K287">
        <f t="shared" si="162"/>
        <v>0</v>
      </c>
      <c r="L287">
        <f t="shared" si="163"/>
        <v>0</v>
      </c>
      <c r="M287">
        <f t="shared" si="164"/>
        <v>0</v>
      </c>
      <c r="N287">
        <f t="shared" si="165"/>
        <v>0</v>
      </c>
      <c r="O287">
        <f t="shared" si="166"/>
        <v>2.7863180628071305E-3</v>
      </c>
      <c r="P287">
        <f>M287*Inputs!B6/12</f>
        <v>0</v>
      </c>
      <c r="Q287">
        <f t="shared" si="167"/>
        <v>0</v>
      </c>
      <c r="R287">
        <f>N287*Inputs!B6/12</f>
        <v>0</v>
      </c>
      <c r="S287">
        <f t="shared" si="168"/>
        <v>0</v>
      </c>
      <c r="T287">
        <f t="shared" si="169"/>
        <v>1.1550267577000453E-5</v>
      </c>
      <c r="U287">
        <f t="shared" si="170"/>
        <v>0</v>
      </c>
      <c r="V287">
        <f t="shared" si="171"/>
        <v>1.1550267577000453E-5</v>
      </c>
      <c r="W287">
        <f t="shared" si="172"/>
        <v>3.7018523177447611E-4</v>
      </c>
      <c r="X287">
        <f t="shared" si="173"/>
        <v>0</v>
      </c>
      <c r="Y287">
        <f t="shared" si="174"/>
        <v>0</v>
      </c>
      <c r="Z287">
        <f t="shared" si="175"/>
        <v>0</v>
      </c>
      <c r="AA287">
        <f t="shared" si="176"/>
        <v>0</v>
      </c>
      <c r="AB287">
        <f t="shared" si="177"/>
        <v>0</v>
      </c>
      <c r="AC287">
        <f t="shared" si="178"/>
        <v>3.7018523177447611E-4</v>
      </c>
      <c r="AD287">
        <f t="shared" si="179"/>
        <v>0</v>
      </c>
      <c r="AE287">
        <f t="shared" si="180"/>
        <v>3.7018523177447611E-4</v>
      </c>
      <c r="AF287">
        <f t="shared" si="181"/>
        <v>0</v>
      </c>
      <c r="AG287">
        <f t="shared" si="182"/>
        <v>3.7018523177447611E-4</v>
      </c>
      <c r="AH287">
        <f t="shared" si="183"/>
        <v>3.7018523177447611E-4</v>
      </c>
      <c r="AI287">
        <f t="shared" si="184"/>
        <v>0</v>
      </c>
      <c r="AJ287">
        <f t="shared" si="185"/>
        <v>0</v>
      </c>
      <c r="AK287">
        <f t="shared" si="186"/>
        <v>3.7018523177447611E-4</v>
      </c>
      <c r="AL287">
        <f t="shared" si="187"/>
        <v>0</v>
      </c>
      <c r="AM287">
        <f t="shared" si="188"/>
        <v>0</v>
      </c>
      <c r="AN287">
        <f t="shared" si="189"/>
        <v>3.7018523177447611E-4</v>
      </c>
      <c r="AO287">
        <f t="shared" si="190"/>
        <v>0</v>
      </c>
      <c r="AP287">
        <f t="shared" si="191"/>
        <v>0</v>
      </c>
      <c r="AQ287">
        <f t="shared" si="192"/>
        <v>0</v>
      </c>
      <c r="AR287">
        <f t="shared" si="193"/>
        <v>2.4161328310326542E-3</v>
      </c>
      <c r="AS287">
        <f t="shared" si="194"/>
        <v>0</v>
      </c>
      <c r="AT287">
        <f t="shared" si="195"/>
        <v>0</v>
      </c>
      <c r="AU287">
        <f t="shared" si="196"/>
        <v>0</v>
      </c>
    </row>
    <row r="288" spans="1:47" x14ac:dyDescent="0.2">
      <c r="A288">
        <v>287</v>
      </c>
      <c r="B288">
        <f>PoolStates_V2!B288</f>
        <v>0</v>
      </c>
      <c r="C288">
        <f>PoolStates_V2!S288</f>
        <v>9.9980457198303195E-6</v>
      </c>
      <c r="D288">
        <f>PoolStates_V2!T288</f>
        <v>3.305885644515527E-4</v>
      </c>
      <c r="E288">
        <f>PoolStates_V2!Q288</f>
        <v>1.9278097146752109E-7</v>
      </c>
      <c r="F288">
        <f t="shared" si="197"/>
        <v>0</v>
      </c>
      <c r="G288">
        <f t="shared" si="198"/>
        <v>0</v>
      </c>
      <c r="H288">
        <f t="shared" si="199"/>
        <v>2.4161328310326542E-3</v>
      </c>
      <c r="I288">
        <f t="shared" si="160"/>
        <v>1.9278097146752109E-7</v>
      </c>
      <c r="J288">
        <f t="shared" si="161"/>
        <v>0</v>
      </c>
      <c r="K288">
        <f t="shared" si="162"/>
        <v>0</v>
      </c>
      <c r="L288">
        <f t="shared" si="163"/>
        <v>0</v>
      </c>
      <c r="M288">
        <f t="shared" si="164"/>
        <v>0</v>
      </c>
      <c r="N288">
        <f t="shared" si="165"/>
        <v>0</v>
      </c>
      <c r="O288">
        <f t="shared" si="166"/>
        <v>2.4159400500611866E-3</v>
      </c>
      <c r="P288">
        <f>M288*Inputs!B6/12</f>
        <v>0</v>
      </c>
      <c r="Q288">
        <f t="shared" si="167"/>
        <v>0</v>
      </c>
      <c r="R288">
        <f>N288*Inputs!B6/12</f>
        <v>0</v>
      </c>
      <c r="S288">
        <f t="shared" si="168"/>
        <v>0</v>
      </c>
      <c r="T288">
        <f t="shared" si="169"/>
        <v>9.9980457198303195E-6</v>
      </c>
      <c r="U288">
        <f t="shared" si="170"/>
        <v>0</v>
      </c>
      <c r="V288">
        <f t="shared" si="171"/>
        <v>9.9980457198303195E-6</v>
      </c>
      <c r="W288">
        <f t="shared" si="172"/>
        <v>3.305885644515527E-4</v>
      </c>
      <c r="X288">
        <f t="shared" si="173"/>
        <v>0</v>
      </c>
      <c r="Y288">
        <f t="shared" si="174"/>
        <v>0</v>
      </c>
      <c r="Z288">
        <f t="shared" si="175"/>
        <v>0</v>
      </c>
      <c r="AA288">
        <f t="shared" si="176"/>
        <v>0</v>
      </c>
      <c r="AB288">
        <f t="shared" si="177"/>
        <v>0</v>
      </c>
      <c r="AC288">
        <f t="shared" si="178"/>
        <v>3.305885644515527E-4</v>
      </c>
      <c r="AD288">
        <f t="shared" si="179"/>
        <v>0</v>
      </c>
      <c r="AE288">
        <f t="shared" si="180"/>
        <v>3.305885644515527E-4</v>
      </c>
      <c r="AF288">
        <f t="shared" si="181"/>
        <v>0</v>
      </c>
      <c r="AG288">
        <f t="shared" si="182"/>
        <v>3.305885644515527E-4</v>
      </c>
      <c r="AH288">
        <f t="shared" si="183"/>
        <v>3.305885644515527E-4</v>
      </c>
      <c r="AI288">
        <f t="shared" si="184"/>
        <v>0</v>
      </c>
      <c r="AJ288">
        <f t="shared" si="185"/>
        <v>0</v>
      </c>
      <c r="AK288">
        <f t="shared" si="186"/>
        <v>3.305885644515527E-4</v>
      </c>
      <c r="AL288">
        <f t="shared" si="187"/>
        <v>0</v>
      </c>
      <c r="AM288">
        <f t="shared" si="188"/>
        <v>0</v>
      </c>
      <c r="AN288">
        <f t="shared" si="189"/>
        <v>3.305885644515527E-4</v>
      </c>
      <c r="AO288">
        <f t="shared" si="190"/>
        <v>0</v>
      </c>
      <c r="AP288">
        <f t="shared" si="191"/>
        <v>0</v>
      </c>
      <c r="AQ288">
        <f t="shared" si="192"/>
        <v>0</v>
      </c>
      <c r="AR288">
        <f t="shared" si="193"/>
        <v>2.0853514856096341E-3</v>
      </c>
      <c r="AS288">
        <f t="shared" si="194"/>
        <v>0</v>
      </c>
      <c r="AT288">
        <f t="shared" si="195"/>
        <v>0</v>
      </c>
      <c r="AU288">
        <f t="shared" si="196"/>
        <v>0</v>
      </c>
    </row>
    <row r="289" spans="1:47" x14ac:dyDescent="0.2">
      <c r="A289">
        <v>288</v>
      </c>
      <c r="B289">
        <f>PoolStates_V2!B289</f>
        <v>0</v>
      </c>
      <c r="C289">
        <f>PoolStates_V2!S289</f>
        <v>8.6125255206645299E-6</v>
      </c>
      <c r="D289">
        <f>PoolStates_V2!T289</f>
        <v>2.9487009056887697E-4</v>
      </c>
      <c r="E289">
        <f>PoolStates_V2!Q289</f>
        <v>1.729818507846614E-7</v>
      </c>
      <c r="F289">
        <f t="shared" si="197"/>
        <v>0</v>
      </c>
      <c r="G289">
        <f t="shared" si="198"/>
        <v>0</v>
      </c>
      <c r="H289">
        <f t="shared" si="199"/>
        <v>2.0853514856096341E-3</v>
      </c>
      <c r="I289">
        <f t="shared" si="160"/>
        <v>1.729818507846614E-7</v>
      </c>
      <c r="J289">
        <f t="shared" si="161"/>
        <v>0</v>
      </c>
      <c r="K289">
        <f t="shared" si="162"/>
        <v>0</v>
      </c>
      <c r="L289">
        <f t="shared" si="163"/>
        <v>0</v>
      </c>
      <c r="M289">
        <f t="shared" si="164"/>
        <v>0</v>
      </c>
      <c r="N289">
        <f t="shared" si="165"/>
        <v>0</v>
      </c>
      <c r="O289">
        <f t="shared" si="166"/>
        <v>2.0851785037588493E-3</v>
      </c>
      <c r="P289">
        <f>M289*Inputs!B6/12</f>
        <v>0</v>
      </c>
      <c r="Q289">
        <f t="shared" si="167"/>
        <v>0</v>
      </c>
      <c r="R289">
        <f>N289*Inputs!B6/12</f>
        <v>0</v>
      </c>
      <c r="S289">
        <f t="shared" si="168"/>
        <v>0</v>
      </c>
      <c r="T289">
        <f t="shared" si="169"/>
        <v>8.6125255206645299E-6</v>
      </c>
      <c r="U289">
        <f t="shared" si="170"/>
        <v>0</v>
      </c>
      <c r="V289">
        <f t="shared" si="171"/>
        <v>8.6125255206645299E-6</v>
      </c>
      <c r="W289">
        <f t="shared" si="172"/>
        <v>2.9487009056887697E-4</v>
      </c>
      <c r="X289">
        <f t="shared" si="173"/>
        <v>0</v>
      </c>
      <c r="Y289">
        <f t="shared" si="174"/>
        <v>0</v>
      </c>
      <c r="Z289">
        <f t="shared" si="175"/>
        <v>0</v>
      </c>
      <c r="AA289">
        <f t="shared" si="176"/>
        <v>0</v>
      </c>
      <c r="AB289">
        <f t="shared" si="177"/>
        <v>0</v>
      </c>
      <c r="AC289">
        <f t="shared" si="178"/>
        <v>2.9487009056887697E-4</v>
      </c>
      <c r="AD289">
        <f t="shared" si="179"/>
        <v>0</v>
      </c>
      <c r="AE289">
        <f t="shared" si="180"/>
        <v>2.9487009056887697E-4</v>
      </c>
      <c r="AF289">
        <f t="shared" si="181"/>
        <v>0</v>
      </c>
      <c r="AG289">
        <f t="shared" si="182"/>
        <v>2.9487009056887697E-4</v>
      </c>
      <c r="AH289">
        <f t="shared" si="183"/>
        <v>2.9487009056887697E-4</v>
      </c>
      <c r="AI289">
        <f t="shared" si="184"/>
        <v>0</v>
      </c>
      <c r="AJ289">
        <f t="shared" si="185"/>
        <v>0</v>
      </c>
      <c r="AK289">
        <f t="shared" si="186"/>
        <v>2.9487009056887697E-4</v>
      </c>
      <c r="AL289">
        <f t="shared" si="187"/>
        <v>0</v>
      </c>
      <c r="AM289">
        <f t="shared" si="188"/>
        <v>0</v>
      </c>
      <c r="AN289">
        <f t="shared" si="189"/>
        <v>2.9487009056887697E-4</v>
      </c>
      <c r="AO289">
        <f t="shared" si="190"/>
        <v>0</v>
      </c>
      <c r="AP289">
        <f t="shared" si="191"/>
        <v>0</v>
      </c>
      <c r="AQ289">
        <f t="shared" si="192"/>
        <v>0</v>
      </c>
      <c r="AR289">
        <f t="shared" si="193"/>
        <v>1.7903084131899723E-3</v>
      </c>
      <c r="AS289">
        <f t="shared" si="194"/>
        <v>0</v>
      </c>
      <c r="AT289">
        <f t="shared" si="195"/>
        <v>0</v>
      </c>
      <c r="AU289">
        <f t="shared" si="196"/>
        <v>0</v>
      </c>
    </row>
    <row r="290" spans="1:47" x14ac:dyDescent="0.2">
      <c r="A290">
        <v>289</v>
      </c>
      <c r="B290">
        <f>PoolStates_V2!B290</f>
        <v>0</v>
      </c>
      <c r="C290">
        <f>PoolStates_V2!S290</f>
        <v>7.3773430980065111E-6</v>
      </c>
      <c r="D290">
        <f>PoolStates_V2!T290</f>
        <v>2.6267248797672455E-4</v>
      </c>
      <c r="E290">
        <f>PoolStates_V2!Q290</f>
        <v>1.5506826058639007E-7</v>
      </c>
      <c r="F290">
        <f t="shared" si="197"/>
        <v>0</v>
      </c>
      <c r="G290">
        <f t="shared" si="198"/>
        <v>0</v>
      </c>
      <c r="H290">
        <f t="shared" si="199"/>
        <v>1.7903084131899723E-3</v>
      </c>
      <c r="I290">
        <f t="shared" si="160"/>
        <v>1.5506826058639007E-7</v>
      </c>
      <c r="J290">
        <f t="shared" si="161"/>
        <v>0</v>
      </c>
      <c r="K290">
        <f t="shared" si="162"/>
        <v>0</v>
      </c>
      <c r="L290">
        <f t="shared" si="163"/>
        <v>0</v>
      </c>
      <c r="M290">
        <f t="shared" si="164"/>
        <v>0</v>
      </c>
      <c r="N290">
        <f t="shared" si="165"/>
        <v>0</v>
      </c>
      <c r="O290">
        <f t="shared" si="166"/>
        <v>1.7901533449293859E-3</v>
      </c>
      <c r="P290">
        <f>M290*Inputs!B6/12</f>
        <v>0</v>
      </c>
      <c r="Q290">
        <f t="shared" si="167"/>
        <v>0</v>
      </c>
      <c r="R290">
        <f>N290*Inputs!B6/12</f>
        <v>0</v>
      </c>
      <c r="S290">
        <f t="shared" si="168"/>
        <v>0</v>
      </c>
      <c r="T290">
        <f t="shared" si="169"/>
        <v>7.3773430980065111E-6</v>
      </c>
      <c r="U290">
        <f t="shared" si="170"/>
        <v>0</v>
      </c>
      <c r="V290">
        <f t="shared" si="171"/>
        <v>7.3773430980065111E-6</v>
      </c>
      <c r="W290">
        <f t="shared" si="172"/>
        <v>2.6267248797672455E-4</v>
      </c>
      <c r="X290">
        <f t="shared" si="173"/>
        <v>0</v>
      </c>
      <c r="Y290">
        <f t="shared" si="174"/>
        <v>0</v>
      </c>
      <c r="Z290">
        <f t="shared" si="175"/>
        <v>0</v>
      </c>
      <c r="AA290">
        <f t="shared" si="176"/>
        <v>0</v>
      </c>
      <c r="AB290">
        <f t="shared" si="177"/>
        <v>0</v>
      </c>
      <c r="AC290">
        <f t="shared" si="178"/>
        <v>2.6267248797672455E-4</v>
      </c>
      <c r="AD290">
        <f t="shared" si="179"/>
        <v>0</v>
      </c>
      <c r="AE290">
        <f t="shared" si="180"/>
        <v>2.6267248797672455E-4</v>
      </c>
      <c r="AF290">
        <f t="shared" si="181"/>
        <v>0</v>
      </c>
      <c r="AG290">
        <f t="shared" si="182"/>
        <v>2.6267248797672455E-4</v>
      </c>
      <c r="AH290">
        <f t="shared" si="183"/>
        <v>2.6267248797672455E-4</v>
      </c>
      <c r="AI290">
        <f t="shared" si="184"/>
        <v>0</v>
      </c>
      <c r="AJ290">
        <f t="shared" si="185"/>
        <v>0</v>
      </c>
      <c r="AK290">
        <f t="shared" si="186"/>
        <v>2.6267248797672455E-4</v>
      </c>
      <c r="AL290">
        <f t="shared" si="187"/>
        <v>0</v>
      </c>
      <c r="AM290">
        <f t="shared" si="188"/>
        <v>0</v>
      </c>
      <c r="AN290">
        <f t="shared" si="189"/>
        <v>2.6267248797672455E-4</v>
      </c>
      <c r="AO290">
        <f t="shared" si="190"/>
        <v>0</v>
      </c>
      <c r="AP290">
        <f t="shared" si="191"/>
        <v>0</v>
      </c>
      <c r="AQ290">
        <f t="shared" si="192"/>
        <v>0</v>
      </c>
      <c r="AR290">
        <f t="shared" si="193"/>
        <v>1.5274808569526613E-3</v>
      </c>
      <c r="AS290">
        <f t="shared" si="194"/>
        <v>0</v>
      </c>
      <c r="AT290">
        <f t="shared" si="195"/>
        <v>0</v>
      </c>
      <c r="AU290">
        <f t="shared" si="196"/>
        <v>0</v>
      </c>
    </row>
    <row r="291" spans="1:47" x14ac:dyDescent="0.2">
      <c r="A291">
        <v>290</v>
      </c>
      <c r="B291">
        <f>PoolStates_V2!B291</f>
        <v>0</v>
      </c>
      <c r="C291">
        <f>PoolStates_V2!S291</f>
        <v>6.2776440929917859E-6</v>
      </c>
      <c r="D291">
        <f>PoolStates_V2!T291</f>
        <v>2.3367098940780788E-4</v>
      </c>
      <c r="E291">
        <f>PoolStates_V2!Q291</f>
        <v>1.3886826542995284E-7</v>
      </c>
      <c r="F291">
        <f t="shared" si="197"/>
        <v>0</v>
      </c>
      <c r="G291">
        <f t="shared" si="198"/>
        <v>0</v>
      </c>
      <c r="H291">
        <f t="shared" si="199"/>
        <v>1.5274808569526613E-3</v>
      </c>
      <c r="I291">
        <f t="shared" si="160"/>
        <v>1.3886826542995284E-7</v>
      </c>
      <c r="J291">
        <f t="shared" si="161"/>
        <v>0</v>
      </c>
      <c r="K291">
        <f t="shared" si="162"/>
        <v>0</v>
      </c>
      <c r="L291">
        <f t="shared" si="163"/>
        <v>0</v>
      </c>
      <c r="M291">
        <f t="shared" si="164"/>
        <v>0</v>
      </c>
      <c r="N291">
        <f t="shared" si="165"/>
        <v>0</v>
      </c>
      <c r="O291">
        <f t="shared" si="166"/>
        <v>1.5273419886872312E-3</v>
      </c>
      <c r="P291">
        <f>M291*Inputs!B6/12</f>
        <v>0</v>
      </c>
      <c r="Q291">
        <f t="shared" si="167"/>
        <v>0</v>
      </c>
      <c r="R291">
        <f>N291*Inputs!B6/12</f>
        <v>0</v>
      </c>
      <c r="S291">
        <f t="shared" si="168"/>
        <v>0</v>
      </c>
      <c r="T291">
        <f t="shared" si="169"/>
        <v>6.2776440929917859E-6</v>
      </c>
      <c r="U291">
        <f t="shared" si="170"/>
        <v>0</v>
      </c>
      <c r="V291">
        <f t="shared" si="171"/>
        <v>6.2776440929917859E-6</v>
      </c>
      <c r="W291">
        <f t="shared" si="172"/>
        <v>2.3367098940780788E-4</v>
      </c>
      <c r="X291">
        <f t="shared" si="173"/>
        <v>0</v>
      </c>
      <c r="Y291">
        <f t="shared" si="174"/>
        <v>0</v>
      </c>
      <c r="Z291">
        <f t="shared" si="175"/>
        <v>0</v>
      </c>
      <c r="AA291">
        <f t="shared" si="176"/>
        <v>0</v>
      </c>
      <c r="AB291">
        <f t="shared" si="177"/>
        <v>0</v>
      </c>
      <c r="AC291">
        <f t="shared" si="178"/>
        <v>2.3367098940780788E-4</v>
      </c>
      <c r="AD291">
        <f t="shared" si="179"/>
        <v>0</v>
      </c>
      <c r="AE291">
        <f t="shared" si="180"/>
        <v>2.3367098940780788E-4</v>
      </c>
      <c r="AF291">
        <f t="shared" si="181"/>
        <v>0</v>
      </c>
      <c r="AG291">
        <f t="shared" si="182"/>
        <v>2.3367098940780788E-4</v>
      </c>
      <c r="AH291">
        <f t="shared" si="183"/>
        <v>2.3367098940780788E-4</v>
      </c>
      <c r="AI291">
        <f t="shared" si="184"/>
        <v>0</v>
      </c>
      <c r="AJ291">
        <f t="shared" si="185"/>
        <v>0</v>
      </c>
      <c r="AK291">
        <f t="shared" si="186"/>
        <v>2.3367098940780788E-4</v>
      </c>
      <c r="AL291">
        <f t="shared" si="187"/>
        <v>0</v>
      </c>
      <c r="AM291">
        <f t="shared" si="188"/>
        <v>0</v>
      </c>
      <c r="AN291">
        <f t="shared" si="189"/>
        <v>2.3367098940780788E-4</v>
      </c>
      <c r="AO291">
        <f t="shared" si="190"/>
        <v>0</v>
      </c>
      <c r="AP291">
        <f t="shared" si="191"/>
        <v>0</v>
      </c>
      <c r="AQ291">
        <f t="shared" si="192"/>
        <v>0</v>
      </c>
      <c r="AR291">
        <f t="shared" si="193"/>
        <v>1.2936709992794233E-3</v>
      </c>
      <c r="AS291">
        <f t="shared" si="194"/>
        <v>0</v>
      </c>
      <c r="AT291">
        <f t="shared" si="195"/>
        <v>0</v>
      </c>
      <c r="AU291">
        <f t="shared" si="196"/>
        <v>0</v>
      </c>
    </row>
    <row r="292" spans="1:47" x14ac:dyDescent="0.2">
      <c r="A292">
        <v>291</v>
      </c>
      <c r="B292">
        <f>PoolStates_V2!B292</f>
        <v>0</v>
      </c>
      <c r="C292">
        <f>PoolStates_V2!S292</f>
        <v>5.299945948432861E-6</v>
      </c>
      <c r="D292">
        <f>PoolStates_V2!T292</f>
        <v>2.0757077911762412E-4</v>
      </c>
      <c r="E292">
        <f>PoolStates_V2!Q292</f>
        <v>1.2422513768695355E-7</v>
      </c>
      <c r="F292">
        <f t="shared" si="197"/>
        <v>0</v>
      </c>
      <c r="G292">
        <f t="shared" si="198"/>
        <v>0</v>
      </c>
      <c r="H292">
        <f t="shared" si="199"/>
        <v>1.2936709992794233E-3</v>
      </c>
      <c r="I292">
        <f t="shared" si="160"/>
        <v>1.2422513768695355E-7</v>
      </c>
      <c r="J292">
        <f t="shared" si="161"/>
        <v>0</v>
      </c>
      <c r="K292">
        <f t="shared" si="162"/>
        <v>0</v>
      </c>
      <c r="L292">
        <f t="shared" si="163"/>
        <v>0</v>
      </c>
      <c r="M292">
        <f t="shared" si="164"/>
        <v>0</v>
      </c>
      <c r="N292">
        <f t="shared" si="165"/>
        <v>0</v>
      </c>
      <c r="O292">
        <f t="shared" si="166"/>
        <v>1.2935467741417364E-3</v>
      </c>
      <c r="P292">
        <f>M292*Inputs!B6/12</f>
        <v>0</v>
      </c>
      <c r="Q292">
        <f t="shared" si="167"/>
        <v>0</v>
      </c>
      <c r="R292">
        <f>N292*Inputs!B6/12</f>
        <v>0</v>
      </c>
      <c r="S292">
        <f t="shared" si="168"/>
        <v>0</v>
      </c>
      <c r="T292">
        <f t="shared" si="169"/>
        <v>5.299945948432861E-6</v>
      </c>
      <c r="U292">
        <f t="shared" si="170"/>
        <v>0</v>
      </c>
      <c r="V292">
        <f t="shared" si="171"/>
        <v>5.299945948432861E-6</v>
      </c>
      <c r="W292">
        <f t="shared" si="172"/>
        <v>2.0757077911762412E-4</v>
      </c>
      <c r="X292">
        <f t="shared" si="173"/>
        <v>0</v>
      </c>
      <c r="Y292">
        <f t="shared" si="174"/>
        <v>0</v>
      </c>
      <c r="Z292">
        <f t="shared" si="175"/>
        <v>0</v>
      </c>
      <c r="AA292">
        <f t="shared" si="176"/>
        <v>0</v>
      </c>
      <c r="AB292">
        <f t="shared" si="177"/>
        <v>0</v>
      </c>
      <c r="AC292">
        <f t="shared" si="178"/>
        <v>2.0757077911762412E-4</v>
      </c>
      <c r="AD292">
        <f t="shared" si="179"/>
        <v>0</v>
      </c>
      <c r="AE292">
        <f t="shared" si="180"/>
        <v>2.0757077911762412E-4</v>
      </c>
      <c r="AF292">
        <f t="shared" si="181"/>
        <v>0</v>
      </c>
      <c r="AG292">
        <f t="shared" si="182"/>
        <v>2.0757077911762412E-4</v>
      </c>
      <c r="AH292">
        <f t="shared" si="183"/>
        <v>2.0757077911762412E-4</v>
      </c>
      <c r="AI292">
        <f t="shared" si="184"/>
        <v>0</v>
      </c>
      <c r="AJ292">
        <f t="shared" si="185"/>
        <v>0</v>
      </c>
      <c r="AK292">
        <f t="shared" si="186"/>
        <v>2.0757077911762412E-4</v>
      </c>
      <c r="AL292">
        <f t="shared" si="187"/>
        <v>0</v>
      </c>
      <c r="AM292">
        <f t="shared" si="188"/>
        <v>0</v>
      </c>
      <c r="AN292">
        <f t="shared" si="189"/>
        <v>2.0757077911762412E-4</v>
      </c>
      <c r="AO292">
        <f t="shared" si="190"/>
        <v>0</v>
      </c>
      <c r="AP292">
        <f t="shared" si="191"/>
        <v>0</v>
      </c>
      <c r="AQ292">
        <f t="shared" si="192"/>
        <v>0</v>
      </c>
      <c r="AR292">
        <f t="shared" si="193"/>
        <v>1.0859759950241122E-3</v>
      </c>
      <c r="AS292">
        <f t="shared" si="194"/>
        <v>0</v>
      </c>
      <c r="AT292">
        <f t="shared" si="195"/>
        <v>0</v>
      </c>
      <c r="AU292">
        <f t="shared" si="196"/>
        <v>0</v>
      </c>
    </row>
    <row r="293" spans="1:47" x14ac:dyDescent="0.2">
      <c r="A293">
        <v>292</v>
      </c>
      <c r="B293">
        <f>PoolStates_V2!B293</f>
        <v>0</v>
      </c>
      <c r="C293">
        <f>PoolStates_V2!S293</f>
        <v>4.432011181573132E-6</v>
      </c>
      <c r="D293">
        <f>PoolStates_V2!T293</f>
        <v>1.8410475193756642E-4</v>
      </c>
      <c r="E293">
        <f>PoolStates_V2!Q293</f>
        <v>1.1099603735013447E-7</v>
      </c>
      <c r="F293">
        <f t="shared" si="197"/>
        <v>0</v>
      </c>
      <c r="G293">
        <f t="shared" si="198"/>
        <v>0</v>
      </c>
      <c r="H293">
        <f t="shared" si="199"/>
        <v>1.0859759950241122E-3</v>
      </c>
      <c r="I293">
        <f t="shared" si="160"/>
        <v>1.1099603735013447E-7</v>
      </c>
      <c r="J293">
        <f t="shared" si="161"/>
        <v>0</v>
      </c>
      <c r="K293">
        <f t="shared" si="162"/>
        <v>0</v>
      </c>
      <c r="L293">
        <f t="shared" si="163"/>
        <v>0</v>
      </c>
      <c r="M293">
        <f t="shared" si="164"/>
        <v>0</v>
      </c>
      <c r="N293">
        <f t="shared" si="165"/>
        <v>0</v>
      </c>
      <c r="O293">
        <f t="shared" si="166"/>
        <v>1.0858649989867622E-3</v>
      </c>
      <c r="P293">
        <f>M293*Inputs!B6/12</f>
        <v>0</v>
      </c>
      <c r="Q293">
        <f t="shared" si="167"/>
        <v>0</v>
      </c>
      <c r="R293">
        <f>N293*Inputs!B6/12</f>
        <v>0</v>
      </c>
      <c r="S293">
        <f t="shared" si="168"/>
        <v>0</v>
      </c>
      <c r="T293">
        <f t="shared" si="169"/>
        <v>4.432011181573132E-6</v>
      </c>
      <c r="U293">
        <f t="shared" si="170"/>
        <v>0</v>
      </c>
      <c r="V293">
        <f t="shared" si="171"/>
        <v>4.432011181573132E-6</v>
      </c>
      <c r="W293">
        <f t="shared" si="172"/>
        <v>1.8410475193756642E-4</v>
      </c>
      <c r="X293">
        <f t="shared" si="173"/>
        <v>0</v>
      </c>
      <c r="Y293">
        <f t="shared" si="174"/>
        <v>0</v>
      </c>
      <c r="Z293">
        <f t="shared" si="175"/>
        <v>0</v>
      </c>
      <c r="AA293">
        <f t="shared" si="176"/>
        <v>0</v>
      </c>
      <c r="AB293">
        <f t="shared" si="177"/>
        <v>0</v>
      </c>
      <c r="AC293">
        <f t="shared" si="178"/>
        <v>1.8410475193756642E-4</v>
      </c>
      <c r="AD293">
        <f t="shared" si="179"/>
        <v>0</v>
      </c>
      <c r="AE293">
        <f t="shared" si="180"/>
        <v>1.8410475193756642E-4</v>
      </c>
      <c r="AF293">
        <f t="shared" si="181"/>
        <v>0</v>
      </c>
      <c r="AG293">
        <f t="shared" si="182"/>
        <v>1.8410475193756642E-4</v>
      </c>
      <c r="AH293">
        <f t="shared" si="183"/>
        <v>1.8410475193756642E-4</v>
      </c>
      <c r="AI293">
        <f t="shared" si="184"/>
        <v>0</v>
      </c>
      <c r="AJ293">
        <f t="shared" si="185"/>
        <v>0</v>
      </c>
      <c r="AK293">
        <f t="shared" si="186"/>
        <v>1.8410475193756642E-4</v>
      </c>
      <c r="AL293">
        <f t="shared" si="187"/>
        <v>0</v>
      </c>
      <c r="AM293">
        <f t="shared" si="188"/>
        <v>0</v>
      </c>
      <c r="AN293">
        <f t="shared" si="189"/>
        <v>1.8410475193756642E-4</v>
      </c>
      <c r="AO293">
        <f t="shared" si="190"/>
        <v>0</v>
      </c>
      <c r="AP293">
        <f t="shared" si="191"/>
        <v>0</v>
      </c>
      <c r="AQ293">
        <f t="shared" si="192"/>
        <v>0</v>
      </c>
      <c r="AR293">
        <f t="shared" si="193"/>
        <v>9.0176024704919581E-4</v>
      </c>
      <c r="AS293">
        <f t="shared" si="194"/>
        <v>0</v>
      </c>
      <c r="AT293">
        <f t="shared" si="195"/>
        <v>0</v>
      </c>
      <c r="AU293">
        <f t="shared" si="196"/>
        <v>0</v>
      </c>
    </row>
    <row r="294" spans="1:47" x14ac:dyDescent="0.2">
      <c r="A294">
        <v>293</v>
      </c>
      <c r="B294">
        <f>PoolStates_V2!B294</f>
        <v>0</v>
      </c>
      <c r="C294">
        <f>PoolStates_V2!S294</f>
        <v>3.662730102359855E-6</v>
      </c>
      <c r="D294">
        <f>PoolStates_V2!T294</f>
        <v>1.6303171107261765E-4</v>
      </c>
      <c r="E294">
        <f>PoolStates_V2!Q294</f>
        <v>9.9050803659334646E-8</v>
      </c>
      <c r="F294">
        <f t="shared" si="197"/>
        <v>0</v>
      </c>
      <c r="G294">
        <f t="shared" si="198"/>
        <v>0</v>
      </c>
      <c r="H294">
        <f t="shared" si="199"/>
        <v>9.0176024704919581E-4</v>
      </c>
      <c r="I294">
        <f t="shared" si="160"/>
        <v>9.9050803659334646E-8</v>
      </c>
      <c r="J294">
        <f t="shared" si="161"/>
        <v>0</v>
      </c>
      <c r="K294">
        <f t="shared" si="162"/>
        <v>0</v>
      </c>
      <c r="L294">
        <f t="shared" si="163"/>
        <v>0</v>
      </c>
      <c r="M294">
        <f t="shared" si="164"/>
        <v>0</v>
      </c>
      <c r="N294">
        <f t="shared" si="165"/>
        <v>0</v>
      </c>
      <c r="O294">
        <f t="shared" si="166"/>
        <v>9.0166119624553653E-4</v>
      </c>
      <c r="P294">
        <f>M294*Inputs!B6/12</f>
        <v>0</v>
      </c>
      <c r="Q294">
        <f t="shared" si="167"/>
        <v>0</v>
      </c>
      <c r="R294">
        <f>N294*Inputs!B6/12</f>
        <v>0</v>
      </c>
      <c r="S294">
        <f t="shared" si="168"/>
        <v>0</v>
      </c>
      <c r="T294">
        <f t="shared" si="169"/>
        <v>3.662730102359855E-6</v>
      </c>
      <c r="U294">
        <f t="shared" si="170"/>
        <v>0</v>
      </c>
      <c r="V294">
        <f t="shared" si="171"/>
        <v>3.662730102359855E-6</v>
      </c>
      <c r="W294">
        <f t="shared" si="172"/>
        <v>1.6303171107261765E-4</v>
      </c>
      <c r="X294">
        <f t="shared" si="173"/>
        <v>0</v>
      </c>
      <c r="Y294">
        <f t="shared" si="174"/>
        <v>0</v>
      </c>
      <c r="Z294">
        <f t="shared" si="175"/>
        <v>0</v>
      </c>
      <c r="AA294">
        <f t="shared" si="176"/>
        <v>0</v>
      </c>
      <c r="AB294">
        <f t="shared" si="177"/>
        <v>0</v>
      </c>
      <c r="AC294">
        <f t="shared" si="178"/>
        <v>1.6303171107261765E-4</v>
      </c>
      <c r="AD294">
        <f t="shared" si="179"/>
        <v>0</v>
      </c>
      <c r="AE294">
        <f t="shared" si="180"/>
        <v>1.6303171107261765E-4</v>
      </c>
      <c r="AF294">
        <f t="shared" si="181"/>
        <v>0</v>
      </c>
      <c r="AG294">
        <f t="shared" si="182"/>
        <v>1.6303171107261765E-4</v>
      </c>
      <c r="AH294">
        <f t="shared" si="183"/>
        <v>1.6303171107261765E-4</v>
      </c>
      <c r="AI294">
        <f t="shared" si="184"/>
        <v>0</v>
      </c>
      <c r="AJ294">
        <f t="shared" si="185"/>
        <v>0</v>
      </c>
      <c r="AK294">
        <f t="shared" si="186"/>
        <v>1.6303171107261765E-4</v>
      </c>
      <c r="AL294">
        <f t="shared" si="187"/>
        <v>0</v>
      </c>
      <c r="AM294">
        <f t="shared" si="188"/>
        <v>0</v>
      </c>
      <c r="AN294">
        <f t="shared" si="189"/>
        <v>1.6303171107261765E-4</v>
      </c>
      <c r="AO294">
        <f t="shared" si="190"/>
        <v>0</v>
      </c>
      <c r="AP294">
        <f t="shared" si="191"/>
        <v>0</v>
      </c>
      <c r="AQ294">
        <f t="shared" si="192"/>
        <v>0</v>
      </c>
      <c r="AR294">
        <f t="shared" si="193"/>
        <v>7.3862948517291885E-4</v>
      </c>
      <c r="AS294">
        <f t="shared" si="194"/>
        <v>0</v>
      </c>
      <c r="AT294">
        <f t="shared" si="195"/>
        <v>0</v>
      </c>
      <c r="AU294">
        <f t="shared" si="196"/>
        <v>0</v>
      </c>
    </row>
    <row r="295" spans="1:47" x14ac:dyDescent="0.2">
      <c r="A295">
        <v>294</v>
      </c>
      <c r="B295">
        <f>PoolStates_V2!B295</f>
        <v>0</v>
      </c>
      <c r="C295">
        <f>PoolStates_V2!S295</f>
        <v>2.9820110947270565E-6</v>
      </c>
      <c r="D295">
        <f>PoolStates_V2!T295</f>
        <v>1.4413518381441059E-4</v>
      </c>
      <c r="E295">
        <f>PoolStates_V2!Q295</f>
        <v>8.8270848744559313E-8</v>
      </c>
      <c r="F295">
        <f t="shared" si="197"/>
        <v>0</v>
      </c>
      <c r="G295">
        <f t="shared" si="198"/>
        <v>0</v>
      </c>
      <c r="H295">
        <f t="shared" si="199"/>
        <v>7.3862948517291885E-4</v>
      </c>
      <c r="I295">
        <f t="shared" si="160"/>
        <v>8.8270848744559313E-8</v>
      </c>
      <c r="J295">
        <f t="shared" si="161"/>
        <v>0</v>
      </c>
      <c r="K295">
        <f t="shared" si="162"/>
        <v>0</v>
      </c>
      <c r="L295">
        <f t="shared" si="163"/>
        <v>0</v>
      </c>
      <c r="M295">
        <f t="shared" si="164"/>
        <v>0</v>
      </c>
      <c r="N295">
        <f t="shared" si="165"/>
        <v>0</v>
      </c>
      <c r="O295">
        <f t="shared" si="166"/>
        <v>7.385412143241743E-4</v>
      </c>
      <c r="P295">
        <f>M295*Inputs!B6/12</f>
        <v>0</v>
      </c>
      <c r="Q295">
        <f t="shared" si="167"/>
        <v>0</v>
      </c>
      <c r="R295">
        <f>N295*Inputs!B6/12</f>
        <v>0</v>
      </c>
      <c r="S295">
        <f t="shared" si="168"/>
        <v>0</v>
      </c>
      <c r="T295">
        <f t="shared" si="169"/>
        <v>2.9820110947270565E-6</v>
      </c>
      <c r="U295">
        <f t="shared" si="170"/>
        <v>0</v>
      </c>
      <c r="V295">
        <f t="shared" si="171"/>
        <v>2.9820110947270565E-6</v>
      </c>
      <c r="W295">
        <f t="shared" si="172"/>
        <v>1.4413518381441059E-4</v>
      </c>
      <c r="X295">
        <f t="shared" si="173"/>
        <v>0</v>
      </c>
      <c r="Y295">
        <f t="shared" si="174"/>
        <v>0</v>
      </c>
      <c r="Z295">
        <f t="shared" si="175"/>
        <v>0</v>
      </c>
      <c r="AA295">
        <f t="shared" si="176"/>
        <v>0</v>
      </c>
      <c r="AB295">
        <f t="shared" si="177"/>
        <v>0</v>
      </c>
      <c r="AC295">
        <f t="shared" si="178"/>
        <v>1.4413518381441059E-4</v>
      </c>
      <c r="AD295">
        <f t="shared" si="179"/>
        <v>0</v>
      </c>
      <c r="AE295">
        <f t="shared" si="180"/>
        <v>1.4413518381441059E-4</v>
      </c>
      <c r="AF295">
        <f t="shared" si="181"/>
        <v>0</v>
      </c>
      <c r="AG295">
        <f t="shared" si="182"/>
        <v>1.4413518381441059E-4</v>
      </c>
      <c r="AH295">
        <f t="shared" si="183"/>
        <v>1.4413518381441059E-4</v>
      </c>
      <c r="AI295">
        <f t="shared" si="184"/>
        <v>0</v>
      </c>
      <c r="AJ295">
        <f t="shared" si="185"/>
        <v>0</v>
      </c>
      <c r="AK295">
        <f t="shared" si="186"/>
        <v>1.4413518381441059E-4</v>
      </c>
      <c r="AL295">
        <f t="shared" si="187"/>
        <v>0</v>
      </c>
      <c r="AM295">
        <f t="shared" si="188"/>
        <v>0</v>
      </c>
      <c r="AN295">
        <f t="shared" si="189"/>
        <v>1.4413518381441059E-4</v>
      </c>
      <c r="AO295">
        <f t="shared" si="190"/>
        <v>0</v>
      </c>
      <c r="AP295">
        <f t="shared" si="191"/>
        <v>0</v>
      </c>
      <c r="AQ295">
        <f t="shared" si="192"/>
        <v>0</v>
      </c>
      <c r="AR295">
        <f t="shared" si="193"/>
        <v>5.9440603050976368E-4</v>
      </c>
      <c r="AS295">
        <f t="shared" si="194"/>
        <v>0</v>
      </c>
      <c r="AT295">
        <f t="shared" si="195"/>
        <v>0</v>
      </c>
      <c r="AU295">
        <f t="shared" si="196"/>
        <v>0</v>
      </c>
    </row>
    <row r="296" spans="1:47" x14ac:dyDescent="0.2">
      <c r="A296">
        <v>295</v>
      </c>
      <c r="B296">
        <f>PoolStates_V2!B296</f>
        <v>0</v>
      </c>
      <c r="C296">
        <f>PoolStates_V2!S296</f>
        <v>2.3806757967888187E-6</v>
      </c>
      <c r="D296">
        <f>PoolStates_V2!T296</f>
        <v>1.2722327666554324E-4</v>
      </c>
      <c r="E296">
        <f>PoolStates_V2!Q296</f>
        <v>7.8548144054057883E-8</v>
      </c>
      <c r="F296">
        <f t="shared" si="197"/>
        <v>0</v>
      </c>
      <c r="G296">
        <f t="shared" si="198"/>
        <v>0</v>
      </c>
      <c r="H296">
        <f t="shared" si="199"/>
        <v>5.9440603050976368E-4</v>
      </c>
      <c r="I296">
        <f t="shared" si="160"/>
        <v>7.8548144054057883E-8</v>
      </c>
      <c r="J296">
        <f t="shared" si="161"/>
        <v>0</v>
      </c>
      <c r="K296">
        <f t="shared" si="162"/>
        <v>0</v>
      </c>
      <c r="L296">
        <f t="shared" si="163"/>
        <v>0</v>
      </c>
      <c r="M296">
        <f t="shared" si="164"/>
        <v>0</v>
      </c>
      <c r="N296">
        <f t="shared" si="165"/>
        <v>0</v>
      </c>
      <c r="O296">
        <f t="shared" si="166"/>
        <v>5.9432748236570962E-4</v>
      </c>
      <c r="P296">
        <f>M296*Inputs!B6/12</f>
        <v>0</v>
      </c>
      <c r="Q296">
        <f t="shared" si="167"/>
        <v>0</v>
      </c>
      <c r="R296">
        <f>N296*Inputs!B6/12</f>
        <v>0</v>
      </c>
      <c r="S296">
        <f t="shared" si="168"/>
        <v>0</v>
      </c>
      <c r="T296">
        <f t="shared" si="169"/>
        <v>2.3806757967888187E-6</v>
      </c>
      <c r="U296">
        <f t="shared" si="170"/>
        <v>0</v>
      </c>
      <c r="V296">
        <f t="shared" si="171"/>
        <v>2.3806757967888187E-6</v>
      </c>
      <c r="W296">
        <f t="shared" si="172"/>
        <v>1.2722327666554324E-4</v>
      </c>
      <c r="X296">
        <f t="shared" si="173"/>
        <v>0</v>
      </c>
      <c r="Y296">
        <f t="shared" si="174"/>
        <v>0</v>
      </c>
      <c r="Z296">
        <f t="shared" si="175"/>
        <v>0</v>
      </c>
      <c r="AA296">
        <f t="shared" si="176"/>
        <v>0</v>
      </c>
      <c r="AB296">
        <f t="shared" si="177"/>
        <v>0</v>
      </c>
      <c r="AC296">
        <f t="shared" si="178"/>
        <v>1.2722327666554324E-4</v>
      </c>
      <c r="AD296">
        <f t="shared" si="179"/>
        <v>0</v>
      </c>
      <c r="AE296">
        <f t="shared" si="180"/>
        <v>1.2722327666554324E-4</v>
      </c>
      <c r="AF296">
        <f t="shared" si="181"/>
        <v>0</v>
      </c>
      <c r="AG296">
        <f t="shared" si="182"/>
        <v>1.2722327666554324E-4</v>
      </c>
      <c r="AH296">
        <f t="shared" si="183"/>
        <v>1.2722327666554324E-4</v>
      </c>
      <c r="AI296">
        <f t="shared" si="184"/>
        <v>0</v>
      </c>
      <c r="AJ296">
        <f t="shared" si="185"/>
        <v>0</v>
      </c>
      <c r="AK296">
        <f t="shared" si="186"/>
        <v>1.2722327666554324E-4</v>
      </c>
      <c r="AL296">
        <f t="shared" si="187"/>
        <v>0</v>
      </c>
      <c r="AM296">
        <f t="shared" si="188"/>
        <v>0</v>
      </c>
      <c r="AN296">
        <f t="shared" si="189"/>
        <v>1.2722327666554324E-4</v>
      </c>
      <c r="AO296">
        <f t="shared" si="190"/>
        <v>0</v>
      </c>
      <c r="AP296">
        <f t="shared" si="191"/>
        <v>0</v>
      </c>
      <c r="AQ296">
        <f t="shared" si="192"/>
        <v>0</v>
      </c>
      <c r="AR296">
        <f t="shared" si="193"/>
        <v>4.6710420570016641E-4</v>
      </c>
      <c r="AS296">
        <f t="shared" si="194"/>
        <v>0</v>
      </c>
      <c r="AT296">
        <f t="shared" si="195"/>
        <v>0</v>
      </c>
      <c r="AU296">
        <f t="shared" si="196"/>
        <v>0</v>
      </c>
    </row>
    <row r="297" spans="1:47" x14ac:dyDescent="0.2">
      <c r="A297">
        <v>296</v>
      </c>
      <c r="B297">
        <f>PoolStates_V2!B297</f>
        <v>0</v>
      </c>
      <c r="C297">
        <f>PoolStates_V2!S297</f>
        <v>1.8503546798298057E-6</v>
      </c>
      <c r="D297">
        <f>PoolStates_V2!T297</f>
        <v>1.1213063166177806E-4</v>
      </c>
      <c r="E297">
        <f>PoolStates_V2!Q297</f>
        <v>6.9784290641584012E-8</v>
      </c>
      <c r="F297">
        <f t="shared" si="197"/>
        <v>0</v>
      </c>
      <c r="G297">
        <f t="shared" si="198"/>
        <v>0</v>
      </c>
      <c r="H297">
        <f t="shared" si="199"/>
        <v>4.6710420570016641E-4</v>
      </c>
      <c r="I297">
        <f t="shared" si="160"/>
        <v>6.9784290641584012E-8</v>
      </c>
      <c r="J297">
        <f t="shared" si="161"/>
        <v>0</v>
      </c>
      <c r="K297">
        <f t="shared" si="162"/>
        <v>0</v>
      </c>
      <c r="L297">
        <f t="shared" si="163"/>
        <v>0</v>
      </c>
      <c r="M297">
        <f t="shared" si="164"/>
        <v>0</v>
      </c>
      <c r="N297">
        <f t="shared" si="165"/>
        <v>0</v>
      </c>
      <c r="O297">
        <f t="shared" si="166"/>
        <v>4.670344214095248E-4</v>
      </c>
      <c r="P297">
        <f>M297*Inputs!B6/12</f>
        <v>0</v>
      </c>
      <c r="Q297">
        <f t="shared" si="167"/>
        <v>0</v>
      </c>
      <c r="R297">
        <f>N297*Inputs!B6/12</f>
        <v>0</v>
      </c>
      <c r="S297">
        <f t="shared" si="168"/>
        <v>0</v>
      </c>
      <c r="T297">
        <f t="shared" si="169"/>
        <v>1.8503546798298057E-6</v>
      </c>
      <c r="U297">
        <f t="shared" si="170"/>
        <v>0</v>
      </c>
      <c r="V297">
        <f t="shared" si="171"/>
        <v>1.8503546798298057E-6</v>
      </c>
      <c r="W297">
        <f t="shared" si="172"/>
        <v>1.1213063166177806E-4</v>
      </c>
      <c r="X297">
        <f t="shared" si="173"/>
        <v>0</v>
      </c>
      <c r="Y297">
        <f t="shared" si="174"/>
        <v>0</v>
      </c>
      <c r="Z297">
        <f t="shared" si="175"/>
        <v>0</v>
      </c>
      <c r="AA297">
        <f t="shared" si="176"/>
        <v>0</v>
      </c>
      <c r="AB297">
        <f t="shared" si="177"/>
        <v>0</v>
      </c>
      <c r="AC297">
        <f t="shared" si="178"/>
        <v>1.1213063166177806E-4</v>
      </c>
      <c r="AD297">
        <f t="shared" si="179"/>
        <v>0</v>
      </c>
      <c r="AE297">
        <f t="shared" si="180"/>
        <v>1.1213063166177806E-4</v>
      </c>
      <c r="AF297">
        <f t="shared" si="181"/>
        <v>0</v>
      </c>
      <c r="AG297">
        <f t="shared" si="182"/>
        <v>1.1213063166177806E-4</v>
      </c>
      <c r="AH297">
        <f t="shared" si="183"/>
        <v>1.1213063166177806E-4</v>
      </c>
      <c r="AI297">
        <f t="shared" si="184"/>
        <v>0</v>
      </c>
      <c r="AJ297">
        <f t="shared" si="185"/>
        <v>0</v>
      </c>
      <c r="AK297">
        <f t="shared" si="186"/>
        <v>1.1213063166177806E-4</v>
      </c>
      <c r="AL297">
        <f t="shared" si="187"/>
        <v>0</v>
      </c>
      <c r="AM297">
        <f t="shared" si="188"/>
        <v>0</v>
      </c>
      <c r="AN297">
        <f t="shared" si="189"/>
        <v>1.1213063166177806E-4</v>
      </c>
      <c r="AO297">
        <f t="shared" si="190"/>
        <v>0</v>
      </c>
      <c r="AP297">
        <f t="shared" si="191"/>
        <v>0</v>
      </c>
      <c r="AQ297">
        <f t="shared" si="192"/>
        <v>0</v>
      </c>
      <c r="AR297">
        <f t="shared" si="193"/>
        <v>3.5490378974774675E-4</v>
      </c>
      <c r="AS297">
        <f t="shared" si="194"/>
        <v>0</v>
      </c>
      <c r="AT297">
        <f t="shared" si="195"/>
        <v>0</v>
      </c>
      <c r="AU297">
        <f t="shared" si="196"/>
        <v>0</v>
      </c>
    </row>
    <row r="298" spans="1:47" x14ac:dyDescent="0.2">
      <c r="A298">
        <v>297</v>
      </c>
      <c r="B298">
        <f>PoolStates_V2!B298</f>
        <v>0</v>
      </c>
      <c r="C298">
        <f>PoolStates_V2!S298</f>
        <v>1.3833739029776689E-6</v>
      </c>
      <c r="D298">
        <f>PoolStates_V2!T298</f>
        <v>9.8725503584465795E-5</v>
      </c>
      <c r="E298">
        <f>PoolStates_V2!Q298</f>
        <v>6.188966419744422E-8</v>
      </c>
      <c r="F298">
        <f t="shared" si="197"/>
        <v>0</v>
      </c>
      <c r="G298">
        <f t="shared" si="198"/>
        <v>0</v>
      </c>
      <c r="H298">
        <f t="shared" si="199"/>
        <v>3.5490378974774675E-4</v>
      </c>
      <c r="I298">
        <f t="shared" si="160"/>
        <v>6.188966419744422E-8</v>
      </c>
      <c r="J298">
        <f t="shared" si="161"/>
        <v>0</v>
      </c>
      <c r="K298">
        <f t="shared" si="162"/>
        <v>0</v>
      </c>
      <c r="L298">
        <f t="shared" si="163"/>
        <v>0</v>
      </c>
      <c r="M298">
        <f t="shared" si="164"/>
        <v>0</v>
      </c>
      <c r="N298">
        <f t="shared" si="165"/>
        <v>0</v>
      </c>
      <c r="O298">
        <f t="shared" si="166"/>
        <v>3.5484190008354931E-4</v>
      </c>
      <c r="P298">
        <f>M298*Inputs!B6/12</f>
        <v>0</v>
      </c>
      <c r="Q298">
        <f t="shared" si="167"/>
        <v>0</v>
      </c>
      <c r="R298">
        <f>N298*Inputs!B6/12</f>
        <v>0</v>
      </c>
      <c r="S298">
        <f t="shared" si="168"/>
        <v>0</v>
      </c>
      <c r="T298">
        <f t="shared" si="169"/>
        <v>1.3833739029776689E-6</v>
      </c>
      <c r="U298">
        <f t="shared" si="170"/>
        <v>0</v>
      </c>
      <c r="V298">
        <f t="shared" si="171"/>
        <v>1.3833739029776689E-6</v>
      </c>
      <c r="W298">
        <f t="shared" si="172"/>
        <v>9.8725503584465795E-5</v>
      </c>
      <c r="X298">
        <f t="shared" si="173"/>
        <v>0</v>
      </c>
      <c r="Y298">
        <f t="shared" si="174"/>
        <v>0</v>
      </c>
      <c r="Z298">
        <f t="shared" si="175"/>
        <v>0</v>
      </c>
      <c r="AA298">
        <f t="shared" si="176"/>
        <v>0</v>
      </c>
      <c r="AB298">
        <f t="shared" si="177"/>
        <v>0</v>
      </c>
      <c r="AC298">
        <f t="shared" si="178"/>
        <v>9.8725503584465795E-5</v>
      </c>
      <c r="AD298">
        <f t="shared" si="179"/>
        <v>0</v>
      </c>
      <c r="AE298">
        <f t="shared" si="180"/>
        <v>9.8725503584465795E-5</v>
      </c>
      <c r="AF298">
        <f t="shared" si="181"/>
        <v>0</v>
      </c>
      <c r="AG298">
        <f t="shared" si="182"/>
        <v>9.8725503584465795E-5</v>
      </c>
      <c r="AH298">
        <f t="shared" si="183"/>
        <v>9.8725503584465795E-5</v>
      </c>
      <c r="AI298">
        <f t="shared" si="184"/>
        <v>0</v>
      </c>
      <c r="AJ298">
        <f t="shared" si="185"/>
        <v>0</v>
      </c>
      <c r="AK298">
        <f t="shared" si="186"/>
        <v>9.8725503584465795E-5</v>
      </c>
      <c r="AL298">
        <f t="shared" si="187"/>
        <v>0</v>
      </c>
      <c r="AM298">
        <f t="shared" si="188"/>
        <v>0</v>
      </c>
      <c r="AN298">
        <f t="shared" si="189"/>
        <v>9.8725503584465795E-5</v>
      </c>
      <c r="AO298">
        <f t="shared" si="190"/>
        <v>0</v>
      </c>
      <c r="AP298">
        <f t="shared" si="191"/>
        <v>0</v>
      </c>
      <c r="AQ298">
        <f t="shared" si="192"/>
        <v>0</v>
      </c>
      <c r="AR298">
        <f t="shared" si="193"/>
        <v>2.5611639649908348E-4</v>
      </c>
      <c r="AS298">
        <f t="shared" si="194"/>
        <v>0</v>
      </c>
      <c r="AT298">
        <f t="shared" si="195"/>
        <v>0</v>
      </c>
      <c r="AU298">
        <f t="shared" si="196"/>
        <v>0</v>
      </c>
    </row>
    <row r="299" spans="1:47" x14ac:dyDescent="0.2">
      <c r="A299">
        <v>298</v>
      </c>
      <c r="B299">
        <f>PoolStates_V2!B299</f>
        <v>0</v>
      </c>
      <c r="C299">
        <f>PoolStates_V2!S299</f>
        <v>9.7261117297458032E-7</v>
      </c>
      <c r="D299">
        <f>PoolStates_V2!T299</f>
        <v>8.6932305229959282E-5</v>
      </c>
      <c r="E299">
        <f>PoolStates_V2!Q299</f>
        <v>5.4782624404995411E-8</v>
      </c>
      <c r="F299">
        <f t="shared" si="197"/>
        <v>0</v>
      </c>
      <c r="G299">
        <f t="shared" si="198"/>
        <v>0</v>
      </c>
      <c r="H299">
        <f t="shared" si="199"/>
        <v>2.5611639649908348E-4</v>
      </c>
      <c r="I299">
        <f t="shared" si="160"/>
        <v>5.4782624404995411E-8</v>
      </c>
      <c r="J299">
        <f t="shared" si="161"/>
        <v>0</v>
      </c>
      <c r="K299">
        <f t="shared" si="162"/>
        <v>0</v>
      </c>
      <c r="L299">
        <f t="shared" si="163"/>
        <v>0</v>
      </c>
      <c r="M299">
        <f t="shared" si="164"/>
        <v>0</v>
      </c>
      <c r="N299">
        <f t="shared" si="165"/>
        <v>0</v>
      </c>
      <c r="O299">
        <f t="shared" si="166"/>
        <v>2.5606161387467849E-4</v>
      </c>
      <c r="P299">
        <f>M299*Inputs!B6/12</f>
        <v>0</v>
      </c>
      <c r="Q299">
        <f t="shared" si="167"/>
        <v>0</v>
      </c>
      <c r="R299">
        <f>N299*Inputs!B6/12</f>
        <v>0</v>
      </c>
      <c r="S299">
        <f t="shared" si="168"/>
        <v>0</v>
      </c>
      <c r="T299">
        <f t="shared" si="169"/>
        <v>9.7261117297458032E-7</v>
      </c>
      <c r="U299">
        <f t="shared" si="170"/>
        <v>0</v>
      </c>
      <c r="V299">
        <f t="shared" si="171"/>
        <v>9.7261117297458032E-7</v>
      </c>
      <c r="W299">
        <f t="shared" si="172"/>
        <v>8.6932305229959282E-5</v>
      </c>
      <c r="X299">
        <f t="shared" si="173"/>
        <v>0</v>
      </c>
      <c r="Y299">
        <f t="shared" si="174"/>
        <v>0</v>
      </c>
      <c r="Z299">
        <f t="shared" si="175"/>
        <v>0</v>
      </c>
      <c r="AA299">
        <f t="shared" si="176"/>
        <v>0</v>
      </c>
      <c r="AB299">
        <f t="shared" si="177"/>
        <v>0</v>
      </c>
      <c r="AC299">
        <f t="shared" si="178"/>
        <v>8.6932305229959282E-5</v>
      </c>
      <c r="AD299">
        <f t="shared" si="179"/>
        <v>0</v>
      </c>
      <c r="AE299">
        <f t="shared" si="180"/>
        <v>8.6932305229959282E-5</v>
      </c>
      <c r="AF299">
        <f t="shared" si="181"/>
        <v>0</v>
      </c>
      <c r="AG299">
        <f t="shared" si="182"/>
        <v>8.6932305229959282E-5</v>
      </c>
      <c r="AH299">
        <f t="shared" si="183"/>
        <v>8.6932305229959282E-5</v>
      </c>
      <c r="AI299">
        <f t="shared" si="184"/>
        <v>0</v>
      </c>
      <c r="AJ299">
        <f t="shared" si="185"/>
        <v>0</v>
      </c>
      <c r="AK299">
        <f t="shared" si="186"/>
        <v>8.6932305229959282E-5</v>
      </c>
      <c r="AL299">
        <f t="shared" si="187"/>
        <v>0</v>
      </c>
      <c r="AM299">
        <f t="shared" si="188"/>
        <v>0</v>
      </c>
      <c r="AN299">
        <f t="shared" si="189"/>
        <v>8.6932305229959282E-5</v>
      </c>
      <c r="AO299">
        <f t="shared" si="190"/>
        <v>0</v>
      </c>
      <c r="AP299">
        <f t="shared" si="191"/>
        <v>0</v>
      </c>
      <c r="AQ299">
        <f t="shared" si="192"/>
        <v>0</v>
      </c>
      <c r="AR299">
        <f t="shared" si="193"/>
        <v>1.6912930864471922E-4</v>
      </c>
      <c r="AS299">
        <f t="shared" si="194"/>
        <v>0</v>
      </c>
      <c r="AT299">
        <f t="shared" si="195"/>
        <v>0</v>
      </c>
      <c r="AU299">
        <f t="shared" si="196"/>
        <v>0</v>
      </c>
    </row>
    <row r="300" spans="1:47" x14ac:dyDescent="0.2">
      <c r="A300">
        <v>299</v>
      </c>
      <c r="B300">
        <f>PoolStates_V2!B300</f>
        <v>0</v>
      </c>
      <c r="C300">
        <f>PoolStates_V2!S300</f>
        <v>6.1125327990895043E-7</v>
      </c>
      <c r="D300">
        <f>PoolStates_V2!T300</f>
        <v>7.6817389201001227E-5</v>
      </c>
      <c r="E300">
        <f>PoolStates_V2!Q300</f>
        <v>4.838877391622932E-8</v>
      </c>
      <c r="F300">
        <f t="shared" si="197"/>
        <v>0</v>
      </c>
      <c r="G300">
        <f t="shared" si="198"/>
        <v>0</v>
      </c>
      <c r="H300">
        <f t="shared" si="199"/>
        <v>1.6912930864471922E-4</v>
      </c>
      <c r="I300">
        <f t="shared" si="160"/>
        <v>4.838877391622932E-8</v>
      </c>
      <c r="J300">
        <f t="shared" si="161"/>
        <v>0</v>
      </c>
      <c r="K300">
        <f t="shared" si="162"/>
        <v>0</v>
      </c>
      <c r="L300">
        <f t="shared" si="163"/>
        <v>0</v>
      </c>
      <c r="M300">
        <f t="shared" si="164"/>
        <v>0</v>
      </c>
      <c r="N300">
        <f t="shared" si="165"/>
        <v>0</v>
      </c>
      <c r="O300">
        <f t="shared" si="166"/>
        <v>1.6908091987080298E-4</v>
      </c>
      <c r="P300">
        <f>M300*Inputs!B6/12</f>
        <v>0</v>
      </c>
      <c r="Q300">
        <f t="shared" si="167"/>
        <v>0</v>
      </c>
      <c r="R300">
        <f>N300*Inputs!B6/12</f>
        <v>0</v>
      </c>
      <c r="S300">
        <f t="shared" si="168"/>
        <v>0</v>
      </c>
      <c r="T300">
        <f t="shared" si="169"/>
        <v>6.1125327990895043E-7</v>
      </c>
      <c r="U300">
        <f t="shared" si="170"/>
        <v>0</v>
      </c>
      <c r="V300">
        <f t="shared" si="171"/>
        <v>6.1125327990895043E-7</v>
      </c>
      <c r="W300">
        <f t="shared" si="172"/>
        <v>7.6817389201001227E-5</v>
      </c>
      <c r="X300">
        <f t="shared" si="173"/>
        <v>0</v>
      </c>
      <c r="Y300">
        <f t="shared" si="174"/>
        <v>0</v>
      </c>
      <c r="Z300">
        <f t="shared" si="175"/>
        <v>0</v>
      </c>
      <c r="AA300">
        <f t="shared" si="176"/>
        <v>0</v>
      </c>
      <c r="AB300">
        <f t="shared" si="177"/>
        <v>0</v>
      </c>
      <c r="AC300">
        <f t="shared" si="178"/>
        <v>7.6817389201001227E-5</v>
      </c>
      <c r="AD300">
        <f t="shared" si="179"/>
        <v>0</v>
      </c>
      <c r="AE300">
        <f t="shared" si="180"/>
        <v>7.6817389201001227E-5</v>
      </c>
      <c r="AF300">
        <f t="shared" si="181"/>
        <v>0</v>
      </c>
      <c r="AG300">
        <f t="shared" si="182"/>
        <v>7.6817389201001227E-5</v>
      </c>
      <c r="AH300">
        <f t="shared" si="183"/>
        <v>7.6817389201001227E-5</v>
      </c>
      <c r="AI300">
        <f t="shared" si="184"/>
        <v>0</v>
      </c>
      <c r="AJ300">
        <f t="shared" si="185"/>
        <v>0</v>
      </c>
      <c r="AK300">
        <f t="shared" si="186"/>
        <v>7.6817389201001227E-5</v>
      </c>
      <c r="AL300">
        <f t="shared" si="187"/>
        <v>0</v>
      </c>
      <c r="AM300">
        <f t="shared" si="188"/>
        <v>0</v>
      </c>
      <c r="AN300">
        <f t="shared" si="189"/>
        <v>7.6817389201001227E-5</v>
      </c>
      <c r="AO300">
        <f t="shared" si="190"/>
        <v>0</v>
      </c>
      <c r="AP300">
        <f t="shared" si="191"/>
        <v>0</v>
      </c>
      <c r="AQ300">
        <f t="shared" si="192"/>
        <v>0</v>
      </c>
      <c r="AR300">
        <f t="shared" si="193"/>
        <v>9.2263530669801756E-5</v>
      </c>
      <c r="AS300">
        <f t="shared" si="194"/>
        <v>0</v>
      </c>
      <c r="AT300">
        <f t="shared" si="195"/>
        <v>0</v>
      </c>
      <c r="AU300">
        <f t="shared" si="196"/>
        <v>0</v>
      </c>
    </row>
    <row r="301" spans="1:47" x14ac:dyDescent="0.2">
      <c r="A301">
        <v>300</v>
      </c>
      <c r="B301">
        <f>PoolStates_V2!B301</f>
        <v>0</v>
      </c>
      <c r="C301">
        <f>PoolStates_V2!S301</f>
        <v>2.9217990844833575E-7</v>
      </c>
      <c r="D301">
        <f>PoolStates_V2!T301</f>
        <v>6.9129987485965497E-5</v>
      </c>
      <c r="E301">
        <f>PoolStates_V2!Q301</f>
        <v>4.2640238086899902E-8</v>
      </c>
      <c r="F301">
        <f t="shared" si="197"/>
        <v>0</v>
      </c>
      <c r="G301">
        <f t="shared" si="198"/>
        <v>0</v>
      </c>
      <c r="H301">
        <f t="shared" si="199"/>
        <v>9.2263530669801756E-5</v>
      </c>
      <c r="I301">
        <f t="shared" si="160"/>
        <v>4.2640238086899902E-8</v>
      </c>
      <c r="J301">
        <f t="shared" si="161"/>
        <v>0</v>
      </c>
      <c r="K301">
        <f t="shared" si="162"/>
        <v>0</v>
      </c>
      <c r="L301">
        <f t="shared" si="163"/>
        <v>0</v>
      </c>
      <c r="M301">
        <f t="shared" si="164"/>
        <v>0</v>
      </c>
      <c r="N301">
        <f t="shared" si="165"/>
        <v>0</v>
      </c>
      <c r="O301">
        <f t="shared" si="166"/>
        <v>9.2220890431714861E-5</v>
      </c>
      <c r="P301">
        <f>M301*Inputs!B6/12</f>
        <v>0</v>
      </c>
      <c r="Q301">
        <f t="shared" si="167"/>
        <v>0</v>
      </c>
      <c r="R301">
        <f>N301*Inputs!B6/12</f>
        <v>0</v>
      </c>
      <c r="S301">
        <f t="shared" si="168"/>
        <v>0</v>
      </c>
      <c r="T301">
        <f t="shared" si="169"/>
        <v>2.9217990844833575E-7</v>
      </c>
      <c r="U301">
        <f t="shared" si="170"/>
        <v>0</v>
      </c>
      <c r="V301">
        <f t="shared" si="171"/>
        <v>2.9217990844833575E-7</v>
      </c>
      <c r="W301">
        <f t="shared" si="172"/>
        <v>6.9129987485965497E-5</v>
      </c>
      <c r="X301">
        <f t="shared" si="173"/>
        <v>0</v>
      </c>
      <c r="Y301">
        <f t="shared" si="174"/>
        <v>0</v>
      </c>
      <c r="Z301">
        <f t="shared" si="175"/>
        <v>0</v>
      </c>
      <c r="AA301">
        <f t="shared" si="176"/>
        <v>0</v>
      </c>
      <c r="AB301">
        <f t="shared" si="177"/>
        <v>0</v>
      </c>
      <c r="AC301">
        <f t="shared" si="178"/>
        <v>6.9129987485965497E-5</v>
      </c>
      <c r="AD301">
        <f t="shared" si="179"/>
        <v>0</v>
      </c>
      <c r="AE301">
        <f t="shared" si="180"/>
        <v>6.9129987485965497E-5</v>
      </c>
      <c r="AF301">
        <f t="shared" si="181"/>
        <v>0</v>
      </c>
      <c r="AG301">
        <f t="shared" si="182"/>
        <v>6.9129987485965497E-5</v>
      </c>
      <c r="AH301">
        <f t="shared" si="183"/>
        <v>6.9129987485965497E-5</v>
      </c>
      <c r="AI301">
        <f t="shared" si="184"/>
        <v>0</v>
      </c>
      <c r="AJ301">
        <f t="shared" si="185"/>
        <v>0</v>
      </c>
      <c r="AK301">
        <f t="shared" si="186"/>
        <v>6.9129987485965497E-5</v>
      </c>
      <c r="AL301">
        <f t="shared" si="187"/>
        <v>0</v>
      </c>
      <c r="AM301">
        <f t="shared" si="188"/>
        <v>0</v>
      </c>
      <c r="AN301">
        <f t="shared" si="189"/>
        <v>6.9129987485965497E-5</v>
      </c>
      <c r="AO301">
        <f t="shared" si="190"/>
        <v>0</v>
      </c>
      <c r="AP301">
        <f t="shared" si="191"/>
        <v>0</v>
      </c>
      <c r="AQ301">
        <f t="shared" si="192"/>
        <v>0</v>
      </c>
      <c r="AR301">
        <f t="shared" si="193"/>
        <v>2.3090902945749364E-5</v>
      </c>
      <c r="AS301">
        <f t="shared" si="194"/>
        <v>0</v>
      </c>
      <c r="AT301">
        <f t="shared" si="195"/>
        <v>0</v>
      </c>
      <c r="AU301">
        <f t="shared" si="196"/>
        <v>0</v>
      </c>
    </row>
    <row r="302" spans="1:47" x14ac:dyDescent="0.2">
      <c r="A302">
        <v>301</v>
      </c>
      <c r="B302">
        <f>PoolStates_V2!B302</f>
        <v>0</v>
      </c>
      <c r="C302">
        <f>PoolStates_V2!S302</f>
        <v>0</v>
      </c>
      <c r="D302">
        <f>PoolStates_V2!T302</f>
        <v>3.5657705836650057E-7</v>
      </c>
      <c r="E302">
        <f>PoolStates_V2!Q302</f>
        <v>3.7474878330672038E-8</v>
      </c>
      <c r="F302">
        <f t="shared" si="197"/>
        <v>0</v>
      </c>
      <c r="G302">
        <f t="shared" si="198"/>
        <v>0</v>
      </c>
      <c r="H302">
        <f t="shared" si="199"/>
        <v>2.3090902945749364E-5</v>
      </c>
      <c r="I302">
        <f t="shared" si="160"/>
        <v>3.7474878330672038E-8</v>
      </c>
      <c r="J302">
        <f t="shared" si="161"/>
        <v>0</v>
      </c>
      <c r="K302">
        <f t="shared" si="162"/>
        <v>0</v>
      </c>
      <c r="L302">
        <f t="shared" si="163"/>
        <v>0</v>
      </c>
      <c r="M302">
        <f t="shared" si="164"/>
        <v>0</v>
      </c>
      <c r="N302">
        <f t="shared" si="165"/>
        <v>0</v>
      </c>
      <c r="O302">
        <f t="shared" si="166"/>
        <v>2.3053428067418691E-5</v>
      </c>
      <c r="P302">
        <f>M302*Inputs!B6/12</f>
        <v>0</v>
      </c>
      <c r="Q302">
        <f t="shared" si="167"/>
        <v>0</v>
      </c>
      <c r="R302">
        <f>N302*Inputs!B6/12</f>
        <v>0</v>
      </c>
      <c r="S302">
        <f t="shared" si="168"/>
        <v>0</v>
      </c>
      <c r="T302">
        <f t="shared" si="169"/>
        <v>0</v>
      </c>
      <c r="U302">
        <f t="shared" si="170"/>
        <v>0</v>
      </c>
      <c r="V302">
        <f t="shared" si="171"/>
        <v>0</v>
      </c>
      <c r="W302">
        <f t="shared" si="172"/>
        <v>3.5657705836650057E-7</v>
      </c>
      <c r="X302">
        <f t="shared" si="173"/>
        <v>0</v>
      </c>
      <c r="Y302">
        <f t="shared" si="174"/>
        <v>0</v>
      </c>
      <c r="Z302">
        <f t="shared" si="175"/>
        <v>0</v>
      </c>
      <c r="AA302">
        <f t="shared" si="176"/>
        <v>0</v>
      </c>
      <c r="AB302">
        <f t="shared" si="177"/>
        <v>0</v>
      </c>
      <c r="AC302">
        <f t="shared" si="178"/>
        <v>3.5657705836650057E-7</v>
      </c>
      <c r="AD302">
        <f t="shared" si="179"/>
        <v>0</v>
      </c>
      <c r="AE302">
        <f t="shared" si="180"/>
        <v>3.5657705836650057E-7</v>
      </c>
      <c r="AF302">
        <f t="shared" si="181"/>
        <v>0</v>
      </c>
      <c r="AG302">
        <f t="shared" si="182"/>
        <v>3.5657705836650057E-7</v>
      </c>
      <c r="AH302">
        <f t="shared" si="183"/>
        <v>3.5657705836650057E-7</v>
      </c>
      <c r="AI302">
        <f t="shared" si="184"/>
        <v>0</v>
      </c>
      <c r="AJ302">
        <f t="shared" si="185"/>
        <v>0</v>
      </c>
      <c r="AK302">
        <f t="shared" si="186"/>
        <v>3.5657705836650057E-7</v>
      </c>
      <c r="AL302">
        <f t="shared" si="187"/>
        <v>0</v>
      </c>
      <c r="AM302">
        <f t="shared" si="188"/>
        <v>0</v>
      </c>
      <c r="AN302">
        <f t="shared" si="189"/>
        <v>3.5657705836650057E-7</v>
      </c>
      <c r="AO302">
        <f t="shared" si="190"/>
        <v>0</v>
      </c>
      <c r="AP302">
        <f t="shared" si="191"/>
        <v>0</v>
      </c>
      <c r="AQ302">
        <f t="shared" si="192"/>
        <v>0</v>
      </c>
      <c r="AR302">
        <f t="shared" si="193"/>
        <v>2.2696851009052192E-5</v>
      </c>
      <c r="AS302">
        <f t="shared" si="194"/>
        <v>0</v>
      </c>
      <c r="AT302">
        <f t="shared" si="195"/>
        <v>0</v>
      </c>
      <c r="AU302">
        <f t="shared" si="196"/>
        <v>0</v>
      </c>
    </row>
    <row r="303" spans="1:47" x14ac:dyDescent="0.2">
      <c r="A303">
        <v>302</v>
      </c>
      <c r="B303">
        <f>PoolStates_V2!B303</f>
        <v>0</v>
      </c>
      <c r="C303">
        <f>PoolStates_V2!S303</f>
        <v>0</v>
      </c>
      <c r="D303">
        <f>PoolStates_V2!T303</f>
        <v>5.257057805203549E-7</v>
      </c>
      <c r="E303">
        <f>PoolStates_V2!Q303</f>
        <v>3.2834944629064197E-8</v>
      </c>
      <c r="F303">
        <f t="shared" si="197"/>
        <v>0</v>
      </c>
      <c r="G303">
        <f t="shared" si="198"/>
        <v>0</v>
      </c>
      <c r="H303">
        <f t="shared" si="199"/>
        <v>2.2696851009052192E-5</v>
      </c>
      <c r="I303">
        <f t="shared" si="160"/>
        <v>3.2834944629064197E-8</v>
      </c>
      <c r="J303">
        <f t="shared" si="161"/>
        <v>0</v>
      </c>
      <c r="K303">
        <f t="shared" si="162"/>
        <v>0</v>
      </c>
      <c r="L303">
        <f t="shared" si="163"/>
        <v>0</v>
      </c>
      <c r="M303">
        <f t="shared" si="164"/>
        <v>0</v>
      </c>
      <c r="N303">
        <f t="shared" si="165"/>
        <v>0</v>
      </c>
      <c r="O303">
        <f t="shared" si="166"/>
        <v>2.2664016064423129E-5</v>
      </c>
      <c r="P303">
        <f>M303*Inputs!B6/12</f>
        <v>0</v>
      </c>
      <c r="Q303">
        <f t="shared" si="167"/>
        <v>0</v>
      </c>
      <c r="R303">
        <f>N303*Inputs!B6/12</f>
        <v>0</v>
      </c>
      <c r="S303">
        <f t="shared" si="168"/>
        <v>0</v>
      </c>
      <c r="T303">
        <f t="shared" si="169"/>
        <v>0</v>
      </c>
      <c r="U303">
        <f t="shared" si="170"/>
        <v>0</v>
      </c>
      <c r="V303">
        <f t="shared" si="171"/>
        <v>0</v>
      </c>
      <c r="W303">
        <f t="shared" si="172"/>
        <v>5.257057805203549E-7</v>
      </c>
      <c r="X303">
        <f t="shared" si="173"/>
        <v>0</v>
      </c>
      <c r="Y303">
        <f t="shared" si="174"/>
        <v>0</v>
      </c>
      <c r="Z303">
        <f t="shared" si="175"/>
        <v>0</v>
      </c>
      <c r="AA303">
        <f t="shared" si="176"/>
        <v>0</v>
      </c>
      <c r="AB303">
        <f t="shared" si="177"/>
        <v>0</v>
      </c>
      <c r="AC303">
        <f t="shared" si="178"/>
        <v>5.257057805203549E-7</v>
      </c>
      <c r="AD303">
        <f t="shared" si="179"/>
        <v>0</v>
      </c>
      <c r="AE303">
        <f t="shared" si="180"/>
        <v>5.257057805203549E-7</v>
      </c>
      <c r="AF303">
        <f t="shared" si="181"/>
        <v>0</v>
      </c>
      <c r="AG303">
        <f t="shared" si="182"/>
        <v>5.257057805203549E-7</v>
      </c>
      <c r="AH303">
        <f t="shared" si="183"/>
        <v>5.257057805203549E-7</v>
      </c>
      <c r="AI303">
        <f t="shared" si="184"/>
        <v>0</v>
      </c>
      <c r="AJ303">
        <f t="shared" si="185"/>
        <v>0</v>
      </c>
      <c r="AK303">
        <f t="shared" si="186"/>
        <v>5.257057805203549E-7</v>
      </c>
      <c r="AL303">
        <f t="shared" si="187"/>
        <v>0</v>
      </c>
      <c r="AM303">
        <f t="shared" si="188"/>
        <v>0</v>
      </c>
      <c r="AN303">
        <f t="shared" si="189"/>
        <v>5.257057805203549E-7</v>
      </c>
      <c r="AO303">
        <f t="shared" si="190"/>
        <v>0</v>
      </c>
      <c r="AP303">
        <f t="shared" si="191"/>
        <v>0</v>
      </c>
      <c r="AQ303">
        <f t="shared" si="192"/>
        <v>0</v>
      </c>
      <c r="AR303">
        <f t="shared" si="193"/>
        <v>2.2138310283902776E-5</v>
      </c>
      <c r="AS303">
        <f t="shared" si="194"/>
        <v>0</v>
      </c>
      <c r="AT303">
        <f t="shared" si="195"/>
        <v>0</v>
      </c>
      <c r="AU303">
        <f t="shared" si="196"/>
        <v>0</v>
      </c>
    </row>
    <row r="304" spans="1:47" x14ac:dyDescent="0.2">
      <c r="A304">
        <v>303</v>
      </c>
      <c r="B304">
        <f>PoolStates_V2!B304</f>
        <v>0</v>
      </c>
      <c r="C304">
        <f>PoolStates_V2!S304</f>
        <v>0</v>
      </c>
      <c r="D304">
        <f>PoolStates_V2!T304</f>
        <v>6.5048669931167095E-7</v>
      </c>
      <c r="E304">
        <f>PoolStates_V2!Q304</f>
        <v>2.87201209511441E-8</v>
      </c>
      <c r="F304">
        <f t="shared" si="197"/>
        <v>0</v>
      </c>
      <c r="G304">
        <f t="shared" si="198"/>
        <v>0</v>
      </c>
      <c r="H304">
        <f t="shared" si="199"/>
        <v>2.2138310283902776E-5</v>
      </c>
      <c r="I304">
        <f t="shared" si="160"/>
        <v>2.87201209511441E-8</v>
      </c>
      <c r="J304">
        <f t="shared" si="161"/>
        <v>0</v>
      </c>
      <c r="K304">
        <f t="shared" si="162"/>
        <v>0</v>
      </c>
      <c r="L304">
        <f t="shared" si="163"/>
        <v>0</v>
      </c>
      <c r="M304">
        <f t="shared" si="164"/>
        <v>0</v>
      </c>
      <c r="N304">
        <f t="shared" si="165"/>
        <v>0</v>
      </c>
      <c r="O304">
        <f t="shared" si="166"/>
        <v>2.2109590162951631E-5</v>
      </c>
      <c r="P304">
        <f>M304*Inputs!B6/12</f>
        <v>0</v>
      </c>
      <c r="Q304">
        <f t="shared" si="167"/>
        <v>0</v>
      </c>
      <c r="R304">
        <f>N304*Inputs!B6/12</f>
        <v>0</v>
      </c>
      <c r="S304">
        <f t="shared" si="168"/>
        <v>0</v>
      </c>
      <c r="T304">
        <f t="shared" si="169"/>
        <v>0</v>
      </c>
      <c r="U304">
        <f t="shared" si="170"/>
        <v>0</v>
      </c>
      <c r="V304">
        <f t="shared" si="171"/>
        <v>0</v>
      </c>
      <c r="W304">
        <f t="shared" si="172"/>
        <v>6.5048669931167095E-7</v>
      </c>
      <c r="X304">
        <f t="shared" si="173"/>
        <v>0</v>
      </c>
      <c r="Y304">
        <f t="shared" si="174"/>
        <v>0</v>
      </c>
      <c r="Z304">
        <f t="shared" si="175"/>
        <v>0</v>
      </c>
      <c r="AA304">
        <f t="shared" si="176"/>
        <v>0</v>
      </c>
      <c r="AB304">
        <f t="shared" si="177"/>
        <v>0</v>
      </c>
      <c r="AC304">
        <f t="shared" si="178"/>
        <v>6.5048669931167095E-7</v>
      </c>
      <c r="AD304">
        <f t="shared" si="179"/>
        <v>0</v>
      </c>
      <c r="AE304">
        <f t="shared" si="180"/>
        <v>6.5048669931167095E-7</v>
      </c>
      <c r="AF304">
        <f t="shared" si="181"/>
        <v>0</v>
      </c>
      <c r="AG304">
        <f t="shared" si="182"/>
        <v>6.5048669931167095E-7</v>
      </c>
      <c r="AH304">
        <f t="shared" si="183"/>
        <v>6.5048669931167095E-7</v>
      </c>
      <c r="AI304">
        <f t="shared" si="184"/>
        <v>0</v>
      </c>
      <c r="AJ304">
        <f t="shared" si="185"/>
        <v>0</v>
      </c>
      <c r="AK304">
        <f t="shared" si="186"/>
        <v>6.5048669931167095E-7</v>
      </c>
      <c r="AL304">
        <f t="shared" si="187"/>
        <v>0</v>
      </c>
      <c r="AM304">
        <f t="shared" si="188"/>
        <v>0</v>
      </c>
      <c r="AN304">
        <f t="shared" si="189"/>
        <v>6.5048669931167095E-7</v>
      </c>
      <c r="AO304">
        <f t="shared" si="190"/>
        <v>0</v>
      </c>
      <c r="AP304">
        <f t="shared" si="191"/>
        <v>0</v>
      </c>
      <c r="AQ304">
        <f t="shared" si="192"/>
        <v>0</v>
      </c>
      <c r="AR304">
        <f t="shared" si="193"/>
        <v>2.1459103463639961E-5</v>
      </c>
      <c r="AS304">
        <f t="shared" si="194"/>
        <v>0</v>
      </c>
      <c r="AT304">
        <f t="shared" si="195"/>
        <v>0</v>
      </c>
      <c r="AU304">
        <f t="shared" si="196"/>
        <v>0</v>
      </c>
    </row>
    <row r="305" spans="1:47" x14ac:dyDescent="0.2">
      <c r="A305">
        <v>304</v>
      </c>
      <c r="B305">
        <f>PoolStates_V2!B305</f>
        <v>0</v>
      </c>
      <c r="C305">
        <f>PoolStates_V2!S305</f>
        <v>0</v>
      </c>
      <c r="D305">
        <f>PoolStates_V2!T305</f>
        <v>7.410817308121229E-7</v>
      </c>
      <c r="E305">
        <f>PoolStates_V2!Q305</f>
        <v>2.509748204075113E-8</v>
      </c>
      <c r="F305">
        <f t="shared" si="197"/>
        <v>0</v>
      </c>
      <c r="G305">
        <f t="shared" si="198"/>
        <v>0</v>
      </c>
      <c r="H305">
        <f t="shared" si="199"/>
        <v>2.1459103463639961E-5</v>
      </c>
      <c r="I305">
        <f t="shared" si="160"/>
        <v>2.509748204075113E-8</v>
      </c>
      <c r="J305">
        <f t="shared" si="161"/>
        <v>0</v>
      </c>
      <c r="K305">
        <f t="shared" si="162"/>
        <v>0</v>
      </c>
      <c r="L305">
        <f t="shared" si="163"/>
        <v>0</v>
      </c>
      <c r="M305">
        <f t="shared" si="164"/>
        <v>0</v>
      </c>
      <c r="N305">
        <f t="shared" si="165"/>
        <v>0</v>
      </c>
      <c r="O305">
        <f t="shared" si="166"/>
        <v>2.143400598159921E-5</v>
      </c>
      <c r="P305">
        <f>M305*Inputs!B6/12</f>
        <v>0</v>
      </c>
      <c r="Q305">
        <f t="shared" si="167"/>
        <v>0</v>
      </c>
      <c r="R305">
        <f>N305*Inputs!B6/12</f>
        <v>0</v>
      </c>
      <c r="S305">
        <f t="shared" si="168"/>
        <v>0</v>
      </c>
      <c r="T305">
        <f t="shared" si="169"/>
        <v>0</v>
      </c>
      <c r="U305">
        <f t="shared" si="170"/>
        <v>0</v>
      </c>
      <c r="V305">
        <f t="shared" si="171"/>
        <v>0</v>
      </c>
      <c r="W305">
        <f t="shared" si="172"/>
        <v>7.410817308121229E-7</v>
      </c>
      <c r="X305">
        <f t="shared" si="173"/>
        <v>0</v>
      </c>
      <c r="Y305">
        <f t="shared" si="174"/>
        <v>0</v>
      </c>
      <c r="Z305">
        <f t="shared" si="175"/>
        <v>0</v>
      </c>
      <c r="AA305">
        <f t="shared" si="176"/>
        <v>0</v>
      </c>
      <c r="AB305">
        <f t="shared" si="177"/>
        <v>0</v>
      </c>
      <c r="AC305">
        <f t="shared" si="178"/>
        <v>7.410817308121229E-7</v>
      </c>
      <c r="AD305">
        <f t="shared" si="179"/>
        <v>0</v>
      </c>
      <c r="AE305">
        <f t="shared" si="180"/>
        <v>7.410817308121229E-7</v>
      </c>
      <c r="AF305">
        <f t="shared" si="181"/>
        <v>0</v>
      </c>
      <c r="AG305">
        <f t="shared" si="182"/>
        <v>7.410817308121229E-7</v>
      </c>
      <c r="AH305">
        <f t="shared" si="183"/>
        <v>7.410817308121229E-7</v>
      </c>
      <c r="AI305">
        <f t="shared" si="184"/>
        <v>0</v>
      </c>
      <c r="AJ305">
        <f t="shared" si="185"/>
        <v>0</v>
      </c>
      <c r="AK305">
        <f t="shared" si="186"/>
        <v>7.410817308121229E-7</v>
      </c>
      <c r="AL305">
        <f t="shared" si="187"/>
        <v>0</v>
      </c>
      <c r="AM305">
        <f t="shared" si="188"/>
        <v>0</v>
      </c>
      <c r="AN305">
        <f t="shared" si="189"/>
        <v>7.410817308121229E-7</v>
      </c>
      <c r="AO305">
        <f t="shared" si="190"/>
        <v>0</v>
      </c>
      <c r="AP305">
        <f t="shared" si="191"/>
        <v>0</v>
      </c>
      <c r="AQ305">
        <f t="shared" si="192"/>
        <v>0</v>
      </c>
      <c r="AR305">
        <f t="shared" si="193"/>
        <v>2.0692924250787088E-5</v>
      </c>
      <c r="AS305">
        <f t="shared" si="194"/>
        <v>0</v>
      </c>
      <c r="AT305">
        <f t="shared" si="195"/>
        <v>0</v>
      </c>
      <c r="AU305">
        <f t="shared" si="196"/>
        <v>0</v>
      </c>
    </row>
    <row r="306" spans="1:47" x14ac:dyDescent="0.2">
      <c r="A306">
        <v>305</v>
      </c>
      <c r="B306">
        <f>PoolStates_V2!B306</f>
        <v>0</v>
      </c>
      <c r="C306">
        <f>PoolStates_V2!S306</f>
        <v>0</v>
      </c>
      <c r="D306">
        <f>PoolStates_V2!T306</f>
        <v>8.0471281125531203E-7</v>
      </c>
      <c r="E306">
        <f>PoolStates_V2!Q306</f>
        <v>2.1921477397956336E-8</v>
      </c>
      <c r="F306">
        <f t="shared" si="197"/>
        <v>0</v>
      </c>
      <c r="G306">
        <f t="shared" si="198"/>
        <v>0</v>
      </c>
      <c r="H306">
        <f t="shared" si="199"/>
        <v>2.0692924250787088E-5</v>
      </c>
      <c r="I306">
        <f t="shared" si="160"/>
        <v>2.1921477397956336E-8</v>
      </c>
      <c r="J306">
        <f t="shared" si="161"/>
        <v>0</v>
      </c>
      <c r="K306">
        <f t="shared" si="162"/>
        <v>0</v>
      </c>
      <c r="L306">
        <f t="shared" si="163"/>
        <v>0</v>
      </c>
      <c r="M306">
        <f t="shared" si="164"/>
        <v>0</v>
      </c>
      <c r="N306">
        <f t="shared" si="165"/>
        <v>0</v>
      </c>
      <c r="O306">
        <f t="shared" si="166"/>
        <v>2.0671002773389133E-5</v>
      </c>
      <c r="P306">
        <f>M306*Inputs!B6/12</f>
        <v>0</v>
      </c>
      <c r="Q306">
        <f t="shared" si="167"/>
        <v>0</v>
      </c>
      <c r="R306">
        <f>N306*Inputs!B6/12</f>
        <v>0</v>
      </c>
      <c r="S306">
        <f t="shared" si="168"/>
        <v>0</v>
      </c>
      <c r="T306">
        <f t="shared" si="169"/>
        <v>0</v>
      </c>
      <c r="U306">
        <f t="shared" si="170"/>
        <v>0</v>
      </c>
      <c r="V306">
        <f t="shared" si="171"/>
        <v>0</v>
      </c>
      <c r="W306">
        <f t="shared" si="172"/>
        <v>8.0471281125531203E-7</v>
      </c>
      <c r="X306">
        <f t="shared" si="173"/>
        <v>0</v>
      </c>
      <c r="Y306">
        <f t="shared" si="174"/>
        <v>0</v>
      </c>
      <c r="Z306">
        <f t="shared" si="175"/>
        <v>0</v>
      </c>
      <c r="AA306">
        <f t="shared" si="176"/>
        <v>0</v>
      </c>
      <c r="AB306">
        <f t="shared" si="177"/>
        <v>0</v>
      </c>
      <c r="AC306">
        <f t="shared" si="178"/>
        <v>8.0471281125531203E-7</v>
      </c>
      <c r="AD306">
        <f t="shared" si="179"/>
        <v>0</v>
      </c>
      <c r="AE306">
        <f t="shared" si="180"/>
        <v>8.0471281125531203E-7</v>
      </c>
      <c r="AF306">
        <f t="shared" si="181"/>
        <v>0</v>
      </c>
      <c r="AG306">
        <f t="shared" si="182"/>
        <v>8.0471281125531203E-7</v>
      </c>
      <c r="AH306">
        <f t="shared" si="183"/>
        <v>8.0471281125531203E-7</v>
      </c>
      <c r="AI306">
        <f t="shared" si="184"/>
        <v>0</v>
      </c>
      <c r="AJ306">
        <f t="shared" si="185"/>
        <v>0</v>
      </c>
      <c r="AK306">
        <f t="shared" si="186"/>
        <v>8.0471281125531203E-7</v>
      </c>
      <c r="AL306">
        <f t="shared" si="187"/>
        <v>0</v>
      </c>
      <c r="AM306">
        <f t="shared" si="188"/>
        <v>0</v>
      </c>
      <c r="AN306">
        <f t="shared" si="189"/>
        <v>8.0471281125531203E-7</v>
      </c>
      <c r="AO306">
        <f t="shared" si="190"/>
        <v>0</v>
      </c>
      <c r="AP306">
        <f t="shared" si="191"/>
        <v>0</v>
      </c>
      <c r="AQ306">
        <f t="shared" si="192"/>
        <v>0</v>
      </c>
      <c r="AR306">
        <f t="shared" si="193"/>
        <v>1.9866289962133822E-5</v>
      </c>
      <c r="AS306">
        <f t="shared" si="194"/>
        <v>0</v>
      </c>
      <c r="AT306">
        <f t="shared" si="195"/>
        <v>0</v>
      </c>
      <c r="AU306">
        <f t="shared" si="196"/>
        <v>0</v>
      </c>
    </row>
    <row r="307" spans="1:47" x14ac:dyDescent="0.2">
      <c r="A307">
        <v>306</v>
      </c>
      <c r="B307">
        <f>PoolStates_V2!B307</f>
        <v>0</v>
      </c>
      <c r="C307">
        <f>PoolStates_V2!S307</f>
        <v>0</v>
      </c>
      <c r="D307">
        <f>PoolStates_V2!T307</f>
        <v>8.4678542233840442E-7</v>
      </c>
      <c r="E307">
        <f>PoolStates_V2!Q307</f>
        <v>1.9143721802197005E-8</v>
      </c>
      <c r="F307">
        <f t="shared" si="197"/>
        <v>0</v>
      </c>
      <c r="G307">
        <f t="shared" si="198"/>
        <v>0</v>
      </c>
      <c r="H307">
        <f t="shared" si="199"/>
        <v>1.9866289962133822E-5</v>
      </c>
      <c r="I307">
        <f t="shared" si="160"/>
        <v>1.9143721802197005E-8</v>
      </c>
      <c r="J307">
        <f t="shared" si="161"/>
        <v>0</v>
      </c>
      <c r="K307">
        <f t="shared" si="162"/>
        <v>0</v>
      </c>
      <c r="L307">
        <f t="shared" si="163"/>
        <v>0</v>
      </c>
      <c r="M307">
        <f t="shared" si="164"/>
        <v>0</v>
      </c>
      <c r="N307">
        <f t="shared" si="165"/>
        <v>0</v>
      </c>
      <c r="O307">
        <f t="shared" si="166"/>
        <v>1.9847146240331624E-5</v>
      </c>
      <c r="P307">
        <f>M307*Inputs!B6/12</f>
        <v>0</v>
      </c>
      <c r="Q307">
        <f t="shared" si="167"/>
        <v>0</v>
      </c>
      <c r="R307">
        <f>N307*Inputs!B6/12</f>
        <v>0</v>
      </c>
      <c r="S307">
        <f t="shared" si="168"/>
        <v>0</v>
      </c>
      <c r="T307">
        <f t="shared" si="169"/>
        <v>0</v>
      </c>
      <c r="U307">
        <f t="shared" si="170"/>
        <v>0</v>
      </c>
      <c r="V307">
        <f t="shared" si="171"/>
        <v>0</v>
      </c>
      <c r="W307">
        <f t="shared" si="172"/>
        <v>8.4678542233840442E-7</v>
      </c>
      <c r="X307">
        <f t="shared" si="173"/>
        <v>0</v>
      </c>
      <c r="Y307">
        <f t="shared" si="174"/>
        <v>0</v>
      </c>
      <c r="Z307">
        <f t="shared" si="175"/>
        <v>0</v>
      </c>
      <c r="AA307">
        <f t="shared" si="176"/>
        <v>0</v>
      </c>
      <c r="AB307">
        <f t="shared" si="177"/>
        <v>0</v>
      </c>
      <c r="AC307">
        <f t="shared" si="178"/>
        <v>8.4678542233840442E-7</v>
      </c>
      <c r="AD307">
        <f t="shared" si="179"/>
        <v>0</v>
      </c>
      <c r="AE307">
        <f t="shared" si="180"/>
        <v>8.4678542233840442E-7</v>
      </c>
      <c r="AF307">
        <f t="shared" si="181"/>
        <v>0</v>
      </c>
      <c r="AG307">
        <f t="shared" si="182"/>
        <v>8.4678542233840442E-7</v>
      </c>
      <c r="AH307">
        <f t="shared" si="183"/>
        <v>8.4678542233840442E-7</v>
      </c>
      <c r="AI307">
        <f t="shared" si="184"/>
        <v>0</v>
      </c>
      <c r="AJ307">
        <f t="shared" si="185"/>
        <v>0</v>
      </c>
      <c r="AK307">
        <f t="shared" si="186"/>
        <v>8.4678542233840442E-7</v>
      </c>
      <c r="AL307">
        <f t="shared" si="187"/>
        <v>0</v>
      </c>
      <c r="AM307">
        <f t="shared" si="188"/>
        <v>0</v>
      </c>
      <c r="AN307">
        <f t="shared" si="189"/>
        <v>8.4678542233840442E-7</v>
      </c>
      <c r="AO307">
        <f t="shared" si="190"/>
        <v>0</v>
      </c>
      <c r="AP307">
        <f t="shared" si="191"/>
        <v>0</v>
      </c>
      <c r="AQ307">
        <f t="shared" si="192"/>
        <v>0</v>
      </c>
      <c r="AR307">
        <f t="shared" si="193"/>
        <v>1.9000360817993218E-5</v>
      </c>
      <c r="AS307">
        <f t="shared" si="194"/>
        <v>0</v>
      </c>
      <c r="AT307">
        <f t="shared" si="195"/>
        <v>0</v>
      </c>
      <c r="AU307">
        <f t="shared" si="196"/>
        <v>0</v>
      </c>
    </row>
    <row r="308" spans="1:47" x14ac:dyDescent="0.2">
      <c r="A308">
        <v>307</v>
      </c>
      <c r="B308">
        <f>PoolStates_V2!B308</f>
        <v>0</v>
      </c>
      <c r="C308">
        <f>PoolStates_V2!S308</f>
        <v>0</v>
      </c>
      <c r="D308">
        <f>PoolStates_V2!T308</f>
        <v>8.7151160047213339E-7</v>
      </c>
      <c r="E308">
        <f>PoolStates_V2!Q308</f>
        <v>1.6717581702704598E-8</v>
      </c>
      <c r="F308">
        <f t="shared" si="197"/>
        <v>0</v>
      </c>
      <c r="G308">
        <f t="shared" si="198"/>
        <v>0</v>
      </c>
      <c r="H308">
        <f t="shared" si="199"/>
        <v>1.9000360817993218E-5</v>
      </c>
      <c r="I308">
        <f t="shared" si="160"/>
        <v>1.6717581702704598E-8</v>
      </c>
      <c r="J308">
        <f t="shared" si="161"/>
        <v>0</v>
      </c>
      <c r="K308">
        <f t="shared" si="162"/>
        <v>0</v>
      </c>
      <c r="L308">
        <f t="shared" si="163"/>
        <v>0</v>
      </c>
      <c r="M308">
        <f t="shared" si="164"/>
        <v>0</v>
      </c>
      <c r="N308">
        <f t="shared" si="165"/>
        <v>0</v>
      </c>
      <c r="O308">
        <f t="shared" si="166"/>
        <v>1.8983643236290513E-5</v>
      </c>
      <c r="P308">
        <f>M308*Inputs!B6/12</f>
        <v>0</v>
      </c>
      <c r="Q308">
        <f t="shared" si="167"/>
        <v>0</v>
      </c>
      <c r="R308">
        <f>N308*Inputs!B6/12</f>
        <v>0</v>
      </c>
      <c r="S308">
        <f t="shared" si="168"/>
        <v>0</v>
      </c>
      <c r="T308">
        <f t="shared" si="169"/>
        <v>0</v>
      </c>
      <c r="U308">
        <f t="shared" si="170"/>
        <v>0</v>
      </c>
      <c r="V308">
        <f t="shared" si="171"/>
        <v>0</v>
      </c>
      <c r="W308">
        <f t="shared" si="172"/>
        <v>8.7151160047213339E-7</v>
      </c>
      <c r="X308">
        <f t="shared" si="173"/>
        <v>0</v>
      </c>
      <c r="Y308">
        <f t="shared" si="174"/>
        <v>0</v>
      </c>
      <c r="Z308">
        <f t="shared" si="175"/>
        <v>0</v>
      </c>
      <c r="AA308">
        <f t="shared" si="176"/>
        <v>0</v>
      </c>
      <c r="AB308">
        <f t="shared" si="177"/>
        <v>0</v>
      </c>
      <c r="AC308">
        <f t="shared" si="178"/>
        <v>8.7151160047213339E-7</v>
      </c>
      <c r="AD308">
        <f t="shared" si="179"/>
        <v>0</v>
      </c>
      <c r="AE308">
        <f t="shared" si="180"/>
        <v>8.7151160047213339E-7</v>
      </c>
      <c r="AF308">
        <f t="shared" si="181"/>
        <v>0</v>
      </c>
      <c r="AG308">
        <f t="shared" si="182"/>
        <v>8.7151160047213339E-7</v>
      </c>
      <c r="AH308">
        <f t="shared" si="183"/>
        <v>8.7151160047213339E-7</v>
      </c>
      <c r="AI308">
        <f t="shared" si="184"/>
        <v>0</v>
      </c>
      <c r="AJ308">
        <f t="shared" si="185"/>
        <v>0</v>
      </c>
      <c r="AK308">
        <f t="shared" si="186"/>
        <v>8.7151160047213339E-7</v>
      </c>
      <c r="AL308">
        <f t="shared" si="187"/>
        <v>0</v>
      </c>
      <c r="AM308">
        <f t="shared" si="188"/>
        <v>0</v>
      </c>
      <c r="AN308">
        <f t="shared" si="189"/>
        <v>8.7151160047213339E-7</v>
      </c>
      <c r="AO308">
        <f t="shared" si="190"/>
        <v>0</v>
      </c>
      <c r="AP308">
        <f t="shared" si="191"/>
        <v>0</v>
      </c>
      <c r="AQ308">
        <f t="shared" si="192"/>
        <v>0</v>
      </c>
      <c r="AR308">
        <f t="shared" si="193"/>
        <v>1.8112131635818381E-5</v>
      </c>
      <c r="AS308">
        <f t="shared" si="194"/>
        <v>0</v>
      </c>
      <c r="AT308">
        <f t="shared" si="195"/>
        <v>0</v>
      </c>
      <c r="AU308">
        <f t="shared" si="196"/>
        <v>0</v>
      </c>
    </row>
    <row r="309" spans="1:47" x14ac:dyDescent="0.2">
      <c r="A309">
        <v>308</v>
      </c>
      <c r="B309">
        <f>PoolStates_V2!B309</f>
        <v>0</v>
      </c>
      <c r="C309">
        <f>PoolStates_V2!S309</f>
        <v>0</v>
      </c>
      <c r="D309">
        <f>PoolStates_V2!T309</f>
        <v>8.8226823119403583E-7</v>
      </c>
      <c r="E309">
        <f>PoolStates_V2!Q309</f>
        <v>1.4600130587407745E-8</v>
      </c>
      <c r="F309">
        <f t="shared" si="197"/>
        <v>0</v>
      </c>
      <c r="G309">
        <f t="shared" si="198"/>
        <v>0</v>
      </c>
      <c r="H309">
        <f t="shared" si="199"/>
        <v>1.8112131635818381E-5</v>
      </c>
      <c r="I309">
        <f t="shared" si="160"/>
        <v>1.4600130587407745E-8</v>
      </c>
      <c r="J309">
        <f t="shared" si="161"/>
        <v>0</v>
      </c>
      <c r="K309">
        <f t="shared" si="162"/>
        <v>0</v>
      </c>
      <c r="L309">
        <f t="shared" si="163"/>
        <v>0</v>
      </c>
      <c r="M309">
        <f t="shared" si="164"/>
        <v>0</v>
      </c>
      <c r="N309">
        <f t="shared" si="165"/>
        <v>0</v>
      </c>
      <c r="O309">
        <f t="shared" si="166"/>
        <v>1.8097531505230974E-5</v>
      </c>
      <c r="P309">
        <f>M309*Inputs!B6/12</f>
        <v>0</v>
      </c>
      <c r="Q309">
        <f t="shared" si="167"/>
        <v>0</v>
      </c>
      <c r="R309">
        <f>N309*Inputs!B6/12</f>
        <v>0</v>
      </c>
      <c r="S309">
        <f t="shared" si="168"/>
        <v>0</v>
      </c>
      <c r="T309">
        <f t="shared" si="169"/>
        <v>0</v>
      </c>
      <c r="U309">
        <f t="shared" si="170"/>
        <v>0</v>
      </c>
      <c r="V309">
        <f t="shared" si="171"/>
        <v>0</v>
      </c>
      <c r="W309">
        <f t="shared" si="172"/>
        <v>8.8226823119403583E-7</v>
      </c>
      <c r="X309">
        <f t="shared" si="173"/>
        <v>0</v>
      </c>
      <c r="Y309">
        <f t="shared" si="174"/>
        <v>0</v>
      </c>
      <c r="Z309">
        <f t="shared" si="175"/>
        <v>0</v>
      </c>
      <c r="AA309">
        <f t="shared" si="176"/>
        <v>0</v>
      </c>
      <c r="AB309">
        <f t="shared" si="177"/>
        <v>0</v>
      </c>
      <c r="AC309">
        <f t="shared" si="178"/>
        <v>8.8226823119403583E-7</v>
      </c>
      <c r="AD309">
        <f t="shared" si="179"/>
        <v>0</v>
      </c>
      <c r="AE309">
        <f t="shared" si="180"/>
        <v>8.8226823119403583E-7</v>
      </c>
      <c r="AF309">
        <f t="shared" si="181"/>
        <v>0</v>
      </c>
      <c r="AG309">
        <f t="shared" si="182"/>
        <v>8.8226823119403583E-7</v>
      </c>
      <c r="AH309">
        <f t="shared" si="183"/>
        <v>8.8226823119403583E-7</v>
      </c>
      <c r="AI309">
        <f t="shared" si="184"/>
        <v>0</v>
      </c>
      <c r="AJ309">
        <f t="shared" si="185"/>
        <v>0</v>
      </c>
      <c r="AK309">
        <f t="shared" si="186"/>
        <v>8.8226823119403583E-7</v>
      </c>
      <c r="AL309">
        <f t="shared" si="187"/>
        <v>0</v>
      </c>
      <c r="AM309">
        <f t="shared" si="188"/>
        <v>0</v>
      </c>
      <c r="AN309">
        <f t="shared" si="189"/>
        <v>8.8226823119403583E-7</v>
      </c>
      <c r="AO309">
        <f t="shared" si="190"/>
        <v>0</v>
      </c>
      <c r="AP309">
        <f t="shared" si="191"/>
        <v>0</v>
      </c>
      <c r="AQ309">
        <f t="shared" si="192"/>
        <v>0</v>
      </c>
      <c r="AR309">
        <f t="shared" si="193"/>
        <v>1.7215263274036937E-5</v>
      </c>
      <c r="AS309">
        <f t="shared" si="194"/>
        <v>0</v>
      </c>
      <c r="AT309">
        <f t="shared" si="195"/>
        <v>0</v>
      </c>
      <c r="AU309">
        <f t="shared" si="196"/>
        <v>0</v>
      </c>
    </row>
    <row r="310" spans="1:47" x14ac:dyDescent="0.2">
      <c r="A310">
        <v>309</v>
      </c>
      <c r="B310">
        <f>PoolStates_V2!B310</f>
        <v>0</v>
      </c>
      <c r="C310">
        <f>PoolStates_V2!S310</f>
        <v>0</v>
      </c>
      <c r="D310">
        <f>PoolStates_V2!T310</f>
        <v>8.8181343550457096E-7</v>
      </c>
      <c r="E310">
        <f>PoolStates_V2!Q310</f>
        <v>1.2752797020278295E-8</v>
      </c>
      <c r="F310">
        <f t="shared" si="197"/>
        <v>0</v>
      </c>
      <c r="G310">
        <f t="shared" si="198"/>
        <v>0</v>
      </c>
      <c r="H310">
        <f t="shared" si="199"/>
        <v>1.7215263274036937E-5</v>
      </c>
      <c r="I310">
        <f t="shared" si="160"/>
        <v>1.2752797020278295E-8</v>
      </c>
      <c r="J310">
        <f t="shared" si="161"/>
        <v>0</v>
      </c>
      <c r="K310">
        <f t="shared" si="162"/>
        <v>0</v>
      </c>
      <c r="L310">
        <f t="shared" si="163"/>
        <v>0</v>
      </c>
      <c r="M310">
        <f t="shared" si="164"/>
        <v>0</v>
      </c>
      <c r="N310">
        <f t="shared" si="165"/>
        <v>0</v>
      </c>
      <c r="O310">
        <f t="shared" si="166"/>
        <v>1.7202510477016658E-5</v>
      </c>
      <c r="P310">
        <f>M310*Inputs!B6/12</f>
        <v>0</v>
      </c>
      <c r="Q310">
        <f t="shared" si="167"/>
        <v>0</v>
      </c>
      <c r="R310">
        <f>N310*Inputs!B6/12</f>
        <v>0</v>
      </c>
      <c r="S310">
        <f t="shared" si="168"/>
        <v>0</v>
      </c>
      <c r="T310">
        <f t="shared" si="169"/>
        <v>0</v>
      </c>
      <c r="U310">
        <f t="shared" si="170"/>
        <v>0</v>
      </c>
      <c r="V310">
        <f t="shared" si="171"/>
        <v>0</v>
      </c>
      <c r="W310">
        <f t="shared" si="172"/>
        <v>8.8181343550457096E-7</v>
      </c>
      <c r="X310">
        <f t="shared" si="173"/>
        <v>0</v>
      </c>
      <c r="Y310">
        <f t="shared" si="174"/>
        <v>0</v>
      </c>
      <c r="Z310">
        <f t="shared" si="175"/>
        <v>0</v>
      </c>
      <c r="AA310">
        <f t="shared" si="176"/>
        <v>0</v>
      </c>
      <c r="AB310">
        <f t="shared" si="177"/>
        <v>0</v>
      </c>
      <c r="AC310">
        <f t="shared" si="178"/>
        <v>8.8181343550457096E-7</v>
      </c>
      <c r="AD310">
        <f t="shared" si="179"/>
        <v>0</v>
      </c>
      <c r="AE310">
        <f t="shared" si="180"/>
        <v>8.8181343550457096E-7</v>
      </c>
      <c r="AF310">
        <f t="shared" si="181"/>
        <v>0</v>
      </c>
      <c r="AG310">
        <f t="shared" si="182"/>
        <v>8.8181343550457096E-7</v>
      </c>
      <c r="AH310">
        <f t="shared" si="183"/>
        <v>8.8181343550457096E-7</v>
      </c>
      <c r="AI310">
        <f t="shared" si="184"/>
        <v>0</v>
      </c>
      <c r="AJ310">
        <f t="shared" si="185"/>
        <v>0</v>
      </c>
      <c r="AK310">
        <f t="shared" si="186"/>
        <v>8.8181343550457096E-7</v>
      </c>
      <c r="AL310">
        <f t="shared" si="187"/>
        <v>0</v>
      </c>
      <c r="AM310">
        <f t="shared" si="188"/>
        <v>0</v>
      </c>
      <c r="AN310">
        <f t="shared" si="189"/>
        <v>8.8181343550457096E-7</v>
      </c>
      <c r="AO310">
        <f t="shared" si="190"/>
        <v>0</v>
      </c>
      <c r="AP310">
        <f t="shared" si="191"/>
        <v>0</v>
      </c>
      <c r="AQ310">
        <f t="shared" si="192"/>
        <v>0</v>
      </c>
      <c r="AR310">
        <f t="shared" si="193"/>
        <v>1.6320697041512088E-5</v>
      </c>
      <c r="AS310">
        <f t="shared" si="194"/>
        <v>0</v>
      </c>
      <c r="AT310">
        <f t="shared" si="195"/>
        <v>0</v>
      </c>
      <c r="AU310">
        <f t="shared" si="196"/>
        <v>0</v>
      </c>
    </row>
    <row r="311" spans="1:47" x14ac:dyDescent="0.2">
      <c r="A311">
        <v>310</v>
      </c>
      <c r="B311">
        <f>PoolStates_V2!B311</f>
        <v>0</v>
      </c>
      <c r="C311">
        <f>PoolStates_V2!S311</f>
        <v>0</v>
      </c>
      <c r="D311">
        <f>PoolStates_V2!T311</f>
        <v>8.7242526845395108E-7</v>
      </c>
      <c r="E311">
        <f>PoolStates_V2!Q311</f>
        <v>1.1141383394619291E-8</v>
      </c>
      <c r="F311">
        <f t="shared" si="197"/>
        <v>0</v>
      </c>
      <c r="G311">
        <f t="shared" si="198"/>
        <v>0</v>
      </c>
      <c r="H311">
        <f t="shared" si="199"/>
        <v>1.6320697041512088E-5</v>
      </c>
      <c r="I311">
        <f t="shared" si="160"/>
        <v>1.1141383394619291E-8</v>
      </c>
      <c r="J311">
        <f t="shared" si="161"/>
        <v>0</v>
      </c>
      <c r="K311">
        <f t="shared" si="162"/>
        <v>0</v>
      </c>
      <c r="L311">
        <f t="shared" si="163"/>
        <v>0</v>
      </c>
      <c r="M311">
        <f t="shared" si="164"/>
        <v>0</v>
      </c>
      <c r="N311">
        <f t="shared" si="165"/>
        <v>0</v>
      </c>
      <c r="O311">
        <f t="shared" si="166"/>
        <v>1.6309555658117469E-5</v>
      </c>
      <c r="P311">
        <f>M311*Inputs!B6/12</f>
        <v>0</v>
      </c>
      <c r="Q311">
        <f t="shared" si="167"/>
        <v>0</v>
      </c>
      <c r="R311">
        <f>N311*Inputs!B6/12</f>
        <v>0</v>
      </c>
      <c r="S311">
        <f t="shared" si="168"/>
        <v>0</v>
      </c>
      <c r="T311">
        <f t="shared" si="169"/>
        <v>0</v>
      </c>
      <c r="U311">
        <f t="shared" si="170"/>
        <v>0</v>
      </c>
      <c r="V311">
        <f t="shared" si="171"/>
        <v>0</v>
      </c>
      <c r="W311">
        <f t="shared" si="172"/>
        <v>8.7242526845395108E-7</v>
      </c>
      <c r="X311">
        <f t="shared" si="173"/>
        <v>0</v>
      </c>
      <c r="Y311">
        <f t="shared" si="174"/>
        <v>0</v>
      </c>
      <c r="Z311">
        <f t="shared" si="175"/>
        <v>0</v>
      </c>
      <c r="AA311">
        <f t="shared" si="176"/>
        <v>0</v>
      </c>
      <c r="AB311">
        <f t="shared" si="177"/>
        <v>0</v>
      </c>
      <c r="AC311">
        <f t="shared" si="178"/>
        <v>8.7242526845395108E-7</v>
      </c>
      <c r="AD311">
        <f t="shared" si="179"/>
        <v>0</v>
      </c>
      <c r="AE311">
        <f t="shared" si="180"/>
        <v>8.7242526845395108E-7</v>
      </c>
      <c r="AF311">
        <f t="shared" si="181"/>
        <v>0</v>
      </c>
      <c r="AG311">
        <f t="shared" si="182"/>
        <v>8.7242526845395108E-7</v>
      </c>
      <c r="AH311">
        <f t="shared" si="183"/>
        <v>8.7242526845395108E-7</v>
      </c>
      <c r="AI311">
        <f t="shared" si="184"/>
        <v>0</v>
      </c>
      <c r="AJ311">
        <f t="shared" si="185"/>
        <v>0</v>
      </c>
      <c r="AK311">
        <f t="shared" si="186"/>
        <v>8.7242526845395108E-7</v>
      </c>
      <c r="AL311">
        <f t="shared" si="187"/>
        <v>0</v>
      </c>
      <c r="AM311">
        <f t="shared" si="188"/>
        <v>0</v>
      </c>
      <c r="AN311">
        <f t="shared" si="189"/>
        <v>8.7242526845395108E-7</v>
      </c>
      <c r="AO311">
        <f t="shared" si="190"/>
        <v>0</v>
      </c>
      <c r="AP311">
        <f t="shared" si="191"/>
        <v>0</v>
      </c>
      <c r="AQ311">
        <f t="shared" si="192"/>
        <v>0</v>
      </c>
      <c r="AR311">
        <f t="shared" si="193"/>
        <v>1.5437130389663518E-5</v>
      </c>
      <c r="AS311">
        <f t="shared" si="194"/>
        <v>0</v>
      </c>
      <c r="AT311">
        <f t="shared" si="195"/>
        <v>0</v>
      </c>
      <c r="AU311">
        <f t="shared" si="196"/>
        <v>0</v>
      </c>
    </row>
    <row r="312" spans="1:47" x14ac:dyDescent="0.2">
      <c r="A312">
        <v>311</v>
      </c>
      <c r="B312">
        <f>PoolStates_V2!B312</f>
        <v>0</v>
      </c>
      <c r="C312">
        <f>PoolStates_V2!S312</f>
        <v>0</v>
      </c>
      <c r="D312">
        <f>PoolStates_V2!T312</f>
        <v>8.5599653890299703E-7</v>
      </c>
      <c r="E312">
        <f>PoolStates_V2!Q312</f>
        <v>9.7358001875944062E-9</v>
      </c>
      <c r="F312">
        <f t="shared" si="197"/>
        <v>0</v>
      </c>
      <c r="G312">
        <f t="shared" si="198"/>
        <v>0</v>
      </c>
      <c r="H312">
        <f t="shared" si="199"/>
        <v>1.5437130389663518E-5</v>
      </c>
      <c r="I312">
        <f t="shared" si="160"/>
        <v>9.7358001875944062E-9</v>
      </c>
      <c r="J312">
        <f t="shared" si="161"/>
        <v>0</v>
      </c>
      <c r="K312">
        <f t="shared" si="162"/>
        <v>0</v>
      </c>
      <c r="L312">
        <f t="shared" si="163"/>
        <v>0</v>
      </c>
      <c r="M312">
        <f t="shared" si="164"/>
        <v>0</v>
      </c>
      <c r="N312">
        <f t="shared" si="165"/>
        <v>0</v>
      </c>
      <c r="O312">
        <f t="shared" si="166"/>
        <v>1.5427394589475925E-5</v>
      </c>
      <c r="P312">
        <f>M312*Inputs!B6/12</f>
        <v>0</v>
      </c>
      <c r="Q312">
        <f t="shared" si="167"/>
        <v>0</v>
      </c>
      <c r="R312">
        <f>N312*Inputs!B6/12</f>
        <v>0</v>
      </c>
      <c r="S312">
        <f t="shared" si="168"/>
        <v>0</v>
      </c>
      <c r="T312">
        <f t="shared" si="169"/>
        <v>0</v>
      </c>
      <c r="U312">
        <f t="shared" si="170"/>
        <v>0</v>
      </c>
      <c r="V312">
        <f t="shared" si="171"/>
        <v>0</v>
      </c>
      <c r="W312">
        <f t="shared" si="172"/>
        <v>8.5599653890299703E-7</v>
      </c>
      <c r="X312">
        <f t="shared" si="173"/>
        <v>0</v>
      </c>
      <c r="Y312">
        <f t="shared" si="174"/>
        <v>0</v>
      </c>
      <c r="Z312">
        <f t="shared" si="175"/>
        <v>0</v>
      </c>
      <c r="AA312">
        <f t="shared" si="176"/>
        <v>0</v>
      </c>
      <c r="AB312">
        <f t="shared" si="177"/>
        <v>0</v>
      </c>
      <c r="AC312">
        <f t="shared" si="178"/>
        <v>8.5599653890299703E-7</v>
      </c>
      <c r="AD312">
        <f t="shared" si="179"/>
        <v>0</v>
      </c>
      <c r="AE312">
        <f t="shared" si="180"/>
        <v>8.5599653890299703E-7</v>
      </c>
      <c r="AF312">
        <f t="shared" si="181"/>
        <v>0</v>
      </c>
      <c r="AG312">
        <f t="shared" si="182"/>
        <v>8.5599653890299703E-7</v>
      </c>
      <c r="AH312">
        <f t="shared" si="183"/>
        <v>8.5599653890299703E-7</v>
      </c>
      <c r="AI312">
        <f t="shared" si="184"/>
        <v>0</v>
      </c>
      <c r="AJ312">
        <f t="shared" si="185"/>
        <v>0</v>
      </c>
      <c r="AK312">
        <f t="shared" si="186"/>
        <v>8.5599653890299703E-7</v>
      </c>
      <c r="AL312">
        <f t="shared" si="187"/>
        <v>0</v>
      </c>
      <c r="AM312">
        <f t="shared" si="188"/>
        <v>0</v>
      </c>
      <c r="AN312">
        <f t="shared" si="189"/>
        <v>8.5599653890299703E-7</v>
      </c>
      <c r="AO312">
        <f t="shared" si="190"/>
        <v>0</v>
      </c>
      <c r="AP312">
        <f t="shared" si="191"/>
        <v>0</v>
      </c>
      <c r="AQ312">
        <f t="shared" si="192"/>
        <v>0</v>
      </c>
      <c r="AR312">
        <f t="shared" si="193"/>
        <v>1.4571398050572927E-5</v>
      </c>
      <c r="AS312">
        <f t="shared" si="194"/>
        <v>0</v>
      </c>
      <c r="AT312">
        <f t="shared" si="195"/>
        <v>0</v>
      </c>
      <c r="AU312">
        <f t="shared" si="196"/>
        <v>0</v>
      </c>
    </row>
    <row r="313" spans="1:47" x14ac:dyDescent="0.2">
      <c r="A313">
        <v>312</v>
      </c>
      <c r="B313">
        <f>PoolStates_V2!B313</f>
        <v>0</v>
      </c>
      <c r="C313">
        <f>PoolStates_V2!S313</f>
        <v>0</v>
      </c>
      <c r="D313">
        <f>PoolStates_V2!T313</f>
        <v>8.3410374294192997E-7</v>
      </c>
      <c r="E313">
        <f>PoolStates_V2!Q313</f>
        <v>8.509688808069112E-9</v>
      </c>
      <c r="F313">
        <f t="shared" si="197"/>
        <v>0</v>
      </c>
      <c r="G313">
        <f t="shared" si="198"/>
        <v>0</v>
      </c>
      <c r="H313">
        <f t="shared" si="199"/>
        <v>1.4571398050572927E-5</v>
      </c>
      <c r="I313">
        <f t="shared" si="160"/>
        <v>8.509688808069112E-9</v>
      </c>
      <c r="J313">
        <f t="shared" si="161"/>
        <v>0</v>
      </c>
      <c r="K313">
        <f t="shared" si="162"/>
        <v>0</v>
      </c>
      <c r="L313">
        <f t="shared" si="163"/>
        <v>0</v>
      </c>
      <c r="M313">
        <f t="shared" si="164"/>
        <v>0</v>
      </c>
      <c r="N313">
        <f t="shared" si="165"/>
        <v>0</v>
      </c>
      <c r="O313">
        <f t="shared" si="166"/>
        <v>1.4562888361764858E-5</v>
      </c>
      <c r="P313">
        <f>M313*Inputs!B6/12</f>
        <v>0</v>
      </c>
      <c r="Q313">
        <f t="shared" si="167"/>
        <v>0</v>
      </c>
      <c r="R313">
        <f>N313*Inputs!B6/12</f>
        <v>0</v>
      </c>
      <c r="S313">
        <f t="shared" si="168"/>
        <v>0</v>
      </c>
      <c r="T313">
        <f t="shared" si="169"/>
        <v>0</v>
      </c>
      <c r="U313">
        <f t="shared" si="170"/>
        <v>0</v>
      </c>
      <c r="V313">
        <f t="shared" si="171"/>
        <v>0</v>
      </c>
      <c r="W313">
        <f t="shared" si="172"/>
        <v>8.3410374294192997E-7</v>
      </c>
      <c r="X313">
        <f t="shared" si="173"/>
        <v>0</v>
      </c>
      <c r="Y313">
        <f t="shared" si="174"/>
        <v>0</v>
      </c>
      <c r="Z313">
        <f t="shared" si="175"/>
        <v>0</v>
      </c>
      <c r="AA313">
        <f t="shared" si="176"/>
        <v>0</v>
      </c>
      <c r="AB313">
        <f t="shared" si="177"/>
        <v>0</v>
      </c>
      <c r="AC313">
        <f t="shared" si="178"/>
        <v>8.3410374294192997E-7</v>
      </c>
      <c r="AD313">
        <f t="shared" si="179"/>
        <v>0</v>
      </c>
      <c r="AE313">
        <f t="shared" si="180"/>
        <v>8.3410374294192997E-7</v>
      </c>
      <c r="AF313">
        <f t="shared" si="181"/>
        <v>0</v>
      </c>
      <c r="AG313">
        <f t="shared" si="182"/>
        <v>8.3410374294192997E-7</v>
      </c>
      <c r="AH313">
        <f t="shared" si="183"/>
        <v>8.3410374294192997E-7</v>
      </c>
      <c r="AI313">
        <f t="shared" si="184"/>
        <v>0</v>
      </c>
      <c r="AJ313">
        <f t="shared" si="185"/>
        <v>0</v>
      </c>
      <c r="AK313">
        <f t="shared" si="186"/>
        <v>8.3410374294192997E-7</v>
      </c>
      <c r="AL313">
        <f t="shared" si="187"/>
        <v>0</v>
      </c>
      <c r="AM313">
        <f t="shared" si="188"/>
        <v>0</v>
      </c>
      <c r="AN313">
        <f t="shared" si="189"/>
        <v>8.3410374294192997E-7</v>
      </c>
      <c r="AO313">
        <f t="shared" si="190"/>
        <v>0</v>
      </c>
      <c r="AP313">
        <f t="shared" si="191"/>
        <v>0</v>
      </c>
      <c r="AQ313">
        <f t="shared" si="192"/>
        <v>0</v>
      </c>
      <c r="AR313">
        <f t="shared" si="193"/>
        <v>1.3728784618822928E-5</v>
      </c>
      <c r="AS313">
        <f t="shared" si="194"/>
        <v>0</v>
      </c>
      <c r="AT313">
        <f t="shared" si="195"/>
        <v>0</v>
      </c>
      <c r="AU313">
        <f t="shared" si="196"/>
        <v>0</v>
      </c>
    </row>
    <row r="314" spans="1:47" x14ac:dyDescent="0.2">
      <c r="A314">
        <v>313</v>
      </c>
      <c r="B314">
        <f>PoolStates_V2!B314</f>
        <v>0</v>
      </c>
      <c r="C314">
        <f>PoolStates_V2!S314</f>
        <v>0</v>
      </c>
      <c r="D314">
        <f>PoolStates_V2!T314</f>
        <v>8.0805985136609631E-7</v>
      </c>
      <c r="E314">
        <f>PoolStates_V2!Q314</f>
        <v>7.4400179605870763E-9</v>
      </c>
      <c r="F314">
        <f t="shared" si="197"/>
        <v>0</v>
      </c>
      <c r="G314">
        <f t="shared" si="198"/>
        <v>0</v>
      </c>
      <c r="H314">
        <f t="shared" si="199"/>
        <v>1.3728784618822928E-5</v>
      </c>
      <c r="I314">
        <f t="shared" si="160"/>
        <v>7.4400179605870763E-9</v>
      </c>
      <c r="J314">
        <f t="shared" si="161"/>
        <v>0</v>
      </c>
      <c r="K314">
        <f t="shared" si="162"/>
        <v>0</v>
      </c>
      <c r="L314">
        <f t="shared" si="163"/>
        <v>0</v>
      </c>
      <c r="M314">
        <f t="shared" si="164"/>
        <v>0</v>
      </c>
      <c r="N314">
        <f t="shared" si="165"/>
        <v>0</v>
      </c>
      <c r="O314">
        <f t="shared" si="166"/>
        <v>1.3721344600862341E-5</v>
      </c>
      <c r="P314">
        <f>M314*Inputs!B6/12</f>
        <v>0</v>
      </c>
      <c r="Q314">
        <f t="shared" si="167"/>
        <v>0</v>
      </c>
      <c r="R314">
        <f>N314*Inputs!B6/12</f>
        <v>0</v>
      </c>
      <c r="S314">
        <f t="shared" si="168"/>
        <v>0</v>
      </c>
      <c r="T314">
        <f t="shared" si="169"/>
        <v>0</v>
      </c>
      <c r="U314">
        <f t="shared" si="170"/>
        <v>0</v>
      </c>
      <c r="V314">
        <f t="shared" si="171"/>
        <v>0</v>
      </c>
      <c r="W314">
        <f t="shared" si="172"/>
        <v>8.0805985136609631E-7</v>
      </c>
      <c r="X314">
        <f t="shared" si="173"/>
        <v>0</v>
      </c>
      <c r="Y314">
        <f t="shared" si="174"/>
        <v>0</v>
      </c>
      <c r="Z314">
        <f t="shared" si="175"/>
        <v>0</v>
      </c>
      <c r="AA314">
        <f t="shared" si="176"/>
        <v>0</v>
      </c>
      <c r="AB314">
        <f t="shared" si="177"/>
        <v>0</v>
      </c>
      <c r="AC314">
        <f t="shared" si="178"/>
        <v>8.0805985136609631E-7</v>
      </c>
      <c r="AD314">
        <f t="shared" si="179"/>
        <v>0</v>
      </c>
      <c r="AE314">
        <f t="shared" si="180"/>
        <v>8.0805985136609631E-7</v>
      </c>
      <c r="AF314">
        <f t="shared" si="181"/>
        <v>0</v>
      </c>
      <c r="AG314">
        <f t="shared" si="182"/>
        <v>8.0805985136609631E-7</v>
      </c>
      <c r="AH314">
        <f t="shared" si="183"/>
        <v>8.0805985136609631E-7</v>
      </c>
      <c r="AI314">
        <f t="shared" si="184"/>
        <v>0</v>
      </c>
      <c r="AJ314">
        <f t="shared" si="185"/>
        <v>0</v>
      </c>
      <c r="AK314">
        <f t="shared" si="186"/>
        <v>8.0805985136609631E-7</v>
      </c>
      <c r="AL314">
        <f t="shared" si="187"/>
        <v>0</v>
      </c>
      <c r="AM314">
        <f t="shared" si="188"/>
        <v>0</v>
      </c>
      <c r="AN314">
        <f t="shared" si="189"/>
        <v>8.0805985136609631E-7</v>
      </c>
      <c r="AO314">
        <f t="shared" si="190"/>
        <v>0</v>
      </c>
      <c r="AP314">
        <f t="shared" si="191"/>
        <v>0</v>
      </c>
      <c r="AQ314">
        <f t="shared" si="192"/>
        <v>0</v>
      </c>
      <c r="AR314">
        <f t="shared" si="193"/>
        <v>1.2913284749496245E-5</v>
      </c>
      <c r="AS314">
        <f t="shared" si="194"/>
        <v>0</v>
      </c>
      <c r="AT314">
        <f t="shared" si="195"/>
        <v>0</v>
      </c>
      <c r="AU314">
        <f t="shared" si="196"/>
        <v>0</v>
      </c>
    </row>
    <row r="315" spans="1:47" x14ac:dyDescent="0.2">
      <c r="A315">
        <v>314</v>
      </c>
      <c r="B315">
        <f>PoolStates_V2!B315</f>
        <v>0</v>
      </c>
      <c r="C315">
        <f>PoolStates_V2!S315</f>
        <v>0</v>
      </c>
      <c r="D315">
        <f>PoolStates_V2!T315</f>
        <v>7.7895636349379498E-7</v>
      </c>
      <c r="E315">
        <f>PoolStates_V2!Q315</f>
        <v>6.5066934202299086E-9</v>
      </c>
      <c r="F315">
        <f t="shared" si="197"/>
        <v>0</v>
      </c>
      <c r="G315">
        <f t="shared" si="198"/>
        <v>0</v>
      </c>
      <c r="H315">
        <f t="shared" si="199"/>
        <v>1.2913284749496245E-5</v>
      </c>
      <c r="I315">
        <f t="shared" si="160"/>
        <v>6.5066934202299086E-9</v>
      </c>
      <c r="J315">
        <f t="shared" si="161"/>
        <v>0</v>
      </c>
      <c r="K315">
        <f t="shared" si="162"/>
        <v>0</v>
      </c>
      <c r="L315">
        <f t="shared" si="163"/>
        <v>0</v>
      </c>
      <c r="M315">
        <f t="shared" si="164"/>
        <v>0</v>
      </c>
      <c r="N315">
        <f t="shared" si="165"/>
        <v>0</v>
      </c>
      <c r="O315">
        <f t="shared" si="166"/>
        <v>1.2906778056076015E-5</v>
      </c>
      <c r="P315">
        <f>M315*Inputs!B6/12</f>
        <v>0</v>
      </c>
      <c r="Q315">
        <f t="shared" si="167"/>
        <v>0</v>
      </c>
      <c r="R315">
        <f>N315*Inputs!B6/12</f>
        <v>0</v>
      </c>
      <c r="S315">
        <f t="shared" si="168"/>
        <v>0</v>
      </c>
      <c r="T315">
        <f t="shared" si="169"/>
        <v>0</v>
      </c>
      <c r="U315">
        <f t="shared" si="170"/>
        <v>0</v>
      </c>
      <c r="V315">
        <f t="shared" si="171"/>
        <v>0</v>
      </c>
      <c r="W315">
        <f t="shared" si="172"/>
        <v>7.7895636349379498E-7</v>
      </c>
      <c r="X315">
        <f t="shared" si="173"/>
        <v>0</v>
      </c>
      <c r="Y315">
        <f t="shared" si="174"/>
        <v>0</v>
      </c>
      <c r="Z315">
        <f t="shared" si="175"/>
        <v>0</v>
      </c>
      <c r="AA315">
        <f t="shared" si="176"/>
        <v>0</v>
      </c>
      <c r="AB315">
        <f t="shared" si="177"/>
        <v>0</v>
      </c>
      <c r="AC315">
        <f t="shared" si="178"/>
        <v>7.7895636349379498E-7</v>
      </c>
      <c r="AD315">
        <f t="shared" si="179"/>
        <v>0</v>
      </c>
      <c r="AE315">
        <f t="shared" si="180"/>
        <v>7.7895636349379498E-7</v>
      </c>
      <c r="AF315">
        <f t="shared" si="181"/>
        <v>0</v>
      </c>
      <c r="AG315">
        <f t="shared" si="182"/>
        <v>7.7895636349379498E-7</v>
      </c>
      <c r="AH315">
        <f t="shared" si="183"/>
        <v>7.7895636349379498E-7</v>
      </c>
      <c r="AI315">
        <f t="shared" si="184"/>
        <v>0</v>
      </c>
      <c r="AJ315">
        <f t="shared" si="185"/>
        <v>0</v>
      </c>
      <c r="AK315">
        <f t="shared" si="186"/>
        <v>7.7895636349379498E-7</v>
      </c>
      <c r="AL315">
        <f t="shared" si="187"/>
        <v>0</v>
      </c>
      <c r="AM315">
        <f t="shared" si="188"/>
        <v>0</v>
      </c>
      <c r="AN315">
        <f t="shared" si="189"/>
        <v>7.7895636349379498E-7</v>
      </c>
      <c r="AO315">
        <f t="shared" si="190"/>
        <v>0</v>
      </c>
      <c r="AP315">
        <f t="shared" si="191"/>
        <v>0</v>
      </c>
      <c r="AQ315">
        <f t="shared" si="192"/>
        <v>0</v>
      </c>
      <c r="AR315">
        <f t="shared" si="193"/>
        <v>1.212782169258222E-5</v>
      </c>
      <c r="AS315">
        <f t="shared" si="194"/>
        <v>0</v>
      </c>
      <c r="AT315">
        <f t="shared" si="195"/>
        <v>0</v>
      </c>
      <c r="AU315">
        <f t="shared" si="196"/>
        <v>0</v>
      </c>
    </row>
    <row r="316" spans="1:47" x14ac:dyDescent="0.2">
      <c r="A316">
        <v>315</v>
      </c>
      <c r="B316">
        <f>PoolStates_V2!B316</f>
        <v>0</v>
      </c>
      <c r="C316">
        <f>PoolStates_V2!S316</f>
        <v>0</v>
      </c>
      <c r="D316">
        <f>PoolStates_V2!T316</f>
        <v>7.4769775005525233E-7</v>
      </c>
      <c r="E316">
        <f>PoolStates_V2!Q316</f>
        <v>5.692198335751513E-9</v>
      </c>
      <c r="F316">
        <f t="shared" si="197"/>
        <v>0</v>
      </c>
      <c r="G316">
        <f t="shared" si="198"/>
        <v>0</v>
      </c>
      <c r="H316">
        <f t="shared" si="199"/>
        <v>1.212782169258222E-5</v>
      </c>
      <c r="I316">
        <f t="shared" si="160"/>
        <v>5.692198335751513E-9</v>
      </c>
      <c r="J316">
        <f t="shared" si="161"/>
        <v>0</v>
      </c>
      <c r="K316">
        <f t="shared" si="162"/>
        <v>0</v>
      </c>
      <c r="L316">
        <f t="shared" si="163"/>
        <v>0</v>
      </c>
      <c r="M316">
        <f t="shared" si="164"/>
        <v>0</v>
      </c>
      <c r="N316">
        <f t="shared" si="165"/>
        <v>0</v>
      </c>
      <c r="O316">
        <f t="shared" si="166"/>
        <v>1.2122129494246469E-5</v>
      </c>
      <c r="P316">
        <f>M316*Inputs!B6/12</f>
        <v>0</v>
      </c>
      <c r="Q316">
        <f t="shared" si="167"/>
        <v>0</v>
      </c>
      <c r="R316">
        <f>N316*Inputs!B6/12</f>
        <v>0</v>
      </c>
      <c r="S316">
        <f t="shared" si="168"/>
        <v>0</v>
      </c>
      <c r="T316">
        <f t="shared" si="169"/>
        <v>0</v>
      </c>
      <c r="U316">
        <f t="shared" si="170"/>
        <v>0</v>
      </c>
      <c r="V316">
        <f t="shared" si="171"/>
        <v>0</v>
      </c>
      <c r="W316">
        <f t="shared" si="172"/>
        <v>7.4769775005525233E-7</v>
      </c>
      <c r="X316">
        <f t="shared" si="173"/>
        <v>0</v>
      </c>
      <c r="Y316">
        <f t="shared" si="174"/>
        <v>0</v>
      </c>
      <c r="Z316">
        <f t="shared" si="175"/>
        <v>0</v>
      </c>
      <c r="AA316">
        <f t="shared" si="176"/>
        <v>0</v>
      </c>
      <c r="AB316">
        <f t="shared" si="177"/>
        <v>0</v>
      </c>
      <c r="AC316">
        <f t="shared" si="178"/>
        <v>7.4769775005525233E-7</v>
      </c>
      <c r="AD316">
        <f t="shared" si="179"/>
        <v>0</v>
      </c>
      <c r="AE316">
        <f t="shared" si="180"/>
        <v>7.4769775005525233E-7</v>
      </c>
      <c r="AF316">
        <f t="shared" si="181"/>
        <v>0</v>
      </c>
      <c r="AG316">
        <f t="shared" si="182"/>
        <v>7.4769775005525233E-7</v>
      </c>
      <c r="AH316">
        <f t="shared" si="183"/>
        <v>7.4769775005525233E-7</v>
      </c>
      <c r="AI316">
        <f t="shared" si="184"/>
        <v>0</v>
      </c>
      <c r="AJ316">
        <f t="shared" si="185"/>
        <v>0</v>
      </c>
      <c r="AK316">
        <f t="shared" si="186"/>
        <v>7.4769775005525233E-7</v>
      </c>
      <c r="AL316">
        <f t="shared" si="187"/>
        <v>0</v>
      </c>
      <c r="AM316">
        <f t="shared" si="188"/>
        <v>0</v>
      </c>
      <c r="AN316">
        <f t="shared" si="189"/>
        <v>7.4769775005525233E-7</v>
      </c>
      <c r="AO316">
        <f t="shared" si="190"/>
        <v>0</v>
      </c>
      <c r="AP316">
        <f t="shared" si="191"/>
        <v>0</v>
      </c>
      <c r="AQ316">
        <f t="shared" si="192"/>
        <v>0</v>
      </c>
      <c r="AR316">
        <f t="shared" si="193"/>
        <v>1.1374431744191217E-5</v>
      </c>
      <c r="AS316">
        <f t="shared" si="194"/>
        <v>0</v>
      </c>
      <c r="AT316">
        <f t="shared" si="195"/>
        <v>0</v>
      </c>
      <c r="AU316">
        <f t="shared" si="196"/>
        <v>0</v>
      </c>
    </row>
    <row r="317" spans="1:47" x14ac:dyDescent="0.2">
      <c r="A317">
        <v>316</v>
      </c>
      <c r="B317">
        <f>PoolStates_V2!B317</f>
        <v>0</v>
      </c>
      <c r="C317">
        <f>PoolStates_V2!S317</f>
        <v>0</v>
      </c>
      <c r="D317">
        <f>PoolStates_V2!T317</f>
        <v>7.15030180000048E-7</v>
      </c>
      <c r="E317">
        <f>PoolStates_V2!Q317</f>
        <v>4.9812698490833632E-9</v>
      </c>
      <c r="F317">
        <f t="shared" si="197"/>
        <v>0</v>
      </c>
      <c r="G317">
        <f t="shared" si="198"/>
        <v>0</v>
      </c>
      <c r="H317">
        <f t="shared" si="199"/>
        <v>1.1374431744191217E-5</v>
      </c>
      <c r="I317">
        <f t="shared" si="160"/>
        <v>4.9812698490833632E-9</v>
      </c>
      <c r="J317">
        <f t="shared" si="161"/>
        <v>0</v>
      </c>
      <c r="K317">
        <f t="shared" si="162"/>
        <v>0</v>
      </c>
      <c r="L317">
        <f t="shared" si="163"/>
        <v>0</v>
      </c>
      <c r="M317">
        <f t="shared" si="164"/>
        <v>0</v>
      </c>
      <c r="N317">
        <f t="shared" si="165"/>
        <v>0</v>
      </c>
      <c r="O317">
        <f t="shared" si="166"/>
        <v>1.1369450474342133E-5</v>
      </c>
      <c r="P317">
        <f>M317*Inputs!B6/12</f>
        <v>0</v>
      </c>
      <c r="Q317">
        <f t="shared" si="167"/>
        <v>0</v>
      </c>
      <c r="R317">
        <f>N317*Inputs!B6/12</f>
        <v>0</v>
      </c>
      <c r="S317">
        <f t="shared" si="168"/>
        <v>0</v>
      </c>
      <c r="T317">
        <f t="shared" si="169"/>
        <v>0</v>
      </c>
      <c r="U317">
        <f t="shared" si="170"/>
        <v>0</v>
      </c>
      <c r="V317">
        <f t="shared" si="171"/>
        <v>0</v>
      </c>
      <c r="W317">
        <f t="shared" si="172"/>
        <v>7.15030180000048E-7</v>
      </c>
      <c r="X317">
        <f t="shared" si="173"/>
        <v>0</v>
      </c>
      <c r="Y317">
        <f t="shared" si="174"/>
        <v>0</v>
      </c>
      <c r="Z317">
        <f t="shared" si="175"/>
        <v>0</v>
      </c>
      <c r="AA317">
        <f t="shared" si="176"/>
        <v>0</v>
      </c>
      <c r="AB317">
        <f t="shared" si="177"/>
        <v>0</v>
      </c>
      <c r="AC317">
        <f t="shared" si="178"/>
        <v>7.15030180000048E-7</v>
      </c>
      <c r="AD317">
        <f t="shared" si="179"/>
        <v>0</v>
      </c>
      <c r="AE317">
        <f t="shared" si="180"/>
        <v>7.15030180000048E-7</v>
      </c>
      <c r="AF317">
        <f t="shared" si="181"/>
        <v>0</v>
      </c>
      <c r="AG317">
        <f t="shared" si="182"/>
        <v>7.15030180000048E-7</v>
      </c>
      <c r="AH317">
        <f t="shared" si="183"/>
        <v>7.15030180000048E-7</v>
      </c>
      <c r="AI317">
        <f t="shared" si="184"/>
        <v>0</v>
      </c>
      <c r="AJ317">
        <f t="shared" si="185"/>
        <v>0</v>
      </c>
      <c r="AK317">
        <f t="shared" si="186"/>
        <v>7.15030180000048E-7</v>
      </c>
      <c r="AL317">
        <f t="shared" si="187"/>
        <v>0</v>
      </c>
      <c r="AM317">
        <f t="shared" si="188"/>
        <v>0</v>
      </c>
      <c r="AN317">
        <f t="shared" si="189"/>
        <v>7.15030180000048E-7</v>
      </c>
      <c r="AO317">
        <f t="shared" si="190"/>
        <v>0</v>
      </c>
      <c r="AP317">
        <f t="shared" si="191"/>
        <v>0</v>
      </c>
      <c r="AQ317">
        <f t="shared" si="192"/>
        <v>0</v>
      </c>
      <c r="AR317">
        <f t="shared" si="193"/>
        <v>1.0654420294342085E-5</v>
      </c>
      <c r="AS317">
        <f t="shared" si="194"/>
        <v>0</v>
      </c>
      <c r="AT317">
        <f t="shared" si="195"/>
        <v>0</v>
      </c>
      <c r="AU317">
        <f t="shared" si="196"/>
        <v>0</v>
      </c>
    </row>
    <row r="318" spans="1:47" x14ac:dyDescent="0.2">
      <c r="A318">
        <v>317</v>
      </c>
      <c r="B318">
        <f>PoolStates_V2!B318</f>
        <v>0</v>
      </c>
      <c r="C318">
        <f>PoolStates_V2!S318</f>
        <v>0</v>
      </c>
      <c r="D318">
        <f>PoolStates_V2!T318</f>
        <v>6.8156575336836672E-7</v>
      </c>
      <c r="E318">
        <f>PoolStates_V2!Q318</f>
        <v>4.3606123555629127E-9</v>
      </c>
      <c r="F318">
        <f t="shared" si="197"/>
        <v>0</v>
      </c>
      <c r="G318">
        <f t="shared" si="198"/>
        <v>0</v>
      </c>
      <c r="H318">
        <f t="shared" si="199"/>
        <v>1.0654420294342085E-5</v>
      </c>
      <c r="I318">
        <f t="shared" si="160"/>
        <v>4.3606123555629127E-9</v>
      </c>
      <c r="J318">
        <f t="shared" si="161"/>
        <v>0</v>
      </c>
      <c r="K318">
        <f t="shared" si="162"/>
        <v>0</v>
      </c>
      <c r="L318">
        <f t="shared" si="163"/>
        <v>0</v>
      </c>
      <c r="M318">
        <f t="shared" si="164"/>
        <v>0</v>
      </c>
      <c r="N318">
        <f t="shared" si="165"/>
        <v>0</v>
      </c>
      <c r="O318">
        <f t="shared" si="166"/>
        <v>1.0650059681986522E-5</v>
      </c>
      <c r="P318">
        <f>M318*Inputs!B6/12</f>
        <v>0</v>
      </c>
      <c r="Q318">
        <f t="shared" si="167"/>
        <v>0</v>
      </c>
      <c r="R318">
        <f>N318*Inputs!B6/12</f>
        <v>0</v>
      </c>
      <c r="S318">
        <f t="shared" si="168"/>
        <v>0</v>
      </c>
      <c r="T318">
        <f t="shared" si="169"/>
        <v>0</v>
      </c>
      <c r="U318">
        <f t="shared" si="170"/>
        <v>0</v>
      </c>
      <c r="V318">
        <f t="shared" si="171"/>
        <v>0</v>
      </c>
      <c r="W318">
        <f t="shared" si="172"/>
        <v>6.8156575336836672E-7</v>
      </c>
      <c r="X318">
        <f t="shared" si="173"/>
        <v>0</v>
      </c>
      <c r="Y318">
        <f t="shared" si="174"/>
        <v>0</v>
      </c>
      <c r="Z318">
        <f t="shared" si="175"/>
        <v>0</v>
      </c>
      <c r="AA318">
        <f t="shared" si="176"/>
        <v>0</v>
      </c>
      <c r="AB318">
        <f t="shared" si="177"/>
        <v>0</v>
      </c>
      <c r="AC318">
        <f t="shared" si="178"/>
        <v>6.8156575336836672E-7</v>
      </c>
      <c r="AD318">
        <f t="shared" si="179"/>
        <v>0</v>
      </c>
      <c r="AE318">
        <f t="shared" si="180"/>
        <v>6.8156575336836672E-7</v>
      </c>
      <c r="AF318">
        <f t="shared" si="181"/>
        <v>0</v>
      </c>
      <c r="AG318">
        <f t="shared" si="182"/>
        <v>6.8156575336836672E-7</v>
      </c>
      <c r="AH318">
        <f t="shared" si="183"/>
        <v>6.8156575336836672E-7</v>
      </c>
      <c r="AI318">
        <f t="shared" si="184"/>
        <v>0</v>
      </c>
      <c r="AJ318">
        <f t="shared" si="185"/>
        <v>0</v>
      </c>
      <c r="AK318">
        <f t="shared" si="186"/>
        <v>6.8156575336836672E-7</v>
      </c>
      <c r="AL318">
        <f t="shared" si="187"/>
        <v>0</v>
      </c>
      <c r="AM318">
        <f t="shared" si="188"/>
        <v>0</v>
      </c>
      <c r="AN318">
        <f t="shared" si="189"/>
        <v>6.8156575336836672E-7</v>
      </c>
      <c r="AO318">
        <f t="shared" si="190"/>
        <v>0</v>
      </c>
      <c r="AP318">
        <f t="shared" si="191"/>
        <v>0</v>
      </c>
      <c r="AQ318">
        <f t="shared" si="192"/>
        <v>0</v>
      </c>
      <c r="AR318">
        <f t="shared" si="193"/>
        <v>9.9684939286181548E-6</v>
      </c>
      <c r="AS318">
        <f t="shared" si="194"/>
        <v>0</v>
      </c>
      <c r="AT318">
        <f t="shared" si="195"/>
        <v>0</v>
      </c>
      <c r="AU318">
        <f t="shared" si="196"/>
        <v>0</v>
      </c>
    </row>
    <row r="319" spans="1:47" x14ac:dyDescent="0.2">
      <c r="A319">
        <v>318</v>
      </c>
      <c r="B319">
        <f>PoolStates_V2!B319</f>
        <v>0</v>
      </c>
      <c r="C319">
        <f>PoolStates_V2!S319</f>
        <v>0</v>
      </c>
      <c r="D319">
        <f>PoolStates_V2!T319</f>
        <v>6.478030819423949E-7</v>
      </c>
      <c r="E319">
        <f>PoolStates_V2!Q319</f>
        <v>3.8186452493354518E-9</v>
      </c>
      <c r="F319">
        <f t="shared" si="197"/>
        <v>0</v>
      </c>
      <c r="G319">
        <f t="shared" si="198"/>
        <v>0</v>
      </c>
      <c r="H319">
        <f t="shared" si="199"/>
        <v>9.9684939286181548E-6</v>
      </c>
      <c r="I319">
        <f t="shared" si="160"/>
        <v>3.8186452493354518E-9</v>
      </c>
      <c r="J319">
        <f t="shared" si="161"/>
        <v>0</v>
      </c>
      <c r="K319">
        <f t="shared" si="162"/>
        <v>0</v>
      </c>
      <c r="L319">
        <f t="shared" si="163"/>
        <v>0</v>
      </c>
      <c r="M319">
        <f t="shared" si="164"/>
        <v>0</v>
      </c>
      <c r="N319">
        <f t="shared" si="165"/>
        <v>0</v>
      </c>
      <c r="O319">
        <f t="shared" si="166"/>
        <v>9.9646752833688192E-6</v>
      </c>
      <c r="P319">
        <f>M319*Inputs!B6/12</f>
        <v>0</v>
      </c>
      <c r="Q319">
        <f t="shared" si="167"/>
        <v>0</v>
      </c>
      <c r="R319">
        <f>N319*Inputs!B6/12</f>
        <v>0</v>
      </c>
      <c r="S319">
        <f t="shared" si="168"/>
        <v>0</v>
      </c>
      <c r="T319">
        <f t="shared" si="169"/>
        <v>0</v>
      </c>
      <c r="U319">
        <f t="shared" si="170"/>
        <v>0</v>
      </c>
      <c r="V319">
        <f t="shared" si="171"/>
        <v>0</v>
      </c>
      <c r="W319">
        <f t="shared" si="172"/>
        <v>6.478030819423949E-7</v>
      </c>
      <c r="X319">
        <f t="shared" si="173"/>
        <v>0</v>
      </c>
      <c r="Y319">
        <f t="shared" si="174"/>
        <v>0</v>
      </c>
      <c r="Z319">
        <f t="shared" si="175"/>
        <v>0</v>
      </c>
      <c r="AA319">
        <f t="shared" si="176"/>
        <v>0</v>
      </c>
      <c r="AB319">
        <f t="shared" si="177"/>
        <v>0</v>
      </c>
      <c r="AC319">
        <f t="shared" si="178"/>
        <v>6.478030819423949E-7</v>
      </c>
      <c r="AD319">
        <f t="shared" si="179"/>
        <v>0</v>
      </c>
      <c r="AE319">
        <f t="shared" si="180"/>
        <v>6.478030819423949E-7</v>
      </c>
      <c r="AF319">
        <f t="shared" si="181"/>
        <v>0</v>
      </c>
      <c r="AG319">
        <f t="shared" si="182"/>
        <v>6.478030819423949E-7</v>
      </c>
      <c r="AH319">
        <f t="shared" si="183"/>
        <v>6.478030819423949E-7</v>
      </c>
      <c r="AI319">
        <f t="shared" si="184"/>
        <v>0</v>
      </c>
      <c r="AJ319">
        <f t="shared" si="185"/>
        <v>0</v>
      </c>
      <c r="AK319">
        <f t="shared" si="186"/>
        <v>6.478030819423949E-7</v>
      </c>
      <c r="AL319">
        <f t="shared" si="187"/>
        <v>0</v>
      </c>
      <c r="AM319">
        <f t="shared" si="188"/>
        <v>0</v>
      </c>
      <c r="AN319">
        <f t="shared" si="189"/>
        <v>6.478030819423949E-7</v>
      </c>
      <c r="AO319">
        <f t="shared" si="190"/>
        <v>0</v>
      </c>
      <c r="AP319">
        <f t="shared" si="191"/>
        <v>0</v>
      </c>
      <c r="AQ319">
        <f t="shared" si="192"/>
        <v>0</v>
      </c>
      <c r="AR319">
        <f t="shared" si="193"/>
        <v>9.3168722014264243E-6</v>
      </c>
      <c r="AS319">
        <f t="shared" si="194"/>
        <v>0</v>
      </c>
      <c r="AT319">
        <f t="shared" si="195"/>
        <v>0</v>
      </c>
      <c r="AU319">
        <f t="shared" si="196"/>
        <v>0</v>
      </c>
    </row>
    <row r="320" spans="1:47" x14ac:dyDescent="0.2">
      <c r="A320">
        <v>319</v>
      </c>
      <c r="B320">
        <f>PoolStates_V2!B320</f>
        <v>0</v>
      </c>
      <c r="C320">
        <f>PoolStates_V2!S320</f>
        <v>0</v>
      </c>
      <c r="D320">
        <f>PoolStates_V2!T320</f>
        <v>6.1414483451069446E-7</v>
      </c>
      <c r="E320">
        <f>PoolStates_V2!Q320</f>
        <v>3.3452820175391796E-9</v>
      </c>
      <c r="F320">
        <f t="shared" si="197"/>
        <v>0</v>
      </c>
      <c r="G320">
        <f t="shared" si="198"/>
        <v>0</v>
      </c>
      <c r="H320">
        <f t="shared" si="199"/>
        <v>9.3168722014264243E-6</v>
      </c>
      <c r="I320">
        <f t="shared" si="160"/>
        <v>3.3452820175391796E-9</v>
      </c>
      <c r="J320">
        <f t="shared" si="161"/>
        <v>0</v>
      </c>
      <c r="K320">
        <f t="shared" si="162"/>
        <v>0</v>
      </c>
      <c r="L320">
        <f t="shared" si="163"/>
        <v>0</v>
      </c>
      <c r="M320">
        <f t="shared" si="164"/>
        <v>0</v>
      </c>
      <c r="N320">
        <f t="shared" si="165"/>
        <v>0</v>
      </c>
      <c r="O320">
        <f t="shared" si="166"/>
        <v>9.3135269194088846E-6</v>
      </c>
      <c r="P320">
        <f>M320*Inputs!B6/12</f>
        <v>0</v>
      </c>
      <c r="Q320">
        <f t="shared" si="167"/>
        <v>0</v>
      </c>
      <c r="R320">
        <f>N320*Inputs!B6/12</f>
        <v>0</v>
      </c>
      <c r="S320">
        <f t="shared" si="168"/>
        <v>0</v>
      </c>
      <c r="T320">
        <f t="shared" si="169"/>
        <v>0</v>
      </c>
      <c r="U320">
        <f t="shared" si="170"/>
        <v>0</v>
      </c>
      <c r="V320">
        <f t="shared" si="171"/>
        <v>0</v>
      </c>
      <c r="W320">
        <f t="shared" si="172"/>
        <v>6.1414483451069446E-7</v>
      </c>
      <c r="X320">
        <f t="shared" si="173"/>
        <v>0</v>
      </c>
      <c r="Y320">
        <f t="shared" si="174"/>
        <v>0</v>
      </c>
      <c r="Z320">
        <f t="shared" si="175"/>
        <v>0</v>
      </c>
      <c r="AA320">
        <f t="shared" si="176"/>
        <v>0</v>
      </c>
      <c r="AB320">
        <f t="shared" si="177"/>
        <v>0</v>
      </c>
      <c r="AC320">
        <f t="shared" si="178"/>
        <v>6.1414483451069446E-7</v>
      </c>
      <c r="AD320">
        <f t="shared" si="179"/>
        <v>0</v>
      </c>
      <c r="AE320">
        <f t="shared" si="180"/>
        <v>6.1414483451069446E-7</v>
      </c>
      <c r="AF320">
        <f t="shared" si="181"/>
        <v>0</v>
      </c>
      <c r="AG320">
        <f t="shared" si="182"/>
        <v>6.1414483451069446E-7</v>
      </c>
      <c r="AH320">
        <f t="shared" si="183"/>
        <v>6.1414483451069446E-7</v>
      </c>
      <c r="AI320">
        <f t="shared" si="184"/>
        <v>0</v>
      </c>
      <c r="AJ320">
        <f t="shared" si="185"/>
        <v>0</v>
      </c>
      <c r="AK320">
        <f t="shared" si="186"/>
        <v>6.1414483451069446E-7</v>
      </c>
      <c r="AL320">
        <f t="shared" si="187"/>
        <v>0</v>
      </c>
      <c r="AM320">
        <f t="shared" si="188"/>
        <v>0</v>
      </c>
      <c r="AN320">
        <f t="shared" si="189"/>
        <v>6.1414483451069446E-7</v>
      </c>
      <c r="AO320">
        <f t="shared" si="190"/>
        <v>0</v>
      </c>
      <c r="AP320">
        <f t="shared" si="191"/>
        <v>0</v>
      </c>
      <c r="AQ320">
        <f t="shared" si="192"/>
        <v>0</v>
      </c>
      <c r="AR320">
        <f t="shared" si="193"/>
        <v>8.6993820848981894E-6</v>
      </c>
      <c r="AS320">
        <f t="shared" si="194"/>
        <v>0</v>
      </c>
      <c r="AT320">
        <f t="shared" si="195"/>
        <v>0</v>
      </c>
      <c r="AU320">
        <f t="shared" si="196"/>
        <v>0</v>
      </c>
    </row>
    <row r="321" spans="1:47" x14ac:dyDescent="0.2">
      <c r="A321">
        <v>320</v>
      </c>
      <c r="B321">
        <f>PoolStates_V2!B321</f>
        <v>0</v>
      </c>
      <c r="C321">
        <f>PoolStates_V2!S321</f>
        <v>0</v>
      </c>
      <c r="D321">
        <f>PoolStates_V2!T321</f>
        <v>5.8091272290888171E-7</v>
      </c>
      <c r="E321">
        <f>PoolStates_V2!Q321</f>
        <v>2.9317373024928333E-9</v>
      </c>
      <c r="F321">
        <f t="shared" si="197"/>
        <v>0</v>
      </c>
      <c r="G321">
        <f t="shared" si="198"/>
        <v>0</v>
      </c>
      <c r="H321">
        <f t="shared" si="199"/>
        <v>8.6993820848981894E-6</v>
      </c>
      <c r="I321">
        <f t="shared" si="160"/>
        <v>2.9317373024928333E-9</v>
      </c>
      <c r="J321">
        <f t="shared" si="161"/>
        <v>0</v>
      </c>
      <c r="K321">
        <f t="shared" si="162"/>
        <v>0</v>
      </c>
      <c r="L321">
        <f t="shared" si="163"/>
        <v>0</v>
      </c>
      <c r="M321">
        <f t="shared" si="164"/>
        <v>0</v>
      </c>
      <c r="N321">
        <f t="shared" si="165"/>
        <v>0</v>
      </c>
      <c r="O321">
        <f t="shared" si="166"/>
        <v>8.6964503475956963E-6</v>
      </c>
      <c r="P321">
        <f>M321*Inputs!B6/12</f>
        <v>0</v>
      </c>
      <c r="Q321">
        <f t="shared" si="167"/>
        <v>0</v>
      </c>
      <c r="R321">
        <f>N321*Inputs!B6/12</f>
        <v>0</v>
      </c>
      <c r="S321">
        <f t="shared" si="168"/>
        <v>0</v>
      </c>
      <c r="T321">
        <f t="shared" si="169"/>
        <v>0</v>
      </c>
      <c r="U321">
        <f t="shared" si="170"/>
        <v>0</v>
      </c>
      <c r="V321">
        <f t="shared" si="171"/>
        <v>0</v>
      </c>
      <c r="W321">
        <f t="shared" si="172"/>
        <v>5.8091272290888171E-7</v>
      </c>
      <c r="X321">
        <f t="shared" si="173"/>
        <v>0</v>
      </c>
      <c r="Y321">
        <f t="shared" si="174"/>
        <v>0</v>
      </c>
      <c r="Z321">
        <f t="shared" si="175"/>
        <v>0</v>
      </c>
      <c r="AA321">
        <f t="shared" si="176"/>
        <v>0</v>
      </c>
      <c r="AB321">
        <f t="shared" si="177"/>
        <v>0</v>
      </c>
      <c r="AC321">
        <f t="shared" si="178"/>
        <v>5.8091272290888171E-7</v>
      </c>
      <c r="AD321">
        <f t="shared" si="179"/>
        <v>0</v>
      </c>
      <c r="AE321">
        <f t="shared" si="180"/>
        <v>5.8091272290888171E-7</v>
      </c>
      <c r="AF321">
        <f t="shared" si="181"/>
        <v>0</v>
      </c>
      <c r="AG321">
        <f t="shared" si="182"/>
        <v>5.8091272290888171E-7</v>
      </c>
      <c r="AH321">
        <f t="shared" si="183"/>
        <v>5.8091272290888171E-7</v>
      </c>
      <c r="AI321">
        <f t="shared" si="184"/>
        <v>0</v>
      </c>
      <c r="AJ321">
        <f t="shared" si="185"/>
        <v>0</v>
      </c>
      <c r="AK321">
        <f t="shared" si="186"/>
        <v>5.8091272290888171E-7</v>
      </c>
      <c r="AL321">
        <f t="shared" si="187"/>
        <v>0</v>
      </c>
      <c r="AM321">
        <f t="shared" si="188"/>
        <v>0</v>
      </c>
      <c r="AN321">
        <f t="shared" si="189"/>
        <v>5.8091272290888171E-7</v>
      </c>
      <c r="AO321">
        <f t="shared" si="190"/>
        <v>0</v>
      </c>
      <c r="AP321">
        <f t="shared" si="191"/>
        <v>0</v>
      </c>
      <c r="AQ321">
        <f t="shared" si="192"/>
        <v>0</v>
      </c>
      <c r="AR321">
        <f t="shared" si="193"/>
        <v>8.1155376246868139E-6</v>
      </c>
      <c r="AS321">
        <f t="shared" si="194"/>
        <v>0</v>
      </c>
      <c r="AT321">
        <f t="shared" si="195"/>
        <v>0</v>
      </c>
      <c r="AU321">
        <f t="shared" si="196"/>
        <v>0</v>
      </c>
    </row>
    <row r="322" spans="1:47" x14ac:dyDescent="0.2">
      <c r="A322">
        <v>321</v>
      </c>
      <c r="B322">
        <f>PoolStates_V2!B322</f>
        <v>0</v>
      </c>
      <c r="C322">
        <f>PoolStates_V2!S322</f>
        <v>0</v>
      </c>
      <c r="D322">
        <f>PoolStates_V2!T322</f>
        <v>5.4836031113561054E-7</v>
      </c>
      <c r="E322">
        <f>PoolStates_V2!Q322</f>
        <v>2.5703586535808101E-9</v>
      </c>
      <c r="F322">
        <f t="shared" si="197"/>
        <v>0</v>
      </c>
      <c r="G322">
        <f t="shared" si="198"/>
        <v>0</v>
      </c>
      <c r="H322">
        <f t="shared" si="199"/>
        <v>8.1155376246868139E-6</v>
      </c>
      <c r="I322">
        <f t="shared" ref="I322:I385" si="200">MIN(E322,H322)</f>
        <v>2.5703586535808101E-9</v>
      </c>
      <c r="J322">
        <f t="shared" ref="J322:J385" si="201">MIN(MAX(E322-I322,0),G322)</f>
        <v>0</v>
      </c>
      <c r="K322">
        <f t="shared" ref="K322:K385" si="202">MIN(MAX(E322-I322-J322,0),F322)</f>
        <v>0</v>
      </c>
      <c r="L322">
        <f t="shared" ref="L322:L385" si="203">MAX(E322-I322-J322-K322,0)</f>
        <v>0</v>
      </c>
      <c r="M322">
        <f t="shared" ref="M322:M361" si="204">MAX(F322-K322,0)</f>
        <v>0</v>
      </c>
      <c r="N322">
        <f t="shared" ref="N322:N361" si="205">MAX(G322-J322,0)</f>
        <v>0</v>
      </c>
      <c r="O322">
        <f t="shared" ref="O322:O361" si="206">MAX(H322-I322,0)</f>
        <v>8.112967266033233E-6</v>
      </c>
      <c r="P322">
        <f>M322*Inputs!B6/12</f>
        <v>0</v>
      </c>
      <c r="Q322">
        <f t="shared" ref="Q322:Q385" si="207">MIN(C322,P322)</f>
        <v>0</v>
      </c>
      <c r="R322">
        <f>N322*Inputs!B6/12</f>
        <v>0</v>
      </c>
      <c r="S322">
        <f t="shared" ref="S322:S385" si="208">MIN(MAX(C322-Q322,0),R322)</f>
        <v>0</v>
      </c>
      <c r="T322">
        <f t="shared" ref="T322:T385" si="209">MAX(C322-Q322-S322,0)</f>
        <v>0</v>
      </c>
      <c r="U322">
        <f t="shared" ref="U322:U385" si="210">IF(B322=1,T322,0)</f>
        <v>0</v>
      </c>
      <c r="V322">
        <f t="shared" ref="V322:V385" si="211">T322-U322</f>
        <v>0</v>
      </c>
      <c r="W322">
        <f t="shared" ref="W322:W361" si="212">D322+U322</f>
        <v>5.4836031113561054E-7</v>
      </c>
      <c r="X322">
        <f t="shared" ref="X322:X361" si="213">M322+N322</f>
        <v>0</v>
      </c>
      <c r="Y322">
        <f t="shared" ref="Y322:Y385" si="214">IF(X322&gt;0,W322*(M322/X322),0)</f>
        <v>0</v>
      </c>
      <c r="Z322">
        <f t="shared" ref="Z322:Z385" si="215">IF(X322&gt;0,W322-Y322,0)</f>
        <v>0</v>
      </c>
      <c r="AA322">
        <f t="shared" ref="AA322:AA361" si="216">MIN(Y322,M322)</f>
        <v>0</v>
      </c>
      <c r="AB322">
        <f t="shared" ref="AB322:AB361" si="217">MIN(Z322,N322)</f>
        <v>0</v>
      </c>
      <c r="AC322">
        <f t="shared" ref="AC322:AC385" si="218">MAX(W322-AA322-AB322,0)</f>
        <v>5.4836031113561054E-7</v>
      </c>
      <c r="AD322">
        <f t="shared" ref="AD322:AD385" si="219">MIN(AC322,MAX(M322-AA322,0))</f>
        <v>0</v>
      </c>
      <c r="AE322">
        <f t="shared" ref="AE322:AE385" si="220">MAX(AC322-AD322,0)</f>
        <v>5.4836031113561054E-7</v>
      </c>
      <c r="AF322">
        <f t="shared" ref="AF322:AF385" si="221">MIN(AE322,MAX(N322-AB322,0))</f>
        <v>0</v>
      </c>
      <c r="AG322">
        <f t="shared" ref="AG322:AG385" si="222">MAX(AE322-AF322,0)</f>
        <v>5.4836031113561054E-7</v>
      </c>
      <c r="AH322">
        <f t="shared" ref="AH322:AH385" si="223">MIN(AG322,O322)</f>
        <v>5.4836031113561054E-7</v>
      </c>
      <c r="AI322">
        <f t="shared" ref="AI322:AI361" si="224">MIN(W322,M322)</f>
        <v>0</v>
      </c>
      <c r="AJ322">
        <f t="shared" ref="AJ322:AJ385" si="225">MIN(MAX(W322-AI322,0),N322)</f>
        <v>0</v>
      </c>
      <c r="AK322">
        <f t="shared" ref="AK322:AK385" si="226">MIN(MAX(W322-AI322-AJ322,0),O322)</f>
        <v>5.4836031113561054E-7</v>
      </c>
      <c r="AL322">
        <f t="shared" ref="AL322:AL361" si="227">IF(B322=1,AI322,AA322+AD322)</f>
        <v>0</v>
      </c>
      <c r="AM322">
        <f t="shared" ref="AM322:AM361" si="228">IF(B322=1,AJ322,AB322+AF322)</f>
        <v>0</v>
      </c>
      <c r="AN322">
        <f t="shared" ref="AN322:AN361" si="229">IF(B322=1,AK322,AH322)</f>
        <v>5.4836031113561054E-7</v>
      </c>
      <c r="AO322">
        <f t="shared" ref="AO322:AO385" si="230">MAX(W322-AL322-AM322-AN322,0)</f>
        <v>0</v>
      </c>
      <c r="AP322">
        <f t="shared" ref="AP322:AP361" si="231">MAX(M322-AL322,0)</f>
        <v>0</v>
      </c>
      <c r="AQ322">
        <f t="shared" ref="AQ322:AQ361" si="232">MAX(N322-AM322,0)</f>
        <v>0</v>
      </c>
      <c r="AR322">
        <f t="shared" ref="AR322:AR361" si="233">MAX(O322-AN322,0)</f>
        <v>7.5646069548976228E-6</v>
      </c>
      <c r="AS322">
        <f t="shared" ref="AS322:AS361" si="234">W322-(AL322+AM322+AN322+AO322)</f>
        <v>0</v>
      </c>
      <c r="AT322">
        <f t="shared" ref="AT322:AT361" si="235">C322-(Q322+S322+V322+U322)</f>
        <v>0</v>
      </c>
      <c r="AU322">
        <f t="shared" ref="AU322:AU361" si="236">E322-(I322+J322+K322+L322)</f>
        <v>0</v>
      </c>
    </row>
    <row r="323" spans="1:47" x14ac:dyDescent="0.2">
      <c r="A323">
        <v>322</v>
      </c>
      <c r="B323">
        <f>PoolStates_V2!B323</f>
        <v>0</v>
      </c>
      <c r="C323">
        <f>PoolStates_V2!S323</f>
        <v>0</v>
      </c>
      <c r="D323">
        <f>PoolStates_V2!T323</f>
        <v>5.1668396299731715E-7</v>
      </c>
      <c r="E323">
        <f>PoolStates_V2!Q323</f>
        <v>2.2544799426973202E-9</v>
      </c>
      <c r="F323">
        <f t="shared" ref="F323:F361" si="237">AP322</f>
        <v>0</v>
      </c>
      <c r="G323">
        <f t="shared" ref="G323:G361" si="238">AQ322</f>
        <v>0</v>
      </c>
      <c r="H323">
        <f t="shared" ref="H323:H361" si="239">AR322</f>
        <v>7.5646069548976228E-6</v>
      </c>
      <c r="I323">
        <f t="shared" si="200"/>
        <v>2.2544799426973202E-9</v>
      </c>
      <c r="J323">
        <f t="shared" si="201"/>
        <v>0</v>
      </c>
      <c r="K323">
        <f t="shared" si="202"/>
        <v>0</v>
      </c>
      <c r="L323">
        <f t="shared" si="203"/>
        <v>0</v>
      </c>
      <c r="M323">
        <f t="shared" si="204"/>
        <v>0</v>
      </c>
      <c r="N323">
        <f t="shared" si="205"/>
        <v>0</v>
      </c>
      <c r="O323">
        <f t="shared" si="206"/>
        <v>7.5623524749549254E-6</v>
      </c>
      <c r="P323">
        <f>M323*Inputs!B6/12</f>
        <v>0</v>
      </c>
      <c r="Q323">
        <f t="shared" si="207"/>
        <v>0</v>
      </c>
      <c r="R323">
        <f>N323*Inputs!B6/12</f>
        <v>0</v>
      </c>
      <c r="S323">
        <f t="shared" si="208"/>
        <v>0</v>
      </c>
      <c r="T323">
        <f t="shared" si="209"/>
        <v>0</v>
      </c>
      <c r="U323">
        <f t="shared" si="210"/>
        <v>0</v>
      </c>
      <c r="V323">
        <f t="shared" si="211"/>
        <v>0</v>
      </c>
      <c r="W323">
        <f t="shared" si="212"/>
        <v>5.1668396299731715E-7</v>
      </c>
      <c r="X323">
        <f t="shared" si="213"/>
        <v>0</v>
      </c>
      <c r="Y323">
        <f t="shared" si="214"/>
        <v>0</v>
      </c>
      <c r="Z323">
        <f t="shared" si="215"/>
        <v>0</v>
      </c>
      <c r="AA323">
        <f t="shared" si="216"/>
        <v>0</v>
      </c>
      <c r="AB323">
        <f t="shared" si="217"/>
        <v>0</v>
      </c>
      <c r="AC323">
        <f t="shared" si="218"/>
        <v>5.1668396299731715E-7</v>
      </c>
      <c r="AD323">
        <f t="shared" si="219"/>
        <v>0</v>
      </c>
      <c r="AE323">
        <f t="shared" si="220"/>
        <v>5.1668396299731715E-7</v>
      </c>
      <c r="AF323">
        <f t="shared" si="221"/>
        <v>0</v>
      </c>
      <c r="AG323">
        <f t="shared" si="222"/>
        <v>5.1668396299731715E-7</v>
      </c>
      <c r="AH323">
        <f t="shared" si="223"/>
        <v>5.1668396299731715E-7</v>
      </c>
      <c r="AI323">
        <f t="shared" si="224"/>
        <v>0</v>
      </c>
      <c r="AJ323">
        <f t="shared" si="225"/>
        <v>0</v>
      </c>
      <c r="AK323">
        <f t="shared" si="226"/>
        <v>5.1668396299731715E-7</v>
      </c>
      <c r="AL323">
        <f t="shared" si="227"/>
        <v>0</v>
      </c>
      <c r="AM323">
        <f t="shared" si="228"/>
        <v>0</v>
      </c>
      <c r="AN323">
        <f t="shared" si="229"/>
        <v>5.1668396299731715E-7</v>
      </c>
      <c r="AO323">
        <f t="shared" si="230"/>
        <v>0</v>
      </c>
      <c r="AP323">
        <f t="shared" si="231"/>
        <v>0</v>
      </c>
      <c r="AQ323">
        <f t="shared" si="232"/>
        <v>0</v>
      </c>
      <c r="AR323">
        <f t="shared" si="233"/>
        <v>7.045668511957608E-6</v>
      </c>
      <c r="AS323">
        <f t="shared" si="234"/>
        <v>0</v>
      </c>
      <c r="AT323">
        <f t="shared" si="235"/>
        <v>0</v>
      </c>
      <c r="AU323">
        <f t="shared" si="236"/>
        <v>0</v>
      </c>
    </row>
    <row r="324" spans="1:47" x14ac:dyDescent="0.2">
      <c r="A324">
        <v>323</v>
      </c>
      <c r="B324">
        <f>PoolStates_V2!B324</f>
        <v>0</v>
      </c>
      <c r="C324">
        <f>PoolStates_V2!S324</f>
        <v>0</v>
      </c>
      <c r="D324">
        <f>PoolStates_V2!T324</f>
        <v>4.8603219329910732E-7</v>
      </c>
      <c r="E324">
        <f>PoolStates_V2!Q324</f>
        <v>1.9782937208020693E-9</v>
      </c>
      <c r="F324">
        <f t="shared" si="237"/>
        <v>0</v>
      </c>
      <c r="G324">
        <f t="shared" si="238"/>
        <v>0</v>
      </c>
      <c r="H324">
        <f t="shared" si="239"/>
        <v>7.045668511957608E-6</v>
      </c>
      <c r="I324">
        <f t="shared" si="200"/>
        <v>1.9782937208020693E-9</v>
      </c>
      <c r="J324">
        <f t="shared" si="201"/>
        <v>0</v>
      </c>
      <c r="K324">
        <f t="shared" si="202"/>
        <v>0</v>
      </c>
      <c r="L324">
        <f t="shared" si="203"/>
        <v>0</v>
      </c>
      <c r="M324">
        <f t="shared" si="204"/>
        <v>0</v>
      </c>
      <c r="N324">
        <f t="shared" si="205"/>
        <v>0</v>
      </c>
      <c r="O324">
        <f t="shared" si="206"/>
        <v>7.0436902182368057E-6</v>
      </c>
      <c r="P324">
        <f>M324*Inputs!B6/12</f>
        <v>0</v>
      </c>
      <c r="Q324">
        <f t="shared" si="207"/>
        <v>0</v>
      </c>
      <c r="R324">
        <f>N324*Inputs!B6/12</f>
        <v>0</v>
      </c>
      <c r="S324">
        <f t="shared" si="208"/>
        <v>0</v>
      </c>
      <c r="T324">
        <f t="shared" si="209"/>
        <v>0</v>
      </c>
      <c r="U324">
        <f t="shared" si="210"/>
        <v>0</v>
      </c>
      <c r="V324">
        <f t="shared" si="211"/>
        <v>0</v>
      </c>
      <c r="W324">
        <f t="shared" si="212"/>
        <v>4.8603219329910732E-7</v>
      </c>
      <c r="X324">
        <f t="shared" si="213"/>
        <v>0</v>
      </c>
      <c r="Y324">
        <f t="shared" si="214"/>
        <v>0</v>
      </c>
      <c r="Z324">
        <f t="shared" si="215"/>
        <v>0</v>
      </c>
      <c r="AA324">
        <f t="shared" si="216"/>
        <v>0</v>
      </c>
      <c r="AB324">
        <f t="shared" si="217"/>
        <v>0</v>
      </c>
      <c r="AC324">
        <f t="shared" si="218"/>
        <v>4.8603219329910732E-7</v>
      </c>
      <c r="AD324">
        <f t="shared" si="219"/>
        <v>0</v>
      </c>
      <c r="AE324">
        <f t="shared" si="220"/>
        <v>4.8603219329910732E-7</v>
      </c>
      <c r="AF324">
        <f t="shared" si="221"/>
        <v>0</v>
      </c>
      <c r="AG324">
        <f t="shared" si="222"/>
        <v>4.8603219329910732E-7</v>
      </c>
      <c r="AH324">
        <f t="shared" si="223"/>
        <v>4.8603219329910732E-7</v>
      </c>
      <c r="AI324">
        <f t="shared" si="224"/>
        <v>0</v>
      </c>
      <c r="AJ324">
        <f t="shared" si="225"/>
        <v>0</v>
      </c>
      <c r="AK324">
        <f t="shared" si="226"/>
        <v>4.8603219329910732E-7</v>
      </c>
      <c r="AL324">
        <f t="shared" si="227"/>
        <v>0</v>
      </c>
      <c r="AM324">
        <f t="shared" si="228"/>
        <v>0</v>
      </c>
      <c r="AN324">
        <f t="shared" si="229"/>
        <v>4.8603219329910732E-7</v>
      </c>
      <c r="AO324">
        <f t="shared" si="230"/>
        <v>0</v>
      </c>
      <c r="AP324">
        <f t="shared" si="231"/>
        <v>0</v>
      </c>
      <c r="AQ324">
        <f t="shared" si="232"/>
        <v>0</v>
      </c>
      <c r="AR324">
        <f t="shared" si="233"/>
        <v>6.5576580249376986E-6</v>
      </c>
      <c r="AS324">
        <f t="shared" si="234"/>
        <v>0</v>
      </c>
      <c r="AT324">
        <f t="shared" si="235"/>
        <v>0</v>
      </c>
      <c r="AU324">
        <f t="shared" si="236"/>
        <v>0</v>
      </c>
    </row>
    <row r="325" spans="1:47" x14ac:dyDescent="0.2">
      <c r="A325">
        <v>324</v>
      </c>
      <c r="B325">
        <f>PoolStates_V2!B325</f>
        <v>0</v>
      </c>
      <c r="C325">
        <f>PoolStates_V2!S325</f>
        <v>0</v>
      </c>
      <c r="D325">
        <f>PoolStates_V2!T325</f>
        <v>4.5651364776150978E-7</v>
      </c>
      <c r="E325">
        <f>PoolStates_V2!Q325</f>
        <v>1.7367401009284252E-9</v>
      </c>
      <c r="F325">
        <f t="shared" si="237"/>
        <v>0</v>
      </c>
      <c r="G325">
        <f t="shared" si="238"/>
        <v>0</v>
      </c>
      <c r="H325">
        <f t="shared" si="239"/>
        <v>6.5576580249376986E-6</v>
      </c>
      <c r="I325">
        <f t="shared" si="200"/>
        <v>1.7367401009284252E-9</v>
      </c>
      <c r="J325">
        <f t="shared" si="201"/>
        <v>0</v>
      </c>
      <c r="K325">
        <f t="shared" si="202"/>
        <v>0</v>
      </c>
      <c r="L325">
        <f t="shared" si="203"/>
        <v>0</v>
      </c>
      <c r="M325">
        <f t="shared" si="204"/>
        <v>0</v>
      </c>
      <c r="N325">
        <f t="shared" si="205"/>
        <v>0</v>
      </c>
      <c r="O325">
        <f t="shared" si="206"/>
        <v>6.5559212848367702E-6</v>
      </c>
      <c r="P325">
        <f>M325*Inputs!B6/12</f>
        <v>0</v>
      </c>
      <c r="Q325">
        <f t="shared" si="207"/>
        <v>0</v>
      </c>
      <c r="R325">
        <f>N325*Inputs!B6/12</f>
        <v>0</v>
      </c>
      <c r="S325">
        <f t="shared" si="208"/>
        <v>0</v>
      </c>
      <c r="T325">
        <f t="shared" si="209"/>
        <v>0</v>
      </c>
      <c r="U325">
        <f t="shared" si="210"/>
        <v>0</v>
      </c>
      <c r="V325">
        <f t="shared" si="211"/>
        <v>0</v>
      </c>
      <c r="W325">
        <f t="shared" si="212"/>
        <v>4.5651364776150978E-7</v>
      </c>
      <c r="X325">
        <f t="shared" si="213"/>
        <v>0</v>
      </c>
      <c r="Y325">
        <f t="shared" si="214"/>
        <v>0</v>
      </c>
      <c r="Z325">
        <f t="shared" si="215"/>
        <v>0</v>
      </c>
      <c r="AA325">
        <f t="shared" si="216"/>
        <v>0</v>
      </c>
      <c r="AB325">
        <f t="shared" si="217"/>
        <v>0</v>
      </c>
      <c r="AC325">
        <f t="shared" si="218"/>
        <v>4.5651364776150978E-7</v>
      </c>
      <c r="AD325">
        <f t="shared" si="219"/>
        <v>0</v>
      </c>
      <c r="AE325">
        <f t="shared" si="220"/>
        <v>4.5651364776150978E-7</v>
      </c>
      <c r="AF325">
        <f t="shared" si="221"/>
        <v>0</v>
      </c>
      <c r="AG325">
        <f t="shared" si="222"/>
        <v>4.5651364776150978E-7</v>
      </c>
      <c r="AH325">
        <f t="shared" si="223"/>
        <v>4.5651364776150978E-7</v>
      </c>
      <c r="AI325">
        <f t="shared" si="224"/>
        <v>0</v>
      </c>
      <c r="AJ325">
        <f t="shared" si="225"/>
        <v>0</v>
      </c>
      <c r="AK325">
        <f t="shared" si="226"/>
        <v>4.5651364776150978E-7</v>
      </c>
      <c r="AL325">
        <f t="shared" si="227"/>
        <v>0</v>
      </c>
      <c r="AM325">
        <f t="shared" si="228"/>
        <v>0</v>
      </c>
      <c r="AN325">
        <f t="shared" si="229"/>
        <v>4.5651364776150978E-7</v>
      </c>
      <c r="AO325">
        <f t="shared" si="230"/>
        <v>0</v>
      </c>
      <c r="AP325">
        <f t="shared" si="231"/>
        <v>0</v>
      </c>
      <c r="AQ325">
        <f t="shared" si="232"/>
        <v>0</v>
      </c>
      <c r="AR325">
        <f t="shared" si="233"/>
        <v>6.0994076370752606E-6</v>
      </c>
      <c r="AS325">
        <f t="shared" si="234"/>
        <v>0</v>
      </c>
      <c r="AT325">
        <f t="shared" si="235"/>
        <v>0</v>
      </c>
      <c r="AU325">
        <f t="shared" si="236"/>
        <v>0</v>
      </c>
    </row>
    <row r="326" spans="1:47" x14ac:dyDescent="0.2">
      <c r="A326">
        <v>325</v>
      </c>
      <c r="B326">
        <f>PoolStates_V2!B326</f>
        <v>0</v>
      </c>
      <c r="C326">
        <f>PoolStates_V2!S326</f>
        <v>0</v>
      </c>
      <c r="D326">
        <f>PoolStates_V2!T326</f>
        <v>4.282039043181756E-7</v>
      </c>
      <c r="E326">
        <f>PoolStates_V2!Q326</f>
        <v>1.5254100432655583E-9</v>
      </c>
      <c r="F326">
        <f t="shared" si="237"/>
        <v>0</v>
      </c>
      <c r="G326">
        <f t="shared" si="238"/>
        <v>0</v>
      </c>
      <c r="H326">
        <f t="shared" si="239"/>
        <v>6.0994076370752606E-6</v>
      </c>
      <c r="I326">
        <f t="shared" si="200"/>
        <v>1.5254100432655583E-9</v>
      </c>
      <c r="J326">
        <f t="shared" si="201"/>
        <v>0</v>
      </c>
      <c r="K326">
        <f t="shared" si="202"/>
        <v>0</v>
      </c>
      <c r="L326">
        <f t="shared" si="203"/>
        <v>0</v>
      </c>
      <c r="M326">
        <f t="shared" si="204"/>
        <v>0</v>
      </c>
      <c r="N326">
        <f t="shared" si="205"/>
        <v>0</v>
      </c>
      <c r="O326">
        <f t="shared" si="206"/>
        <v>6.0978822270319947E-6</v>
      </c>
      <c r="P326">
        <f>M326*Inputs!B6/12</f>
        <v>0</v>
      </c>
      <c r="Q326">
        <f t="shared" si="207"/>
        <v>0</v>
      </c>
      <c r="R326">
        <f>N326*Inputs!B6/12</f>
        <v>0</v>
      </c>
      <c r="S326">
        <f t="shared" si="208"/>
        <v>0</v>
      </c>
      <c r="T326">
        <f t="shared" si="209"/>
        <v>0</v>
      </c>
      <c r="U326">
        <f t="shared" si="210"/>
        <v>0</v>
      </c>
      <c r="V326">
        <f t="shared" si="211"/>
        <v>0</v>
      </c>
      <c r="W326">
        <f t="shared" si="212"/>
        <v>4.282039043181756E-7</v>
      </c>
      <c r="X326">
        <f t="shared" si="213"/>
        <v>0</v>
      </c>
      <c r="Y326">
        <f t="shared" si="214"/>
        <v>0</v>
      </c>
      <c r="Z326">
        <f t="shared" si="215"/>
        <v>0</v>
      </c>
      <c r="AA326">
        <f t="shared" si="216"/>
        <v>0</v>
      </c>
      <c r="AB326">
        <f t="shared" si="217"/>
        <v>0</v>
      </c>
      <c r="AC326">
        <f t="shared" si="218"/>
        <v>4.282039043181756E-7</v>
      </c>
      <c r="AD326">
        <f t="shared" si="219"/>
        <v>0</v>
      </c>
      <c r="AE326">
        <f t="shared" si="220"/>
        <v>4.282039043181756E-7</v>
      </c>
      <c r="AF326">
        <f t="shared" si="221"/>
        <v>0</v>
      </c>
      <c r="AG326">
        <f t="shared" si="222"/>
        <v>4.282039043181756E-7</v>
      </c>
      <c r="AH326">
        <f t="shared" si="223"/>
        <v>4.282039043181756E-7</v>
      </c>
      <c r="AI326">
        <f t="shared" si="224"/>
        <v>0</v>
      </c>
      <c r="AJ326">
        <f t="shared" si="225"/>
        <v>0</v>
      </c>
      <c r="AK326">
        <f t="shared" si="226"/>
        <v>4.282039043181756E-7</v>
      </c>
      <c r="AL326">
        <f t="shared" si="227"/>
        <v>0</v>
      </c>
      <c r="AM326">
        <f t="shared" si="228"/>
        <v>0</v>
      </c>
      <c r="AN326">
        <f t="shared" si="229"/>
        <v>4.282039043181756E-7</v>
      </c>
      <c r="AO326">
        <f t="shared" si="230"/>
        <v>0</v>
      </c>
      <c r="AP326">
        <f t="shared" si="231"/>
        <v>0</v>
      </c>
      <c r="AQ326">
        <f t="shared" si="232"/>
        <v>0</v>
      </c>
      <c r="AR326">
        <f t="shared" si="233"/>
        <v>5.6696783227138193E-6</v>
      </c>
      <c r="AS326">
        <f t="shared" si="234"/>
        <v>0</v>
      </c>
      <c r="AT326">
        <f t="shared" si="235"/>
        <v>0</v>
      </c>
      <c r="AU326">
        <f t="shared" si="236"/>
        <v>0</v>
      </c>
    </row>
    <row r="327" spans="1:47" x14ac:dyDescent="0.2">
      <c r="A327">
        <v>326</v>
      </c>
      <c r="B327">
        <f>PoolStates_V2!B327</f>
        <v>0</v>
      </c>
      <c r="C327">
        <f>PoolStates_V2!S327</f>
        <v>0</v>
      </c>
      <c r="D327">
        <f>PoolStates_V2!T327</f>
        <v>4.0115126129625516E-7</v>
      </c>
      <c r="E327">
        <f>PoolStates_V2!Q327</f>
        <v>1.3404611820850459E-9</v>
      </c>
      <c r="F327">
        <f t="shared" si="237"/>
        <v>0</v>
      </c>
      <c r="G327">
        <f t="shared" si="238"/>
        <v>0</v>
      </c>
      <c r="H327">
        <f t="shared" si="239"/>
        <v>5.6696783227138193E-6</v>
      </c>
      <c r="I327">
        <f t="shared" si="200"/>
        <v>1.3404611820850459E-9</v>
      </c>
      <c r="J327">
        <f t="shared" si="201"/>
        <v>0</v>
      </c>
      <c r="K327">
        <f t="shared" si="202"/>
        <v>0</v>
      </c>
      <c r="L327">
        <f t="shared" si="203"/>
        <v>0</v>
      </c>
      <c r="M327">
        <f t="shared" si="204"/>
        <v>0</v>
      </c>
      <c r="N327">
        <f t="shared" si="205"/>
        <v>0</v>
      </c>
      <c r="O327">
        <f t="shared" si="206"/>
        <v>5.6683378615317338E-6</v>
      </c>
      <c r="P327">
        <f>M327*Inputs!B6/12</f>
        <v>0</v>
      </c>
      <c r="Q327">
        <f t="shared" si="207"/>
        <v>0</v>
      </c>
      <c r="R327">
        <f>N327*Inputs!B6/12</f>
        <v>0</v>
      </c>
      <c r="S327">
        <f t="shared" si="208"/>
        <v>0</v>
      </c>
      <c r="T327">
        <f t="shared" si="209"/>
        <v>0</v>
      </c>
      <c r="U327">
        <f t="shared" si="210"/>
        <v>0</v>
      </c>
      <c r="V327">
        <f t="shared" si="211"/>
        <v>0</v>
      </c>
      <c r="W327">
        <f t="shared" si="212"/>
        <v>4.0115126129625516E-7</v>
      </c>
      <c r="X327">
        <f t="shared" si="213"/>
        <v>0</v>
      </c>
      <c r="Y327">
        <f t="shared" si="214"/>
        <v>0</v>
      </c>
      <c r="Z327">
        <f t="shared" si="215"/>
        <v>0</v>
      </c>
      <c r="AA327">
        <f t="shared" si="216"/>
        <v>0</v>
      </c>
      <c r="AB327">
        <f t="shared" si="217"/>
        <v>0</v>
      </c>
      <c r="AC327">
        <f t="shared" si="218"/>
        <v>4.0115126129625516E-7</v>
      </c>
      <c r="AD327">
        <f t="shared" si="219"/>
        <v>0</v>
      </c>
      <c r="AE327">
        <f t="shared" si="220"/>
        <v>4.0115126129625516E-7</v>
      </c>
      <c r="AF327">
        <f t="shared" si="221"/>
        <v>0</v>
      </c>
      <c r="AG327">
        <f t="shared" si="222"/>
        <v>4.0115126129625516E-7</v>
      </c>
      <c r="AH327">
        <f t="shared" si="223"/>
        <v>4.0115126129625516E-7</v>
      </c>
      <c r="AI327">
        <f t="shared" si="224"/>
        <v>0</v>
      </c>
      <c r="AJ327">
        <f t="shared" si="225"/>
        <v>0</v>
      </c>
      <c r="AK327">
        <f t="shared" si="226"/>
        <v>4.0115126129625516E-7</v>
      </c>
      <c r="AL327">
        <f t="shared" si="227"/>
        <v>0</v>
      </c>
      <c r="AM327">
        <f t="shared" si="228"/>
        <v>0</v>
      </c>
      <c r="AN327">
        <f t="shared" si="229"/>
        <v>4.0115126129625516E-7</v>
      </c>
      <c r="AO327">
        <f t="shared" si="230"/>
        <v>0</v>
      </c>
      <c r="AP327">
        <f t="shared" si="231"/>
        <v>0</v>
      </c>
      <c r="AQ327">
        <f t="shared" si="232"/>
        <v>0</v>
      </c>
      <c r="AR327">
        <f t="shared" si="233"/>
        <v>5.2671866002354784E-6</v>
      </c>
      <c r="AS327">
        <f t="shared" si="234"/>
        <v>0</v>
      </c>
      <c r="AT327">
        <f t="shared" si="235"/>
        <v>0</v>
      </c>
      <c r="AU327">
        <f t="shared" si="236"/>
        <v>0</v>
      </c>
    </row>
    <row r="328" spans="1:47" x14ac:dyDescent="0.2">
      <c r="A328">
        <v>327</v>
      </c>
      <c r="B328">
        <f>PoolStates_V2!B328</f>
        <v>0</v>
      </c>
      <c r="C328">
        <f>PoolStates_V2!S328</f>
        <v>0</v>
      </c>
      <c r="D328">
        <f>PoolStates_V2!T328</f>
        <v>3.7538165498458414E-7</v>
      </c>
      <c r="E328">
        <f>PoolStates_V2!Q328</f>
        <v>1.1785445700617073E-9</v>
      </c>
      <c r="F328">
        <f t="shared" si="237"/>
        <v>0</v>
      </c>
      <c r="G328">
        <f t="shared" si="238"/>
        <v>0</v>
      </c>
      <c r="H328">
        <f t="shared" si="239"/>
        <v>5.2671866002354784E-6</v>
      </c>
      <c r="I328">
        <f t="shared" si="200"/>
        <v>1.1785445700617073E-9</v>
      </c>
      <c r="J328">
        <f t="shared" si="201"/>
        <v>0</v>
      </c>
      <c r="K328">
        <f t="shared" si="202"/>
        <v>0</v>
      </c>
      <c r="L328">
        <f t="shared" si="203"/>
        <v>0</v>
      </c>
      <c r="M328">
        <f t="shared" si="204"/>
        <v>0</v>
      </c>
      <c r="N328">
        <f t="shared" si="205"/>
        <v>0</v>
      </c>
      <c r="O328">
        <f t="shared" si="206"/>
        <v>5.2660080556654165E-6</v>
      </c>
      <c r="P328">
        <f>M328*Inputs!B6/12</f>
        <v>0</v>
      </c>
      <c r="Q328">
        <f t="shared" si="207"/>
        <v>0</v>
      </c>
      <c r="R328">
        <f>N328*Inputs!B6/12</f>
        <v>0</v>
      </c>
      <c r="S328">
        <f t="shared" si="208"/>
        <v>0</v>
      </c>
      <c r="T328">
        <f t="shared" si="209"/>
        <v>0</v>
      </c>
      <c r="U328">
        <f t="shared" si="210"/>
        <v>0</v>
      </c>
      <c r="V328">
        <f t="shared" si="211"/>
        <v>0</v>
      </c>
      <c r="W328">
        <f t="shared" si="212"/>
        <v>3.7538165498458414E-7</v>
      </c>
      <c r="X328">
        <f t="shared" si="213"/>
        <v>0</v>
      </c>
      <c r="Y328">
        <f t="shared" si="214"/>
        <v>0</v>
      </c>
      <c r="Z328">
        <f t="shared" si="215"/>
        <v>0</v>
      </c>
      <c r="AA328">
        <f t="shared" si="216"/>
        <v>0</v>
      </c>
      <c r="AB328">
        <f t="shared" si="217"/>
        <v>0</v>
      </c>
      <c r="AC328">
        <f t="shared" si="218"/>
        <v>3.7538165498458414E-7</v>
      </c>
      <c r="AD328">
        <f t="shared" si="219"/>
        <v>0</v>
      </c>
      <c r="AE328">
        <f t="shared" si="220"/>
        <v>3.7538165498458414E-7</v>
      </c>
      <c r="AF328">
        <f t="shared" si="221"/>
        <v>0</v>
      </c>
      <c r="AG328">
        <f t="shared" si="222"/>
        <v>3.7538165498458414E-7</v>
      </c>
      <c r="AH328">
        <f t="shared" si="223"/>
        <v>3.7538165498458414E-7</v>
      </c>
      <c r="AI328">
        <f t="shared" si="224"/>
        <v>0</v>
      </c>
      <c r="AJ328">
        <f t="shared" si="225"/>
        <v>0</v>
      </c>
      <c r="AK328">
        <f t="shared" si="226"/>
        <v>3.7538165498458414E-7</v>
      </c>
      <c r="AL328">
        <f t="shared" si="227"/>
        <v>0</v>
      </c>
      <c r="AM328">
        <f t="shared" si="228"/>
        <v>0</v>
      </c>
      <c r="AN328">
        <f t="shared" si="229"/>
        <v>3.7538165498458414E-7</v>
      </c>
      <c r="AO328">
        <f t="shared" si="230"/>
        <v>0</v>
      </c>
      <c r="AP328">
        <f t="shared" si="231"/>
        <v>0</v>
      </c>
      <c r="AQ328">
        <f t="shared" si="232"/>
        <v>0</v>
      </c>
      <c r="AR328">
        <f t="shared" si="233"/>
        <v>4.8906264006808327E-6</v>
      </c>
      <c r="AS328">
        <f t="shared" si="234"/>
        <v>0</v>
      </c>
      <c r="AT328">
        <f t="shared" si="235"/>
        <v>0</v>
      </c>
      <c r="AU328">
        <f t="shared" si="236"/>
        <v>0</v>
      </c>
    </row>
    <row r="329" spans="1:47" x14ac:dyDescent="0.2">
      <c r="A329">
        <v>328</v>
      </c>
      <c r="B329">
        <f>PoolStates_V2!B329</f>
        <v>0</v>
      </c>
      <c r="C329">
        <f>PoolStates_V2!S329</f>
        <v>0</v>
      </c>
      <c r="D329">
        <f>PoolStates_V2!T329</f>
        <v>3.5090282944439048E-7</v>
      </c>
      <c r="E329">
        <f>PoolStates_V2!Q329</f>
        <v>1.0367409237249033E-9</v>
      </c>
      <c r="F329">
        <f t="shared" si="237"/>
        <v>0</v>
      </c>
      <c r="G329">
        <f t="shared" si="238"/>
        <v>0</v>
      </c>
      <c r="H329">
        <f t="shared" si="239"/>
        <v>4.8906264006808327E-6</v>
      </c>
      <c r="I329">
        <f t="shared" si="200"/>
        <v>1.0367409237249033E-9</v>
      </c>
      <c r="J329">
        <f t="shared" si="201"/>
        <v>0</v>
      </c>
      <c r="K329">
        <f t="shared" si="202"/>
        <v>0</v>
      </c>
      <c r="L329">
        <f t="shared" si="203"/>
        <v>0</v>
      </c>
      <c r="M329">
        <f t="shared" si="204"/>
        <v>0</v>
      </c>
      <c r="N329">
        <f t="shared" si="205"/>
        <v>0</v>
      </c>
      <c r="O329">
        <f t="shared" si="206"/>
        <v>4.8895896597571081E-6</v>
      </c>
      <c r="P329">
        <f>M329*Inputs!B6/12</f>
        <v>0</v>
      </c>
      <c r="Q329">
        <f t="shared" si="207"/>
        <v>0</v>
      </c>
      <c r="R329">
        <f>N329*Inputs!B6/12</f>
        <v>0</v>
      </c>
      <c r="S329">
        <f t="shared" si="208"/>
        <v>0</v>
      </c>
      <c r="T329">
        <f t="shared" si="209"/>
        <v>0</v>
      </c>
      <c r="U329">
        <f t="shared" si="210"/>
        <v>0</v>
      </c>
      <c r="V329">
        <f t="shared" si="211"/>
        <v>0</v>
      </c>
      <c r="W329">
        <f t="shared" si="212"/>
        <v>3.5090282944439048E-7</v>
      </c>
      <c r="X329">
        <f t="shared" si="213"/>
        <v>0</v>
      </c>
      <c r="Y329">
        <f t="shared" si="214"/>
        <v>0</v>
      </c>
      <c r="Z329">
        <f t="shared" si="215"/>
        <v>0</v>
      </c>
      <c r="AA329">
        <f t="shared" si="216"/>
        <v>0</v>
      </c>
      <c r="AB329">
        <f t="shared" si="217"/>
        <v>0</v>
      </c>
      <c r="AC329">
        <f t="shared" si="218"/>
        <v>3.5090282944439048E-7</v>
      </c>
      <c r="AD329">
        <f t="shared" si="219"/>
        <v>0</v>
      </c>
      <c r="AE329">
        <f t="shared" si="220"/>
        <v>3.5090282944439048E-7</v>
      </c>
      <c r="AF329">
        <f t="shared" si="221"/>
        <v>0</v>
      </c>
      <c r="AG329">
        <f t="shared" si="222"/>
        <v>3.5090282944439048E-7</v>
      </c>
      <c r="AH329">
        <f t="shared" si="223"/>
        <v>3.5090282944439048E-7</v>
      </c>
      <c r="AI329">
        <f t="shared" si="224"/>
        <v>0</v>
      </c>
      <c r="AJ329">
        <f t="shared" si="225"/>
        <v>0</v>
      </c>
      <c r="AK329">
        <f t="shared" si="226"/>
        <v>3.5090282944439048E-7</v>
      </c>
      <c r="AL329">
        <f t="shared" si="227"/>
        <v>0</v>
      </c>
      <c r="AM329">
        <f t="shared" si="228"/>
        <v>0</v>
      </c>
      <c r="AN329">
        <f t="shared" si="229"/>
        <v>3.5090282944439048E-7</v>
      </c>
      <c r="AO329">
        <f t="shared" si="230"/>
        <v>0</v>
      </c>
      <c r="AP329">
        <f t="shared" si="231"/>
        <v>0</v>
      </c>
      <c r="AQ329">
        <f t="shared" si="232"/>
        <v>0</v>
      </c>
      <c r="AR329">
        <f t="shared" si="233"/>
        <v>4.5386868303127179E-6</v>
      </c>
      <c r="AS329">
        <f t="shared" si="234"/>
        <v>0</v>
      </c>
      <c r="AT329">
        <f t="shared" si="235"/>
        <v>0</v>
      </c>
      <c r="AU329">
        <f t="shared" si="236"/>
        <v>0</v>
      </c>
    </row>
    <row r="330" spans="1:47" x14ac:dyDescent="0.2">
      <c r="A330">
        <v>329</v>
      </c>
      <c r="B330">
        <f>PoolStates_V2!B330</f>
        <v>0</v>
      </c>
      <c r="C330">
        <f>PoolStates_V2!S330</f>
        <v>0</v>
      </c>
      <c r="D330">
        <f>PoolStates_V2!T330</f>
        <v>3.2770786453536103E-7</v>
      </c>
      <c r="E330">
        <f>PoolStates_V2!Q330</f>
        <v>9.125051364551621E-10</v>
      </c>
      <c r="F330">
        <f t="shared" si="237"/>
        <v>0</v>
      </c>
      <c r="G330">
        <f t="shared" si="238"/>
        <v>0</v>
      </c>
      <c r="H330">
        <f t="shared" si="239"/>
        <v>4.5386868303127179E-6</v>
      </c>
      <c r="I330">
        <f t="shared" si="200"/>
        <v>9.125051364551621E-10</v>
      </c>
      <c r="J330">
        <f t="shared" si="201"/>
        <v>0</v>
      </c>
      <c r="K330">
        <f t="shared" si="202"/>
        <v>0</v>
      </c>
      <c r="L330">
        <f t="shared" si="203"/>
        <v>0</v>
      </c>
      <c r="M330">
        <f t="shared" si="204"/>
        <v>0</v>
      </c>
      <c r="N330">
        <f t="shared" si="205"/>
        <v>0</v>
      </c>
      <c r="O330">
        <f t="shared" si="206"/>
        <v>4.5377743251762624E-6</v>
      </c>
      <c r="P330">
        <f>M330*Inputs!B6/12</f>
        <v>0</v>
      </c>
      <c r="Q330">
        <f t="shared" si="207"/>
        <v>0</v>
      </c>
      <c r="R330">
        <f>N330*Inputs!B6/12</f>
        <v>0</v>
      </c>
      <c r="S330">
        <f t="shared" si="208"/>
        <v>0</v>
      </c>
      <c r="T330">
        <f t="shared" si="209"/>
        <v>0</v>
      </c>
      <c r="U330">
        <f t="shared" si="210"/>
        <v>0</v>
      </c>
      <c r="V330">
        <f t="shared" si="211"/>
        <v>0</v>
      </c>
      <c r="W330">
        <f t="shared" si="212"/>
        <v>3.2770786453536103E-7</v>
      </c>
      <c r="X330">
        <f t="shared" si="213"/>
        <v>0</v>
      </c>
      <c r="Y330">
        <f t="shared" si="214"/>
        <v>0</v>
      </c>
      <c r="Z330">
        <f t="shared" si="215"/>
        <v>0</v>
      </c>
      <c r="AA330">
        <f t="shared" si="216"/>
        <v>0</v>
      </c>
      <c r="AB330">
        <f t="shared" si="217"/>
        <v>0</v>
      </c>
      <c r="AC330">
        <f t="shared" si="218"/>
        <v>3.2770786453536103E-7</v>
      </c>
      <c r="AD330">
        <f t="shared" si="219"/>
        <v>0</v>
      </c>
      <c r="AE330">
        <f t="shared" si="220"/>
        <v>3.2770786453536103E-7</v>
      </c>
      <c r="AF330">
        <f t="shared" si="221"/>
        <v>0</v>
      </c>
      <c r="AG330">
        <f t="shared" si="222"/>
        <v>3.2770786453536103E-7</v>
      </c>
      <c r="AH330">
        <f t="shared" si="223"/>
        <v>3.2770786453536103E-7</v>
      </c>
      <c r="AI330">
        <f t="shared" si="224"/>
        <v>0</v>
      </c>
      <c r="AJ330">
        <f t="shared" si="225"/>
        <v>0</v>
      </c>
      <c r="AK330">
        <f t="shared" si="226"/>
        <v>3.2770786453536103E-7</v>
      </c>
      <c r="AL330">
        <f t="shared" si="227"/>
        <v>0</v>
      </c>
      <c r="AM330">
        <f t="shared" si="228"/>
        <v>0</v>
      </c>
      <c r="AN330">
        <f t="shared" si="229"/>
        <v>3.2770786453536103E-7</v>
      </c>
      <c r="AO330">
        <f t="shared" si="230"/>
        <v>0</v>
      </c>
      <c r="AP330">
        <f t="shared" si="231"/>
        <v>0</v>
      </c>
      <c r="AQ330">
        <f t="shared" si="232"/>
        <v>0</v>
      </c>
      <c r="AR330">
        <f t="shared" si="233"/>
        <v>4.2100664606409012E-6</v>
      </c>
      <c r="AS330">
        <f t="shared" si="234"/>
        <v>0</v>
      </c>
      <c r="AT330">
        <f t="shared" si="235"/>
        <v>0</v>
      </c>
      <c r="AU330">
        <f t="shared" si="236"/>
        <v>0</v>
      </c>
    </row>
    <row r="331" spans="1:47" x14ac:dyDescent="0.2">
      <c r="A331">
        <v>330</v>
      </c>
      <c r="B331">
        <f>PoolStates_V2!B331</f>
        <v>0</v>
      </c>
      <c r="C331">
        <f>PoolStates_V2!S331</f>
        <v>0</v>
      </c>
      <c r="D331">
        <f>PoolStates_V2!T331</f>
        <v>3.057781535803884E-7</v>
      </c>
      <c r="E331">
        <f>PoolStates_V2!Q331</f>
        <v>8.0361798515450191E-10</v>
      </c>
      <c r="F331">
        <f t="shared" si="237"/>
        <v>0</v>
      </c>
      <c r="G331">
        <f t="shared" si="238"/>
        <v>0</v>
      </c>
      <c r="H331">
        <f t="shared" si="239"/>
        <v>4.2100664606409012E-6</v>
      </c>
      <c r="I331">
        <f t="shared" si="200"/>
        <v>8.0361798515450191E-10</v>
      </c>
      <c r="J331">
        <f t="shared" si="201"/>
        <v>0</v>
      </c>
      <c r="K331">
        <f t="shared" si="202"/>
        <v>0</v>
      </c>
      <c r="L331">
        <f t="shared" si="203"/>
        <v>0</v>
      </c>
      <c r="M331">
        <f t="shared" si="204"/>
        <v>0</v>
      </c>
      <c r="N331">
        <f t="shared" si="205"/>
        <v>0</v>
      </c>
      <c r="O331">
        <f t="shared" si="206"/>
        <v>4.2092628426557468E-6</v>
      </c>
      <c r="P331">
        <f>M331*Inputs!B6/12</f>
        <v>0</v>
      </c>
      <c r="Q331">
        <f t="shared" si="207"/>
        <v>0</v>
      </c>
      <c r="R331">
        <f>N331*Inputs!B6/12</f>
        <v>0</v>
      </c>
      <c r="S331">
        <f t="shared" si="208"/>
        <v>0</v>
      </c>
      <c r="T331">
        <f t="shared" si="209"/>
        <v>0</v>
      </c>
      <c r="U331">
        <f t="shared" si="210"/>
        <v>0</v>
      </c>
      <c r="V331">
        <f t="shared" si="211"/>
        <v>0</v>
      </c>
      <c r="W331">
        <f t="shared" si="212"/>
        <v>3.057781535803884E-7</v>
      </c>
      <c r="X331">
        <f t="shared" si="213"/>
        <v>0</v>
      </c>
      <c r="Y331">
        <f t="shared" si="214"/>
        <v>0</v>
      </c>
      <c r="Z331">
        <f t="shared" si="215"/>
        <v>0</v>
      </c>
      <c r="AA331">
        <f t="shared" si="216"/>
        <v>0</v>
      </c>
      <c r="AB331">
        <f t="shared" si="217"/>
        <v>0</v>
      </c>
      <c r="AC331">
        <f t="shared" si="218"/>
        <v>3.057781535803884E-7</v>
      </c>
      <c r="AD331">
        <f t="shared" si="219"/>
        <v>0</v>
      </c>
      <c r="AE331">
        <f t="shared" si="220"/>
        <v>3.057781535803884E-7</v>
      </c>
      <c r="AF331">
        <f t="shared" si="221"/>
        <v>0</v>
      </c>
      <c r="AG331">
        <f t="shared" si="222"/>
        <v>3.057781535803884E-7</v>
      </c>
      <c r="AH331">
        <f t="shared" si="223"/>
        <v>3.057781535803884E-7</v>
      </c>
      <c r="AI331">
        <f t="shared" si="224"/>
        <v>0</v>
      </c>
      <c r="AJ331">
        <f t="shared" si="225"/>
        <v>0</v>
      </c>
      <c r="AK331">
        <f t="shared" si="226"/>
        <v>3.057781535803884E-7</v>
      </c>
      <c r="AL331">
        <f t="shared" si="227"/>
        <v>0</v>
      </c>
      <c r="AM331">
        <f t="shared" si="228"/>
        <v>0</v>
      </c>
      <c r="AN331">
        <f t="shared" si="229"/>
        <v>3.057781535803884E-7</v>
      </c>
      <c r="AO331">
        <f t="shared" si="230"/>
        <v>0</v>
      </c>
      <c r="AP331">
        <f t="shared" si="231"/>
        <v>0</v>
      </c>
      <c r="AQ331">
        <f t="shared" si="232"/>
        <v>0</v>
      </c>
      <c r="AR331">
        <f t="shared" si="233"/>
        <v>3.9034846890753586E-6</v>
      </c>
      <c r="AS331">
        <f t="shared" si="234"/>
        <v>0</v>
      </c>
      <c r="AT331">
        <f t="shared" si="235"/>
        <v>0</v>
      </c>
      <c r="AU331">
        <f t="shared" si="236"/>
        <v>0</v>
      </c>
    </row>
    <row r="332" spans="1:47" x14ac:dyDescent="0.2">
      <c r="A332">
        <v>331</v>
      </c>
      <c r="B332">
        <f>PoolStates_V2!B332</f>
        <v>0</v>
      </c>
      <c r="C332">
        <f>PoolStates_V2!S332</f>
        <v>0</v>
      </c>
      <c r="D332">
        <f>PoolStates_V2!T332</f>
        <v>2.8508590953016915E-7</v>
      </c>
      <c r="E332">
        <f>PoolStates_V2!Q332</f>
        <v>7.0814409605593642E-10</v>
      </c>
      <c r="F332">
        <f t="shared" si="237"/>
        <v>0</v>
      </c>
      <c r="G332">
        <f t="shared" si="238"/>
        <v>0</v>
      </c>
      <c r="H332">
        <f t="shared" si="239"/>
        <v>3.9034846890753586E-6</v>
      </c>
      <c r="I332">
        <f t="shared" si="200"/>
        <v>7.0814409605593642E-10</v>
      </c>
      <c r="J332">
        <f t="shared" si="201"/>
        <v>0</v>
      </c>
      <c r="K332">
        <f t="shared" si="202"/>
        <v>0</v>
      </c>
      <c r="L332">
        <f t="shared" si="203"/>
        <v>0</v>
      </c>
      <c r="M332">
        <f t="shared" si="204"/>
        <v>0</v>
      </c>
      <c r="N332">
        <f t="shared" si="205"/>
        <v>0</v>
      </c>
      <c r="O332">
        <f t="shared" si="206"/>
        <v>3.9027765449793028E-6</v>
      </c>
      <c r="P332">
        <f>M332*Inputs!B6/12</f>
        <v>0</v>
      </c>
      <c r="Q332">
        <f t="shared" si="207"/>
        <v>0</v>
      </c>
      <c r="R332">
        <f>N332*Inputs!B6/12</f>
        <v>0</v>
      </c>
      <c r="S332">
        <f t="shared" si="208"/>
        <v>0</v>
      </c>
      <c r="T332">
        <f t="shared" si="209"/>
        <v>0</v>
      </c>
      <c r="U332">
        <f t="shared" si="210"/>
        <v>0</v>
      </c>
      <c r="V332">
        <f t="shared" si="211"/>
        <v>0</v>
      </c>
      <c r="W332">
        <f t="shared" si="212"/>
        <v>2.8508590953016915E-7</v>
      </c>
      <c r="X332">
        <f t="shared" si="213"/>
        <v>0</v>
      </c>
      <c r="Y332">
        <f t="shared" si="214"/>
        <v>0</v>
      </c>
      <c r="Z332">
        <f t="shared" si="215"/>
        <v>0</v>
      </c>
      <c r="AA332">
        <f t="shared" si="216"/>
        <v>0</v>
      </c>
      <c r="AB332">
        <f t="shared" si="217"/>
        <v>0</v>
      </c>
      <c r="AC332">
        <f t="shared" si="218"/>
        <v>2.8508590953016915E-7</v>
      </c>
      <c r="AD332">
        <f t="shared" si="219"/>
        <v>0</v>
      </c>
      <c r="AE332">
        <f t="shared" si="220"/>
        <v>2.8508590953016915E-7</v>
      </c>
      <c r="AF332">
        <f t="shared" si="221"/>
        <v>0</v>
      </c>
      <c r="AG332">
        <f t="shared" si="222"/>
        <v>2.8508590953016915E-7</v>
      </c>
      <c r="AH332">
        <f t="shared" si="223"/>
        <v>2.8508590953016915E-7</v>
      </c>
      <c r="AI332">
        <f t="shared" si="224"/>
        <v>0</v>
      </c>
      <c r="AJ332">
        <f t="shared" si="225"/>
        <v>0</v>
      </c>
      <c r="AK332">
        <f t="shared" si="226"/>
        <v>2.8508590953016915E-7</v>
      </c>
      <c r="AL332">
        <f t="shared" si="227"/>
        <v>0</v>
      </c>
      <c r="AM332">
        <f t="shared" si="228"/>
        <v>0</v>
      </c>
      <c r="AN332">
        <f t="shared" si="229"/>
        <v>2.8508590953016915E-7</v>
      </c>
      <c r="AO332">
        <f t="shared" si="230"/>
        <v>0</v>
      </c>
      <c r="AP332">
        <f t="shared" si="231"/>
        <v>0</v>
      </c>
      <c r="AQ332">
        <f t="shared" si="232"/>
        <v>0</v>
      </c>
      <c r="AR332">
        <f t="shared" si="233"/>
        <v>3.6176906354491338E-6</v>
      </c>
      <c r="AS332">
        <f t="shared" si="234"/>
        <v>0</v>
      </c>
      <c r="AT332">
        <f t="shared" si="235"/>
        <v>0</v>
      </c>
      <c r="AU332">
        <f t="shared" si="236"/>
        <v>0</v>
      </c>
    </row>
    <row r="333" spans="1:47" x14ac:dyDescent="0.2">
      <c r="A333">
        <v>332</v>
      </c>
      <c r="B333">
        <f>PoolStates_V2!B333</f>
        <v>0</v>
      </c>
      <c r="C333">
        <f>PoolStates_V2!S333</f>
        <v>0</v>
      </c>
      <c r="D333">
        <f>PoolStates_V2!T333</f>
        <v>2.6559626763200321E-7</v>
      </c>
      <c r="E333">
        <f>PoolStates_V2!Q333</f>
        <v>6.2439535654496454E-10</v>
      </c>
      <c r="F333">
        <f t="shared" si="237"/>
        <v>0</v>
      </c>
      <c r="G333">
        <f t="shared" si="238"/>
        <v>0</v>
      </c>
      <c r="H333">
        <f t="shared" si="239"/>
        <v>3.6176906354491338E-6</v>
      </c>
      <c r="I333">
        <f t="shared" si="200"/>
        <v>6.2439535654496454E-10</v>
      </c>
      <c r="J333">
        <f t="shared" si="201"/>
        <v>0</v>
      </c>
      <c r="K333">
        <f t="shared" si="202"/>
        <v>0</v>
      </c>
      <c r="L333">
        <f t="shared" si="203"/>
        <v>0</v>
      </c>
      <c r="M333">
        <f t="shared" si="204"/>
        <v>0</v>
      </c>
      <c r="N333">
        <f t="shared" si="205"/>
        <v>0</v>
      </c>
      <c r="O333">
        <f t="shared" si="206"/>
        <v>3.6170662400925887E-6</v>
      </c>
      <c r="P333">
        <f>M333*Inputs!B6/12</f>
        <v>0</v>
      </c>
      <c r="Q333">
        <f t="shared" si="207"/>
        <v>0</v>
      </c>
      <c r="R333">
        <f>N333*Inputs!B6/12</f>
        <v>0</v>
      </c>
      <c r="S333">
        <f t="shared" si="208"/>
        <v>0</v>
      </c>
      <c r="T333">
        <f t="shared" si="209"/>
        <v>0</v>
      </c>
      <c r="U333">
        <f t="shared" si="210"/>
        <v>0</v>
      </c>
      <c r="V333">
        <f t="shared" si="211"/>
        <v>0</v>
      </c>
      <c r="W333">
        <f t="shared" si="212"/>
        <v>2.6559626763200321E-7</v>
      </c>
      <c r="X333">
        <f t="shared" si="213"/>
        <v>0</v>
      </c>
      <c r="Y333">
        <f t="shared" si="214"/>
        <v>0</v>
      </c>
      <c r="Z333">
        <f t="shared" si="215"/>
        <v>0</v>
      </c>
      <c r="AA333">
        <f t="shared" si="216"/>
        <v>0</v>
      </c>
      <c r="AB333">
        <f t="shared" si="217"/>
        <v>0</v>
      </c>
      <c r="AC333">
        <f t="shared" si="218"/>
        <v>2.6559626763200321E-7</v>
      </c>
      <c r="AD333">
        <f t="shared" si="219"/>
        <v>0</v>
      </c>
      <c r="AE333">
        <f t="shared" si="220"/>
        <v>2.6559626763200321E-7</v>
      </c>
      <c r="AF333">
        <f t="shared" si="221"/>
        <v>0</v>
      </c>
      <c r="AG333">
        <f t="shared" si="222"/>
        <v>2.6559626763200321E-7</v>
      </c>
      <c r="AH333">
        <f t="shared" si="223"/>
        <v>2.6559626763200321E-7</v>
      </c>
      <c r="AI333">
        <f t="shared" si="224"/>
        <v>0</v>
      </c>
      <c r="AJ333">
        <f t="shared" si="225"/>
        <v>0</v>
      </c>
      <c r="AK333">
        <f t="shared" si="226"/>
        <v>2.6559626763200321E-7</v>
      </c>
      <c r="AL333">
        <f t="shared" si="227"/>
        <v>0</v>
      </c>
      <c r="AM333">
        <f t="shared" si="228"/>
        <v>0</v>
      </c>
      <c r="AN333">
        <f t="shared" si="229"/>
        <v>2.6559626763200321E-7</v>
      </c>
      <c r="AO333">
        <f t="shared" si="230"/>
        <v>0</v>
      </c>
      <c r="AP333">
        <f t="shared" si="231"/>
        <v>0</v>
      </c>
      <c r="AQ333">
        <f t="shared" si="232"/>
        <v>0</v>
      </c>
      <c r="AR333">
        <f t="shared" si="233"/>
        <v>3.3514699724605855E-6</v>
      </c>
      <c r="AS333">
        <f t="shared" si="234"/>
        <v>0</v>
      </c>
      <c r="AT333">
        <f t="shared" si="235"/>
        <v>0</v>
      </c>
      <c r="AU333">
        <f t="shared" si="236"/>
        <v>0</v>
      </c>
    </row>
    <row r="334" spans="1:47" x14ac:dyDescent="0.2">
      <c r="A334">
        <v>333</v>
      </c>
      <c r="B334">
        <f>PoolStates_V2!B334</f>
        <v>0</v>
      </c>
      <c r="C334">
        <f>PoolStates_V2!S334</f>
        <v>0</v>
      </c>
      <c r="D334">
        <f>PoolStates_V2!T334</f>
        <v>2.4726904321980128E-7</v>
      </c>
      <c r="E334">
        <f>PoolStates_V2!Q334</f>
        <v>5.5089906557213705E-10</v>
      </c>
      <c r="F334">
        <f t="shared" si="237"/>
        <v>0</v>
      </c>
      <c r="G334">
        <f t="shared" si="238"/>
        <v>0</v>
      </c>
      <c r="H334">
        <f t="shared" si="239"/>
        <v>3.3514699724605855E-6</v>
      </c>
      <c r="I334">
        <f t="shared" si="200"/>
        <v>5.5089906557213705E-10</v>
      </c>
      <c r="J334">
        <f t="shared" si="201"/>
        <v>0</v>
      </c>
      <c r="K334">
        <f t="shared" si="202"/>
        <v>0</v>
      </c>
      <c r="L334">
        <f t="shared" si="203"/>
        <v>0</v>
      </c>
      <c r="M334">
        <f t="shared" si="204"/>
        <v>0</v>
      </c>
      <c r="N334">
        <f t="shared" si="205"/>
        <v>0</v>
      </c>
      <c r="O334">
        <f t="shared" si="206"/>
        <v>3.3509190733950134E-6</v>
      </c>
      <c r="P334">
        <f>M334*Inputs!B6/12</f>
        <v>0</v>
      </c>
      <c r="Q334">
        <f t="shared" si="207"/>
        <v>0</v>
      </c>
      <c r="R334">
        <f>N334*Inputs!B6/12</f>
        <v>0</v>
      </c>
      <c r="S334">
        <f t="shared" si="208"/>
        <v>0</v>
      </c>
      <c r="T334">
        <f t="shared" si="209"/>
        <v>0</v>
      </c>
      <c r="U334">
        <f t="shared" si="210"/>
        <v>0</v>
      </c>
      <c r="V334">
        <f t="shared" si="211"/>
        <v>0</v>
      </c>
      <c r="W334">
        <f t="shared" si="212"/>
        <v>2.4726904321980128E-7</v>
      </c>
      <c r="X334">
        <f t="shared" si="213"/>
        <v>0</v>
      </c>
      <c r="Y334">
        <f t="shared" si="214"/>
        <v>0</v>
      </c>
      <c r="Z334">
        <f t="shared" si="215"/>
        <v>0</v>
      </c>
      <c r="AA334">
        <f t="shared" si="216"/>
        <v>0</v>
      </c>
      <c r="AB334">
        <f t="shared" si="217"/>
        <v>0</v>
      </c>
      <c r="AC334">
        <f t="shared" si="218"/>
        <v>2.4726904321980128E-7</v>
      </c>
      <c r="AD334">
        <f t="shared" si="219"/>
        <v>0</v>
      </c>
      <c r="AE334">
        <f t="shared" si="220"/>
        <v>2.4726904321980128E-7</v>
      </c>
      <c r="AF334">
        <f t="shared" si="221"/>
        <v>0</v>
      </c>
      <c r="AG334">
        <f t="shared" si="222"/>
        <v>2.4726904321980128E-7</v>
      </c>
      <c r="AH334">
        <f t="shared" si="223"/>
        <v>2.4726904321980128E-7</v>
      </c>
      <c r="AI334">
        <f t="shared" si="224"/>
        <v>0</v>
      </c>
      <c r="AJ334">
        <f t="shared" si="225"/>
        <v>0</v>
      </c>
      <c r="AK334">
        <f t="shared" si="226"/>
        <v>2.4726904321980128E-7</v>
      </c>
      <c r="AL334">
        <f t="shared" si="227"/>
        <v>0</v>
      </c>
      <c r="AM334">
        <f t="shared" si="228"/>
        <v>0</v>
      </c>
      <c r="AN334">
        <f t="shared" si="229"/>
        <v>2.4726904321980128E-7</v>
      </c>
      <c r="AO334">
        <f t="shared" si="230"/>
        <v>0</v>
      </c>
      <c r="AP334">
        <f t="shared" si="231"/>
        <v>0</v>
      </c>
      <c r="AQ334">
        <f t="shared" si="232"/>
        <v>0</v>
      </c>
      <c r="AR334">
        <f t="shared" si="233"/>
        <v>3.103650030175212E-6</v>
      </c>
      <c r="AS334">
        <f t="shared" si="234"/>
        <v>0</v>
      </c>
      <c r="AT334">
        <f t="shared" si="235"/>
        <v>0</v>
      </c>
      <c r="AU334">
        <f t="shared" si="236"/>
        <v>0</v>
      </c>
    </row>
    <row r="335" spans="1:47" x14ac:dyDescent="0.2">
      <c r="A335">
        <v>334</v>
      </c>
      <c r="B335">
        <f>PoolStates_V2!B335</f>
        <v>0</v>
      </c>
      <c r="C335">
        <f>PoolStates_V2!S335</f>
        <v>0</v>
      </c>
      <c r="D335">
        <f>PoolStates_V2!T335</f>
        <v>2.3006019512436175E-7</v>
      </c>
      <c r="E335">
        <f>PoolStates_V2!Q335</f>
        <v>4.8637020723152394E-10</v>
      </c>
      <c r="F335">
        <f t="shared" si="237"/>
        <v>0</v>
      </c>
      <c r="G335">
        <f t="shared" si="238"/>
        <v>0</v>
      </c>
      <c r="H335">
        <f t="shared" si="239"/>
        <v>3.103650030175212E-6</v>
      </c>
      <c r="I335">
        <f t="shared" si="200"/>
        <v>4.8637020723152394E-10</v>
      </c>
      <c r="J335">
        <f t="shared" si="201"/>
        <v>0</v>
      </c>
      <c r="K335">
        <f t="shared" si="202"/>
        <v>0</v>
      </c>
      <c r="L335">
        <f t="shared" si="203"/>
        <v>0</v>
      </c>
      <c r="M335">
        <f t="shared" si="204"/>
        <v>0</v>
      </c>
      <c r="N335">
        <f t="shared" si="205"/>
        <v>0</v>
      </c>
      <c r="O335">
        <f t="shared" si="206"/>
        <v>3.1031636599679806E-6</v>
      </c>
      <c r="P335">
        <f>M335*Inputs!B6/12</f>
        <v>0</v>
      </c>
      <c r="Q335">
        <f t="shared" si="207"/>
        <v>0</v>
      </c>
      <c r="R335">
        <f>N335*Inputs!B6/12</f>
        <v>0</v>
      </c>
      <c r="S335">
        <f t="shared" si="208"/>
        <v>0</v>
      </c>
      <c r="T335">
        <f t="shared" si="209"/>
        <v>0</v>
      </c>
      <c r="U335">
        <f t="shared" si="210"/>
        <v>0</v>
      </c>
      <c r="V335">
        <f t="shared" si="211"/>
        <v>0</v>
      </c>
      <c r="W335">
        <f t="shared" si="212"/>
        <v>2.3006019512436175E-7</v>
      </c>
      <c r="X335">
        <f t="shared" si="213"/>
        <v>0</v>
      </c>
      <c r="Y335">
        <f t="shared" si="214"/>
        <v>0</v>
      </c>
      <c r="Z335">
        <f t="shared" si="215"/>
        <v>0</v>
      </c>
      <c r="AA335">
        <f t="shared" si="216"/>
        <v>0</v>
      </c>
      <c r="AB335">
        <f t="shared" si="217"/>
        <v>0</v>
      </c>
      <c r="AC335">
        <f t="shared" si="218"/>
        <v>2.3006019512436175E-7</v>
      </c>
      <c r="AD335">
        <f t="shared" si="219"/>
        <v>0</v>
      </c>
      <c r="AE335">
        <f t="shared" si="220"/>
        <v>2.3006019512436175E-7</v>
      </c>
      <c r="AF335">
        <f t="shared" si="221"/>
        <v>0</v>
      </c>
      <c r="AG335">
        <f t="shared" si="222"/>
        <v>2.3006019512436175E-7</v>
      </c>
      <c r="AH335">
        <f t="shared" si="223"/>
        <v>2.3006019512436175E-7</v>
      </c>
      <c r="AI335">
        <f t="shared" si="224"/>
        <v>0</v>
      </c>
      <c r="AJ335">
        <f t="shared" si="225"/>
        <v>0</v>
      </c>
      <c r="AK335">
        <f t="shared" si="226"/>
        <v>2.3006019512436175E-7</v>
      </c>
      <c r="AL335">
        <f t="shared" si="227"/>
        <v>0</v>
      </c>
      <c r="AM335">
        <f t="shared" si="228"/>
        <v>0</v>
      </c>
      <c r="AN335">
        <f t="shared" si="229"/>
        <v>2.3006019512436175E-7</v>
      </c>
      <c r="AO335">
        <f t="shared" si="230"/>
        <v>0</v>
      </c>
      <c r="AP335">
        <f t="shared" si="231"/>
        <v>0</v>
      </c>
      <c r="AQ335">
        <f t="shared" si="232"/>
        <v>0</v>
      </c>
      <c r="AR335">
        <f t="shared" si="233"/>
        <v>2.8731034648436189E-6</v>
      </c>
      <c r="AS335">
        <f t="shared" si="234"/>
        <v>0</v>
      </c>
      <c r="AT335">
        <f t="shared" si="235"/>
        <v>0</v>
      </c>
      <c r="AU335">
        <f t="shared" si="236"/>
        <v>0</v>
      </c>
    </row>
    <row r="336" spans="1:47" x14ac:dyDescent="0.2">
      <c r="A336">
        <v>335</v>
      </c>
      <c r="B336">
        <f>PoolStates_V2!B336</f>
        <v>0</v>
      </c>
      <c r="C336">
        <f>PoolStates_V2!S336</f>
        <v>0</v>
      </c>
      <c r="D336">
        <f>PoolStates_V2!T336</f>
        <v>2.1392303818314431E-7</v>
      </c>
      <c r="E336">
        <f>PoolStates_V2!Q336</f>
        <v>4.2968731212314144E-10</v>
      </c>
      <c r="F336">
        <f t="shared" si="237"/>
        <v>0</v>
      </c>
      <c r="G336">
        <f t="shared" si="238"/>
        <v>0</v>
      </c>
      <c r="H336">
        <f t="shared" si="239"/>
        <v>2.8731034648436189E-6</v>
      </c>
      <c r="I336">
        <f t="shared" si="200"/>
        <v>4.2968731212314144E-10</v>
      </c>
      <c r="J336">
        <f t="shared" si="201"/>
        <v>0</v>
      </c>
      <c r="K336">
        <f t="shared" si="202"/>
        <v>0</v>
      </c>
      <c r="L336">
        <f t="shared" si="203"/>
        <v>0</v>
      </c>
      <c r="M336">
        <f t="shared" si="204"/>
        <v>0</v>
      </c>
      <c r="N336">
        <f t="shared" si="205"/>
        <v>0</v>
      </c>
      <c r="O336">
        <f t="shared" si="206"/>
        <v>2.8726737775314959E-6</v>
      </c>
      <c r="P336">
        <f>M336*Inputs!B6/12</f>
        <v>0</v>
      </c>
      <c r="Q336">
        <f t="shared" si="207"/>
        <v>0</v>
      </c>
      <c r="R336">
        <f>N336*Inputs!B6/12</f>
        <v>0</v>
      </c>
      <c r="S336">
        <f t="shared" si="208"/>
        <v>0</v>
      </c>
      <c r="T336">
        <f t="shared" si="209"/>
        <v>0</v>
      </c>
      <c r="U336">
        <f t="shared" si="210"/>
        <v>0</v>
      </c>
      <c r="V336">
        <f t="shared" si="211"/>
        <v>0</v>
      </c>
      <c r="W336">
        <f t="shared" si="212"/>
        <v>2.1392303818314431E-7</v>
      </c>
      <c r="X336">
        <f t="shared" si="213"/>
        <v>0</v>
      </c>
      <c r="Y336">
        <f t="shared" si="214"/>
        <v>0</v>
      </c>
      <c r="Z336">
        <f t="shared" si="215"/>
        <v>0</v>
      </c>
      <c r="AA336">
        <f t="shared" si="216"/>
        <v>0</v>
      </c>
      <c r="AB336">
        <f t="shared" si="217"/>
        <v>0</v>
      </c>
      <c r="AC336">
        <f t="shared" si="218"/>
        <v>2.1392303818314431E-7</v>
      </c>
      <c r="AD336">
        <f t="shared" si="219"/>
        <v>0</v>
      </c>
      <c r="AE336">
        <f t="shared" si="220"/>
        <v>2.1392303818314431E-7</v>
      </c>
      <c r="AF336">
        <f t="shared" si="221"/>
        <v>0</v>
      </c>
      <c r="AG336">
        <f t="shared" si="222"/>
        <v>2.1392303818314431E-7</v>
      </c>
      <c r="AH336">
        <f t="shared" si="223"/>
        <v>2.1392303818314431E-7</v>
      </c>
      <c r="AI336">
        <f t="shared" si="224"/>
        <v>0</v>
      </c>
      <c r="AJ336">
        <f t="shared" si="225"/>
        <v>0</v>
      </c>
      <c r="AK336">
        <f t="shared" si="226"/>
        <v>2.1392303818314431E-7</v>
      </c>
      <c r="AL336">
        <f t="shared" si="227"/>
        <v>0</v>
      </c>
      <c r="AM336">
        <f t="shared" si="228"/>
        <v>0</v>
      </c>
      <c r="AN336">
        <f t="shared" si="229"/>
        <v>2.1392303818314431E-7</v>
      </c>
      <c r="AO336">
        <f t="shared" si="230"/>
        <v>0</v>
      </c>
      <c r="AP336">
        <f t="shared" si="231"/>
        <v>0</v>
      </c>
      <c r="AQ336">
        <f t="shared" si="232"/>
        <v>0</v>
      </c>
      <c r="AR336">
        <f t="shared" si="233"/>
        <v>2.6587507393483516E-6</v>
      </c>
      <c r="AS336">
        <f t="shared" si="234"/>
        <v>0</v>
      </c>
      <c r="AT336">
        <f t="shared" si="235"/>
        <v>0</v>
      </c>
      <c r="AU336">
        <f t="shared" si="236"/>
        <v>0</v>
      </c>
    </row>
    <row r="337" spans="1:47" x14ac:dyDescent="0.2">
      <c r="A337">
        <v>336</v>
      </c>
      <c r="B337">
        <f>PoolStates_V2!B337</f>
        <v>0</v>
      </c>
      <c r="C337">
        <f>PoolStates_V2!S337</f>
        <v>0</v>
      </c>
      <c r="D337">
        <f>PoolStates_V2!T337</f>
        <v>1.9880924225960469E-7</v>
      </c>
      <c r="E337">
        <f>PoolStates_V2!Q337</f>
        <v>3.7987144075096875E-10</v>
      </c>
      <c r="F337">
        <f t="shared" si="237"/>
        <v>0</v>
      </c>
      <c r="G337">
        <f t="shared" si="238"/>
        <v>0</v>
      </c>
      <c r="H337">
        <f t="shared" si="239"/>
        <v>2.6587507393483516E-6</v>
      </c>
      <c r="I337">
        <f t="shared" si="200"/>
        <v>3.7987144075096875E-10</v>
      </c>
      <c r="J337">
        <f t="shared" si="201"/>
        <v>0</v>
      </c>
      <c r="K337">
        <f t="shared" si="202"/>
        <v>0</v>
      </c>
      <c r="L337">
        <f t="shared" si="203"/>
        <v>0</v>
      </c>
      <c r="M337">
        <f t="shared" si="204"/>
        <v>0</v>
      </c>
      <c r="N337">
        <f t="shared" si="205"/>
        <v>0</v>
      </c>
      <c r="O337">
        <f t="shared" si="206"/>
        <v>2.6583708679076006E-6</v>
      </c>
      <c r="P337">
        <f>M337*Inputs!B6/12</f>
        <v>0</v>
      </c>
      <c r="Q337">
        <f t="shared" si="207"/>
        <v>0</v>
      </c>
      <c r="R337">
        <f>N337*Inputs!B6/12</f>
        <v>0</v>
      </c>
      <c r="S337">
        <f t="shared" si="208"/>
        <v>0</v>
      </c>
      <c r="T337">
        <f t="shared" si="209"/>
        <v>0</v>
      </c>
      <c r="U337">
        <f t="shared" si="210"/>
        <v>0</v>
      </c>
      <c r="V337">
        <f t="shared" si="211"/>
        <v>0</v>
      </c>
      <c r="W337">
        <f t="shared" si="212"/>
        <v>1.9880924225960469E-7</v>
      </c>
      <c r="X337">
        <f t="shared" si="213"/>
        <v>0</v>
      </c>
      <c r="Y337">
        <f t="shared" si="214"/>
        <v>0</v>
      </c>
      <c r="Z337">
        <f t="shared" si="215"/>
        <v>0</v>
      </c>
      <c r="AA337">
        <f t="shared" si="216"/>
        <v>0</v>
      </c>
      <c r="AB337">
        <f t="shared" si="217"/>
        <v>0</v>
      </c>
      <c r="AC337">
        <f t="shared" si="218"/>
        <v>1.9880924225960469E-7</v>
      </c>
      <c r="AD337">
        <f t="shared" si="219"/>
        <v>0</v>
      </c>
      <c r="AE337">
        <f t="shared" si="220"/>
        <v>1.9880924225960469E-7</v>
      </c>
      <c r="AF337">
        <f t="shared" si="221"/>
        <v>0</v>
      </c>
      <c r="AG337">
        <f t="shared" si="222"/>
        <v>1.9880924225960469E-7</v>
      </c>
      <c r="AH337">
        <f t="shared" si="223"/>
        <v>1.9880924225960469E-7</v>
      </c>
      <c r="AI337">
        <f t="shared" si="224"/>
        <v>0</v>
      </c>
      <c r="AJ337">
        <f t="shared" si="225"/>
        <v>0</v>
      </c>
      <c r="AK337">
        <f t="shared" si="226"/>
        <v>1.9880924225960469E-7</v>
      </c>
      <c r="AL337">
        <f t="shared" si="227"/>
        <v>0</v>
      </c>
      <c r="AM337">
        <f t="shared" si="228"/>
        <v>0</v>
      </c>
      <c r="AN337">
        <f t="shared" si="229"/>
        <v>1.9880924225960469E-7</v>
      </c>
      <c r="AO337">
        <f t="shared" si="230"/>
        <v>0</v>
      </c>
      <c r="AP337">
        <f t="shared" si="231"/>
        <v>0</v>
      </c>
      <c r="AQ337">
        <f t="shared" si="232"/>
        <v>0</v>
      </c>
      <c r="AR337">
        <f t="shared" si="233"/>
        <v>2.459561625647996E-6</v>
      </c>
      <c r="AS337">
        <f t="shared" si="234"/>
        <v>0</v>
      </c>
      <c r="AT337">
        <f t="shared" si="235"/>
        <v>0</v>
      </c>
      <c r="AU337">
        <f t="shared" si="236"/>
        <v>0</v>
      </c>
    </row>
    <row r="338" spans="1:47" x14ac:dyDescent="0.2">
      <c r="A338">
        <v>337</v>
      </c>
      <c r="B338">
        <f>PoolStates_V2!B338</f>
        <v>0</v>
      </c>
      <c r="C338">
        <f>PoolStates_V2!S338</f>
        <v>0</v>
      </c>
      <c r="D338">
        <f>PoolStates_V2!T338</f>
        <v>1.8466964993634036E-7</v>
      </c>
      <c r="E338">
        <f>PoolStates_V2!Q338</f>
        <v>3.3606788378104074E-10</v>
      </c>
      <c r="F338">
        <f t="shared" si="237"/>
        <v>0</v>
      </c>
      <c r="G338">
        <f t="shared" si="238"/>
        <v>0</v>
      </c>
      <c r="H338">
        <f t="shared" si="239"/>
        <v>2.459561625647996E-6</v>
      </c>
      <c r="I338">
        <f t="shared" si="200"/>
        <v>3.3606788378104074E-10</v>
      </c>
      <c r="J338">
        <f t="shared" si="201"/>
        <v>0</v>
      </c>
      <c r="K338">
        <f t="shared" si="202"/>
        <v>0</v>
      </c>
      <c r="L338">
        <f t="shared" si="203"/>
        <v>0</v>
      </c>
      <c r="M338">
        <f t="shared" si="204"/>
        <v>0</v>
      </c>
      <c r="N338">
        <f t="shared" si="205"/>
        <v>0</v>
      </c>
      <c r="O338">
        <f t="shared" si="206"/>
        <v>2.4592255577642151E-6</v>
      </c>
      <c r="P338">
        <f>M338*Inputs!B6/12</f>
        <v>0</v>
      </c>
      <c r="Q338">
        <f t="shared" si="207"/>
        <v>0</v>
      </c>
      <c r="R338">
        <f>N338*Inputs!B6/12</f>
        <v>0</v>
      </c>
      <c r="S338">
        <f t="shared" si="208"/>
        <v>0</v>
      </c>
      <c r="T338">
        <f t="shared" si="209"/>
        <v>0</v>
      </c>
      <c r="U338">
        <f t="shared" si="210"/>
        <v>0</v>
      </c>
      <c r="V338">
        <f t="shared" si="211"/>
        <v>0</v>
      </c>
      <c r="W338">
        <f t="shared" si="212"/>
        <v>1.8466964993634036E-7</v>
      </c>
      <c r="X338">
        <f t="shared" si="213"/>
        <v>0</v>
      </c>
      <c r="Y338">
        <f t="shared" si="214"/>
        <v>0</v>
      </c>
      <c r="Z338">
        <f t="shared" si="215"/>
        <v>0</v>
      </c>
      <c r="AA338">
        <f t="shared" si="216"/>
        <v>0</v>
      </c>
      <c r="AB338">
        <f t="shared" si="217"/>
        <v>0</v>
      </c>
      <c r="AC338">
        <f t="shared" si="218"/>
        <v>1.8466964993634036E-7</v>
      </c>
      <c r="AD338">
        <f t="shared" si="219"/>
        <v>0</v>
      </c>
      <c r="AE338">
        <f t="shared" si="220"/>
        <v>1.8466964993634036E-7</v>
      </c>
      <c r="AF338">
        <f t="shared" si="221"/>
        <v>0</v>
      </c>
      <c r="AG338">
        <f t="shared" si="222"/>
        <v>1.8466964993634036E-7</v>
      </c>
      <c r="AH338">
        <f t="shared" si="223"/>
        <v>1.8466964993634036E-7</v>
      </c>
      <c r="AI338">
        <f t="shared" si="224"/>
        <v>0</v>
      </c>
      <c r="AJ338">
        <f t="shared" si="225"/>
        <v>0</v>
      </c>
      <c r="AK338">
        <f t="shared" si="226"/>
        <v>1.8466964993634036E-7</v>
      </c>
      <c r="AL338">
        <f t="shared" si="227"/>
        <v>0</v>
      </c>
      <c r="AM338">
        <f t="shared" si="228"/>
        <v>0</v>
      </c>
      <c r="AN338">
        <f t="shared" si="229"/>
        <v>1.8466964993634036E-7</v>
      </c>
      <c r="AO338">
        <f t="shared" si="230"/>
        <v>0</v>
      </c>
      <c r="AP338">
        <f t="shared" si="231"/>
        <v>0</v>
      </c>
      <c r="AQ338">
        <f t="shared" si="232"/>
        <v>0</v>
      </c>
      <c r="AR338">
        <f t="shared" si="233"/>
        <v>2.2745559078278748E-6</v>
      </c>
      <c r="AS338">
        <f t="shared" si="234"/>
        <v>0</v>
      </c>
      <c r="AT338">
        <f t="shared" si="235"/>
        <v>0</v>
      </c>
      <c r="AU338">
        <f t="shared" si="236"/>
        <v>0</v>
      </c>
    </row>
    <row r="339" spans="1:47" x14ac:dyDescent="0.2">
      <c r="A339">
        <v>338</v>
      </c>
      <c r="B339">
        <f>PoolStates_V2!B339</f>
        <v>0</v>
      </c>
      <c r="C339">
        <f>PoolStates_V2!S339</f>
        <v>0</v>
      </c>
      <c r="D339">
        <f>PoolStates_V2!T339</f>
        <v>1.7145494051364731E-7</v>
      </c>
      <c r="E339">
        <f>PoolStates_V2!Q339</f>
        <v>2.9753022667306081E-10</v>
      </c>
      <c r="F339">
        <f t="shared" si="237"/>
        <v>0</v>
      </c>
      <c r="G339">
        <f t="shared" si="238"/>
        <v>0</v>
      </c>
      <c r="H339">
        <f t="shared" si="239"/>
        <v>2.2745559078278748E-6</v>
      </c>
      <c r="I339">
        <f t="shared" si="200"/>
        <v>2.9753022667306081E-10</v>
      </c>
      <c r="J339">
        <f t="shared" si="201"/>
        <v>0</v>
      </c>
      <c r="K339">
        <f t="shared" si="202"/>
        <v>0</v>
      </c>
      <c r="L339">
        <f t="shared" si="203"/>
        <v>0</v>
      </c>
      <c r="M339">
        <f t="shared" si="204"/>
        <v>0</v>
      </c>
      <c r="N339">
        <f t="shared" si="205"/>
        <v>0</v>
      </c>
      <c r="O339">
        <f t="shared" si="206"/>
        <v>2.2742583776012016E-6</v>
      </c>
      <c r="P339">
        <f>M339*Inputs!B6/12</f>
        <v>0</v>
      </c>
      <c r="Q339">
        <f t="shared" si="207"/>
        <v>0</v>
      </c>
      <c r="R339">
        <f>N339*Inputs!B6/12</f>
        <v>0</v>
      </c>
      <c r="S339">
        <f t="shared" si="208"/>
        <v>0</v>
      </c>
      <c r="T339">
        <f t="shared" si="209"/>
        <v>0</v>
      </c>
      <c r="U339">
        <f t="shared" si="210"/>
        <v>0</v>
      </c>
      <c r="V339">
        <f t="shared" si="211"/>
        <v>0</v>
      </c>
      <c r="W339">
        <f t="shared" si="212"/>
        <v>1.7145494051364731E-7</v>
      </c>
      <c r="X339">
        <f t="shared" si="213"/>
        <v>0</v>
      </c>
      <c r="Y339">
        <f t="shared" si="214"/>
        <v>0</v>
      </c>
      <c r="Z339">
        <f t="shared" si="215"/>
        <v>0</v>
      </c>
      <c r="AA339">
        <f t="shared" si="216"/>
        <v>0</v>
      </c>
      <c r="AB339">
        <f t="shared" si="217"/>
        <v>0</v>
      </c>
      <c r="AC339">
        <f t="shared" si="218"/>
        <v>1.7145494051364731E-7</v>
      </c>
      <c r="AD339">
        <f t="shared" si="219"/>
        <v>0</v>
      </c>
      <c r="AE339">
        <f t="shared" si="220"/>
        <v>1.7145494051364731E-7</v>
      </c>
      <c r="AF339">
        <f t="shared" si="221"/>
        <v>0</v>
      </c>
      <c r="AG339">
        <f t="shared" si="222"/>
        <v>1.7145494051364731E-7</v>
      </c>
      <c r="AH339">
        <f t="shared" si="223"/>
        <v>1.7145494051364731E-7</v>
      </c>
      <c r="AI339">
        <f t="shared" si="224"/>
        <v>0</v>
      </c>
      <c r="AJ339">
        <f t="shared" si="225"/>
        <v>0</v>
      </c>
      <c r="AK339">
        <f t="shared" si="226"/>
        <v>1.7145494051364731E-7</v>
      </c>
      <c r="AL339">
        <f t="shared" si="227"/>
        <v>0</v>
      </c>
      <c r="AM339">
        <f t="shared" si="228"/>
        <v>0</v>
      </c>
      <c r="AN339">
        <f t="shared" si="229"/>
        <v>1.7145494051364731E-7</v>
      </c>
      <c r="AO339">
        <f t="shared" si="230"/>
        <v>0</v>
      </c>
      <c r="AP339">
        <f t="shared" si="231"/>
        <v>0</v>
      </c>
      <c r="AQ339">
        <f t="shared" si="232"/>
        <v>0</v>
      </c>
      <c r="AR339">
        <f t="shared" si="233"/>
        <v>2.1028034370875545E-6</v>
      </c>
      <c r="AS339">
        <f t="shared" si="234"/>
        <v>0</v>
      </c>
      <c r="AT339">
        <f t="shared" si="235"/>
        <v>0</v>
      </c>
      <c r="AU339">
        <f t="shared" si="236"/>
        <v>0</v>
      </c>
    </row>
    <row r="340" spans="1:47" x14ac:dyDescent="0.2">
      <c r="A340">
        <v>339</v>
      </c>
      <c r="B340">
        <f>PoolStates_V2!B340</f>
        <v>0</v>
      </c>
      <c r="C340">
        <f>PoolStates_V2!S340</f>
        <v>0</v>
      </c>
      <c r="D340">
        <f>PoolStates_V2!T340</f>
        <v>1.5911616403016464E-7</v>
      </c>
      <c r="E340">
        <f>PoolStates_V2!Q340</f>
        <v>2.6360647202936642E-10</v>
      </c>
      <c r="F340">
        <f t="shared" si="237"/>
        <v>0</v>
      </c>
      <c r="G340">
        <f t="shared" si="238"/>
        <v>0</v>
      </c>
      <c r="H340">
        <f t="shared" si="239"/>
        <v>2.1028034370875545E-6</v>
      </c>
      <c r="I340">
        <f t="shared" si="200"/>
        <v>2.6360647202936642E-10</v>
      </c>
      <c r="J340">
        <f t="shared" si="201"/>
        <v>0</v>
      </c>
      <c r="K340">
        <f t="shared" si="202"/>
        <v>0</v>
      </c>
      <c r="L340">
        <f t="shared" si="203"/>
        <v>0</v>
      </c>
      <c r="M340">
        <f t="shared" si="204"/>
        <v>0</v>
      </c>
      <c r="N340">
        <f t="shared" si="205"/>
        <v>0</v>
      </c>
      <c r="O340">
        <f t="shared" si="206"/>
        <v>2.1025398306155253E-6</v>
      </c>
      <c r="P340">
        <f>M340*Inputs!B6/12</f>
        <v>0</v>
      </c>
      <c r="Q340">
        <f t="shared" si="207"/>
        <v>0</v>
      </c>
      <c r="R340">
        <f>N340*Inputs!B6/12</f>
        <v>0</v>
      </c>
      <c r="S340">
        <f t="shared" si="208"/>
        <v>0</v>
      </c>
      <c r="T340">
        <f t="shared" si="209"/>
        <v>0</v>
      </c>
      <c r="U340">
        <f t="shared" si="210"/>
        <v>0</v>
      </c>
      <c r="V340">
        <f t="shared" si="211"/>
        <v>0</v>
      </c>
      <c r="W340">
        <f t="shared" si="212"/>
        <v>1.5911616403016464E-7</v>
      </c>
      <c r="X340">
        <f t="shared" si="213"/>
        <v>0</v>
      </c>
      <c r="Y340">
        <f t="shared" si="214"/>
        <v>0</v>
      </c>
      <c r="Z340">
        <f t="shared" si="215"/>
        <v>0</v>
      </c>
      <c r="AA340">
        <f t="shared" si="216"/>
        <v>0</v>
      </c>
      <c r="AB340">
        <f t="shared" si="217"/>
        <v>0</v>
      </c>
      <c r="AC340">
        <f t="shared" si="218"/>
        <v>1.5911616403016464E-7</v>
      </c>
      <c r="AD340">
        <f t="shared" si="219"/>
        <v>0</v>
      </c>
      <c r="AE340">
        <f t="shared" si="220"/>
        <v>1.5911616403016464E-7</v>
      </c>
      <c r="AF340">
        <f t="shared" si="221"/>
        <v>0</v>
      </c>
      <c r="AG340">
        <f t="shared" si="222"/>
        <v>1.5911616403016464E-7</v>
      </c>
      <c r="AH340">
        <f t="shared" si="223"/>
        <v>1.5911616403016464E-7</v>
      </c>
      <c r="AI340">
        <f t="shared" si="224"/>
        <v>0</v>
      </c>
      <c r="AJ340">
        <f t="shared" si="225"/>
        <v>0</v>
      </c>
      <c r="AK340">
        <f t="shared" si="226"/>
        <v>1.5911616403016464E-7</v>
      </c>
      <c r="AL340">
        <f t="shared" si="227"/>
        <v>0</v>
      </c>
      <c r="AM340">
        <f t="shared" si="228"/>
        <v>0</v>
      </c>
      <c r="AN340">
        <f t="shared" si="229"/>
        <v>1.5911616403016464E-7</v>
      </c>
      <c r="AO340">
        <f t="shared" si="230"/>
        <v>0</v>
      </c>
      <c r="AP340">
        <f t="shared" si="231"/>
        <v>0</v>
      </c>
      <c r="AQ340">
        <f t="shared" si="232"/>
        <v>0</v>
      </c>
      <c r="AR340">
        <f t="shared" si="233"/>
        <v>1.9434236665853607E-6</v>
      </c>
      <c r="AS340">
        <f t="shared" si="234"/>
        <v>0</v>
      </c>
      <c r="AT340">
        <f t="shared" si="235"/>
        <v>0</v>
      </c>
      <c r="AU340">
        <f t="shared" si="236"/>
        <v>0</v>
      </c>
    </row>
    <row r="341" spans="1:47" x14ac:dyDescent="0.2">
      <c r="A341">
        <v>340</v>
      </c>
      <c r="B341">
        <f>PoolStates_V2!B341</f>
        <v>0</v>
      </c>
      <c r="C341">
        <f>PoolStates_V2!S341</f>
        <v>0</v>
      </c>
      <c r="D341">
        <f>PoolStates_V2!T341</f>
        <v>1.4760516564236043E-7</v>
      </c>
      <c r="E341">
        <f>PoolStates_V2!Q341</f>
        <v>2.3372695286956956E-10</v>
      </c>
      <c r="F341">
        <f t="shared" si="237"/>
        <v>0</v>
      </c>
      <c r="G341">
        <f t="shared" si="238"/>
        <v>0</v>
      </c>
      <c r="H341">
        <f t="shared" si="239"/>
        <v>1.9434236665853607E-6</v>
      </c>
      <c r="I341">
        <f t="shared" si="200"/>
        <v>2.3372695286956956E-10</v>
      </c>
      <c r="J341">
        <f t="shared" si="201"/>
        <v>0</v>
      </c>
      <c r="K341">
        <f t="shared" si="202"/>
        <v>0</v>
      </c>
      <c r="L341">
        <f t="shared" si="203"/>
        <v>0</v>
      </c>
      <c r="M341">
        <f t="shared" si="204"/>
        <v>0</v>
      </c>
      <c r="N341">
        <f t="shared" si="205"/>
        <v>0</v>
      </c>
      <c r="O341">
        <f t="shared" si="206"/>
        <v>1.9431899396324913E-6</v>
      </c>
      <c r="P341">
        <f>M341*Inputs!B6/12</f>
        <v>0</v>
      </c>
      <c r="Q341">
        <f t="shared" si="207"/>
        <v>0</v>
      </c>
      <c r="R341">
        <f>N341*Inputs!B6/12</f>
        <v>0</v>
      </c>
      <c r="S341">
        <f t="shared" si="208"/>
        <v>0</v>
      </c>
      <c r="T341">
        <f t="shared" si="209"/>
        <v>0</v>
      </c>
      <c r="U341">
        <f t="shared" si="210"/>
        <v>0</v>
      </c>
      <c r="V341">
        <f t="shared" si="211"/>
        <v>0</v>
      </c>
      <c r="W341">
        <f t="shared" si="212"/>
        <v>1.4760516564236043E-7</v>
      </c>
      <c r="X341">
        <f t="shared" si="213"/>
        <v>0</v>
      </c>
      <c r="Y341">
        <f t="shared" si="214"/>
        <v>0</v>
      </c>
      <c r="Z341">
        <f t="shared" si="215"/>
        <v>0</v>
      </c>
      <c r="AA341">
        <f t="shared" si="216"/>
        <v>0</v>
      </c>
      <c r="AB341">
        <f t="shared" si="217"/>
        <v>0</v>
      </c>
      <c r="AC341">
        <f t="shared" si="218"/>
        <v>1.4760516564236043E-7</v>
      </c>
      <c r="AD341">
        <f t="shared" si="219"/>
        <v>0</v>
      </c>
      <c r="AE341">
        <f t="shared" si="220"/>
        <v>1.4760516564236043E-7</v>
      </c>
      <c r="AF341">
        <f t="shared" si="221"/>
        <v>0</v>
      </c>
      <c r="AG341">
        <f t="shared" si="222"/>
        <v>1.4760516564236043E-7</v>
      </c>
      <c r="AH341">
        <f t="shared" si="223"/>
        <v>1.4760516564236043E-7</v>
      </c>
      <c r="AI341">
        <f t="shared" si="224"/>
        <v>0</v>
      </c>
      <c r="AJ341">
        <f t="shared" si="225"/>
        <v>0</v>
      </c>
      <c r="AK341">
        <f t="shared" si="226"/>
        <v>1.4760516564236043E-7</v>
      </c>
      <c r="AL341">
        <f t="shared" si="227"/>
        <v>0</v>
      </c>
      <c r="AM341">
        <f t="shared" si="228"/>
        <v>0</v>
      </c>
      <c r="AN341">
        <f t="shared" si="229"/>
        <v>1.4760516564236043E-7</v>
      </c>
      <c r="AO341">
        <f t="shared" si="230"/>
        <v>0</v>
      </c>
      <c r="AP341">
        <f t="shared" si="231"/>
        <v>0</v>
      </c>
      <c r="AQ341">
        <f t="shared" si="232"/>
        <v>0</v>
      </c>
      <c r="AR341">
        <f t="shared" si="233"/>
        <v>1.7955847739901308E-6</v>
      </c>
      <c r="AS341">
        <f t="shared" si="234"/>
        <v>0</v>
      </c>
      <c r="AT341">
        <f t="shared" si="235"/>
        <v>0</v>
      </c>
      <c r="AU341">
        <f t="shared" si="236"/>
        <v>0</v>
      </c>
    </row>
    <row r="342" spans="1:47" x14ac:dyDescent="0.2">
      <c r="A342">
        <v>341</v>
      </c>
      <c r="B342">
        <f>PoolStates_V2!B342</f>
        <v>0</v>
      </c>
      <c r="C342">
        <f>PoolStates_V2!S342</f>
        <v>0</v>
      </c>
      <c r="D342">
        <f>PoolStates_V2!T342</f>
        <v>1.3687491778295811E-7</v>
      </c>
      <c r="E342">
        <f>PoolStates_V2!Q342</f>
        <v>2.0739380471459137E-10</v>
      </c>
      <c r="F342">
        <f t="shared" si="237"/>
        <v>0</v>
      </c>
      <c r="G342">
        <f t="shared" si="238"/>
        <v>0</v>
      </c>
      <c r="H342">
        <f t="shared" si="239"/>
        <v>1.7955847739901308E-6</v>
      </c>
      <c r="I342">
        <f t="shared" si="200"/>
        <v>2.0739380471459137E-10</v>
      </c>
      <c r="J342">
        <f t="shared" si="201"/>
        <v>0</v>
      </c>
      <c r="K342">
        <f t="shared" si="202"/>
        <v>0</v>
      </c>
      <c r="L342">
        <f t="shared" si="203"/>
        <v>0</v>
      </c>
      <c r="M342">
        <f t="shared" si="204"/>
        <v>0</v>
      </c>
      <c r="N342">
        <f t="shared" si="205"/>
        <v>0</v>
      </c>
      <c r="O342">
        <f t="shared" si="206"/>
        <v>1.7953773801854163E-6</v>
      </c>
      <c r="P342">
        <f>M342*Inputs!B6/12</f>
        <v>0</v>
      </c>
      <c r="Q342">
        <f t="shared" si="207"/>
        <v>0</v>
      </c>
      <c r="R342">
        <f>N342*Inputs!B6/12</f>
        <v>0</v>
      </c>
      <c r="S342">
        <f t="shared" si="208"/>
        <v>0</v>
      </c>
      <c r="T342">
        <f t="shared" si="209"/>
        <v>0</v>
      </c>
      <c r="U342">
        <f t="shared" si="210"/>
        <v>0</v>
      </c>
      <c r="V342">
        <f t="shared" si="211"/>
        <v>0</v>
      </c>
      <c r="W342">
        <f t="shared" si="212"/>
        <v>1.3687491778295811E-7</v>
      </c>
      <c r="X342">
        <f t="shared" si="213"/>
        <v>0</v>
      </c>
      <c r="Y342">
        <f t="shared" si="214"/>
        <v>0</v>
      </c>
      <c r="Z342">
        <f t="shared" si="215"/>
        <v>0</v>
      </c>
      <c r="AA342">
        <f t="shared" si="216"/>
        <v>0</v>
      </c>
      <c r="AB342">
        <f t="shared" si="217"/>
        <v>0</v>
      </c>
      <c r="AC342">
        <f t="shared" si="218"/>
        <v>1.3687491778295811E-7</v>
      </c>
      <c r="AD342">
        <f t="shared" si="219"/>
        <v>0</v>
      </c>
      <c r="AE342">
        <f t="shared" si="220"/>
        <v>1.3687491778295811E-7</v>
      </c>
      <c r="AF342">
        <f t="shared" si="221"/>
        <v>0</v>
      </c>
      <c r="AG342">
        <f t="shared" si="222"/>
        <v>1.3687491778295811E-7</v>
      </c>
      <c r="AH342">
        <f t="shared" si="223"/>
        <v>1.3687491778295811E-7</v>
      </c>
      <c r="AI342">
        <f t="shared" si="224"/>
        <v>0</v>
      </c>
      <c r="AJ342">
        <f t="shared" si="225"/>
        <v>0</v>
      </c>
      <c r="AK342">
        <f t="shared" si="226"/>
        <v>1.3687491778295811E-7</v>
      </c>
      <c r="AL342">
        <f t="shared" si="227"/>
        <v>0</v>
      </c>
      <c r="AM342">
        <f t="shared" si="228"/>
        <v>0</v>
      </c>
      <c r="AN342">
        <f t="shared" si="229"/>
        <v>1.3687491778295811E-7</v>
      </c>
      <c r="AO342">
        <f t="shared" si="230"/>
        <v>0</v>
      </c>
      <c r="AP342">
        <f t="shared" si="231"/>
        <v>0</v>
      </c>
      <c r="AQ342">
        <f t="shared" si="232"/>
        <v>0</v>
      </c>
      <c r="AR342">
        <f t="shared" si="233"/>
        <v>1.6585024624024581E-6</v>
      </c>
      <c r="AS342">
        <f t="shared" si="234"/>
        <v>0</v>
      </c>
      <c r="AT342">
        <f t="shared" si="235"/>
        <v>0</v>
      </c>
      <c r="AU342">
        <f t="shared" si="236"/>
        <v>0</v>
      </c>
    </row>
    <row r="343" spans="1:47" x14ac:dyDescent="0.2">
      <c r="A343">
        <v>342</v>
      </c>
      <c r="B343">
        <f>PoolStates_V2!B343</f>
        <v>0</v>
      </c>
      <c r="C343">
        <f>PoolStates_V2!S343</f>
        <v>0</v>
      </c>
      <c r="D343">
        <f>PoolStates_V2!T343</f>
        <v>1.2687977500281889E-7</v>
      </c>
      <c r="E343">
        <f>PoolStates_V2!Q343</f>
        <v>1.8417179452592473E-10</v>
      </c>
      <c r="F343">
        <f t="shared" si="237"/>
        <v>0</v>
      </c>
      <c r="G343">
        <f t="shared" si="238"/>
        <v>0</v>
      </c>
      <c r="H343">
        <f t="shared" si="239"/>
        <v>1.6585024624024581E-6</v>
      </c>
      <c r="I343">
        <f t="shared" si="200"/>
        <v>1.8417179452592473E-10</v>
      </c>
      <c r="J343">
        <f t="shared" si="201"/>
        <v>0</v>
      </c>
      <c r="K343">
        <f t="shared" si="202"/>
        <v>0</v>
      </c>
      <c r="L343">
        <f t="shared" si="203"/>
        <v>0</v>
      </c>
      <c r="M343">
        <f t="shared" si="204"/>
        <v>0</v>
      </c>
      <c r="N343">
        <f t="shared" si="205"/>
        <v>0</v>
      </c>
      <c r="O343">
        <f t="shared" si="206"/>
        <v>1.6583182906079322E-6</v>
      </c>
      <c r="P343">
        <f>M343*Inputs!B6/12</f>
        <v>0</v>
      </c>
      <c r="Q343">
        <f t="shared" si="207"/>
        <v>0</v>
      </c>
      <c r="R343">
        <f>N343*Inputs!B6/12</f>
        <v>0</v>
      </c>
      <c r="S343">
        <f t="shared" si="208"/>
        <v>0</v>
      </c>
      <c r="T343">
        <f t="shared" si="209"/>
        <v>0</v>
      </c>
      <c r="U343">
        <f t="shared" si="210"/>
        <v>0</v>
      </c>
      <c r="V343">
        <f t="shared" si="211"/>
        <v>0</v>
      </c>
      <c r="W343">
        <f t="shared" si="212"/>
        <v>1.2687977500281889E-7</v>
      </c>
      <c r="X343">
        <f t="shared" si="213"/>
        <v>0</v>
      </c>
      <c r="Y343">
        <f t="shared" si="214"/>
        <v>0</v>
      </c>
      <c r="Z343">
        <f t="shared" si="215"/>
        <v>0</v>
      </c>
      <c r="AA343">
        <f t="shared" si="216"/>
        <v>0</v>
      </c>
      <c r="AB343">
        <f t="shared" si="217"/>
        <v>0</v>
      </c>
      <c r="AC343">
        <f t="shared" si="218"/>
        <v>1.2687977500281889E-7</v>
      </c>
      <c r="AD343">
        <f t="shared" si="219"/>
        <v>0</v>
      </c>
      <c r="AE343">
        <f t="shared" si="220"/>
        <v>1.2687977500281889E-7</v>
      </c>
      <c r="AF343">
        <f t="shared" si="221"/>
        <v>0</v>
      </c>
      <c r="AG343">
        <f t="shared" si="222"/>
        <v>1.2687977500281889E-7</v>
      </c>
      <c r="AH343">
        <f t="shared" si="223"/>
        <v>1.2687977500281889E-7</v>
      </c>
      <c r="AI343">
        <f t="shared" si="224"/>
        <v>0</v>
      </c>
      <c r="AJ343">
        <f t="shared" si="225"/>
        <v>0</v>
      </c>
      <c r="AK343">
        <f t="shared" si="226"/>
        <v>1.2687977500281889E-7</v>
      </c>
      <c r="AL343">
        <f t="shared" si="227"/>
        <v>0</v>
      </c>
      <c r="AM343">
        <f t="shared" si="228"/>
        <v>0</v>
      </c>
      <c r="AN343">
        <f t="shared" si="229"/>
        <v>1.2687977500281889E-7</v>
      </c>
      <c r="AO343">
        <f t="shared" si="230"/>
        <v>0</v>
      </c>
      <c r="AP343">
        <f t="shared" si="231"/>
        <v>0</v>
      </c>
      <c r="AQ343">
        <f t="shared" si="232"/>
        <v>0</v>
      </c>
      <c r="AR343">
        <f t="shared" si="233"/>
        <v>1.5314385156051133E-6</v>
      </c>
      <c r="AS343">
        <f t="shared" si="234"/>
        <v>0</v>
      </c>
      <c r="AT343">
        <f t="shared" si="235"/>
        <v>0</v>
      </c>
      <c r="AU343">
        <f t="shared" si="236"/>
        <v>0</v>
      </c>
    </row>
    <row r="344" spans="1:47" x14ac:dyDescent="0.2">
      <c r="A344">
        <v>343</v>
      </c>
      <c r="B344">
        <f>PoolStates_V2!B344</f>
        <v>0</v>
      </c>
      <c r="C344">
        <f>PoolStates_V2!S344</f>
        <v>0</v>
      </c>
      <c r="D344">
        <f>PoolStates_V2!T344</f>
        <v>1.1757566423234706E-7</v>
      </c>
      <c r="E344">
        <f>PoolStates_V2!Q344</f>
        <v>1.6368033078264575E-10</v>
      </c>
      <c r="F344">
        <f t="shared" si="237"/>
        <v>0</v>
      </c>
      <c r="G344">
        <f t="shared" si="238"/>
        <v>0</v>
      </c>
      <c r="H344">
        <f t="shared" si="239"/>
        <v>1.5314385156051133E-6</v>
      </c>
      <c r="I344">
        <f t="shared" si="200"/>
        <v>1.6368033078264575E-10</v>
      </c>
      <c r="J344">
        <f t="shared" si="201"/>
        <v>0</v>
      </c>
      <c r="K344">
        <f t="shared" si="202"/>
        <v>0</v>
      </c>
      <c r="L344">
        <f t="shared" si="203"/>
        <v>0</v>
      </c>
      <c r="M344">
        <f t="shared" si="204"/>
        <v>0</v>
      </c>
      <c r="N344">
        <f t="shared" si="205"/>
        <v>0</v>
      </c>
      <c r="O344">
        <f t="shared" si="206"/>
        <v>1.5312748352743306E-6</v>
      </c>
      <c r="P344">
        <f>M344*Inputs!B6/12</f>
        <v>0</v>
      </c>
      <c r="Q344">
        <f t="shared" si="207"/>
        <v>0</v>
      </c>
      <c r="R344">
        <f>N344*Inputs!B6/12</f>
        <v>0</v>
      </c>
      <c r="S344">
        <f t="shared" si="208"/>
        <v>0</v>
      </c>
      <c r="T344">
        <f t="shared" si="209"/>
        <v>0</v>
      </c>
      <c r="U344">
        <f t="shared" si="210"/>
        <v>0</v>
      </c>
      <c r="V344">
        <f t="shared" si="211"/>
        <v>0</v>
      </c>
      <c r="W344">
        <f t="shared" si="212"/>
        <v>1.1757566423234706E-7</v>
      </c>
      <c r="X344">
        <f t="shared" si="213"/>
        <v>0</v>
      </c>
      <c r="Y344">
        <f t="shared" si="214"/>
        <v>0</v>
      </c>
      <c r="Z344">
        <f t="shared" si="215"/>
        <v>0</v>
      </c>
      <c r="AA344">
        <f t="shared" si="216"/>
        <v>0</v>
      </c>
      <c r="AB344">
        <f t="shared" si="217"/>
        <v>0</v>
      </c>
      <c r="AC344">
        <f t="shared" si="218"/>
        <v>1.1757566423234706E-7</v>
      </c>
      <c r="AD344">
        <f t="shared" si="219"/>
        <v>0</v>
      </c>
      <c r="AE344">
        <f t="shared" si="220"/>
        <v>1.1757566423234706E-7</v>
      </c>
      <c r="AF344">
        <f t="shared" si="221"/>
        <v>0</v>
      </c>
      <c r="AG344">
        <f t="shared" si="222"/>
        <v>1.1757566423234706E-7</v>
      </c>
      <c r="AH344">
        <f t="shared" si="223"/>
        <v>1.1757566423234706E-7</v>
      </c>
      <c r="AI344">
        <f t="shared" si="224"/>
        <v>0</v>
      </c>
      <c r="AJ344">
        <f t="shared" si="225"/>
        <v>0</v>
      </c>
      <c r="AK344">
        <f t="shared" si="226"/>
        <v>1.1757566423234706E-7</v>
      </c>
      <c r="AL344">
        <f t="shared" si="227"/>
        <v>0</v>
      </c>
      <c r="AM344">
        <f t="shared" si="228"/>
        <v>0</v>
      </c>
      <c r="AN344">
        <f t="shared" si="229"/>
        <v>1.1757566423234706E-7</v>
      </c>
      <c r="AO344">
        <f t="shared" si="230"/>
        <v>0</v>
      </c>
      <c r="AP344">
        <f t="shared" si="231"/>
        <v>0</v>
      </c>
      <c r="AQ344">
        <f t="shared" si="232"/>
        <v>0</v>
      </c>
      <c r="AR344">
        <f t="shared" si="233"/>
        <v>1.4136991710419836E-6</v>
      </c>
      <c r="AS344">
        <f t="shared" si="234"/>
        <v>0</v>
      </c>
      <c r="AT344">
        <f t="shared" si="235"/>
        <v>0</v>
      </c>
      <c r="AU344">
        <f t="shared" si="236"/>
        <v>0</v>
      </c>
    </row>
    <row r="345" spans="1:47" x14ac:dyDescent="0.2">
      <c r="A345">
        <v>344</v>
      </c>
      <c r="B345">
        <f>PoolStates_V2!B345</f>
        <v>0</v>
      </c>
      <c r="C345">
        <f>PoolStates_V2!S345</f>
        <v>0</v>
      </c>
      <c r="D345">
        <f>PoolStates_V2!T345</f>
        <v>1.0892022133039622E-7</v>
      </c>
      <c r="E345">
        <f>PoolStates_V2!Q345</f>
        <v>1.45586501801253E-10</v>
      </c>
      <c r="F345">
        <f t="shared" si="237"/>
        <v>0</v>
      </c>
      <c r="G345">
        <f t="shared" si="238"/>
        <v>0</v>
      </c>
      <c r="H345">
        <f t="shared" si="239"/>
        <v>1.4136991710419836E-6</v>
      </c>
      <c r="I345">
        <f t="shared" si="200"/>
        <v>1.45586501801253E-10</v>
      </c>
      <c r="J345">
        <f t="shared" si="201"/>
        <v>0</v>
      </c>
      <c r="K345">
        <f t="shared" si="202"/>
        <v>0</v>
      </c>
      <c r="L345">
        <f t="shared" si="203"/>
        <v>0</v>
      </c>
      <c r="M345">
        <f t="shared" si="204"/>
        <v>0</v>
      </c>
      <c r="N345">
        <f t="shared" si="205"/>
        <v>0</v>
      </c>
      <c r="O345">
        <f t="shared" si="206"/>
        <v>1.4135535845401824E-6</v>
      </c>
      <c r="P345">
        <f>M345*Inputs!B6/12</f>
        <v>0</v>
      </c>
      <c r="Q345">
        <f t="shared" si="207"/>
        <v>0</v>
      </c>
      <c r="R345">
        <f>N345*Inputs!B6/12</f>
        <v>0</v>
      </c>
      <c r="S345">
        <f t="shared" si="208"/>
        <v>0</v>
      </c>
      <c r="T345">
        <f t="shared" si="209"/>
        <v>0</v>
      </c>
      <c r="U345">
        <f t="shared" si="210"/>
        <v>0</v>
      </c>
      <c r="V345">
        <f t="shared" si="211"/>
        <v>0</v>
      </c>
      <c r="W345">
        <f t="shared" si="212"/>
        <v>1.0892022133039622E-7</v>
      </c>
      <c r="X345">
        <f t="shared" si="213"/>
        <v>0</v>
      </c>
      <c r="Y345">
        <f t="shared" si="214"/>
        <v>0</v>
      </c>
      <c r="Z345">
        <f t="shared" si="215"/>
        <v>0</v>
      </c>
      <c r="AA345">
        <f t="shared" si="216"/>
        <v>0</v>
      </c>
      <c r="AB345">
        <f t="shared" si="217"/>
        <v>0</v>
      </c>
      <c r="AC345">
        <f t="shared" si="218"/>
        <v>1.0892022133039622E-7</v>
      </c>
      <c r="AD345">
        <f t="shared" si="219"/>
        <v>0</v>
      </c>
      <c r="AE345">
        <f t="shared" si="220"/>
        <v>1.0892022133039622E-7</v>
      </c>
      <c r="AF345">
        <f t="shared" si="221"/>
        <v>0</v>
      </c>
      <c r="AG345">
        <f t="shared" si="222"/>
        <v>1.0892022133039622E-7</v>
      </c>
      <c r="AH345">
        <f t="shared" si="223"/>
        <v>1.0892022133039622E-7</v>
      </c>
      <c r="AI345">
        <f t="shared" si="224"/>
        <v>0</v>
      </c>
      <c r="AJ345">
        <f t="shared" si="225"/>
        <v>0</v>
      </c>
      <c r="AK345">
        <f t="shared" si="226"/>
        <v>1.0892022133039622E-7</v>
      </c>
      <c r="AL345">
        <f t="shared" si="227"/>
        <v>0</v>
      </c>
      <c r="AM345">
        <f t="shared" si="228"/>
        <v>0</v>
      </c>
      <c r="AN345">
        <f t="shared" si="229"/>
        <v>1.0892022133039622E-7</v>
      </c>
      <c r="AO345">
        <f t="shared" si="230"/>
        <v>0</v>
      </c>
      <c r="AP345">
        <f t="shared" si="231"/>
        <v>0</v>
      </c>
      <c r="AQ345">
        <f t="shared" si="232"/>
        <v>0</v>
      </c>
      <c r="AR345">
        <f t="shared" si="233"/>
        <v>1.3046333632097861E-6</v>
      </c>
      <c r="AS345">
        <f t="shared" si="234"/>
        <v>0</v>
      </c>
      <c r="AT345">
        <f t="shared" si="235"/>
        <v>0</v>
      </c>
      <c r="AU345">
        <f t="shared" si="236"/>
        <v>0</v>
      </c>
    </row>
    <row r="346" spans="1:47" x14ac:dyDescent="0.2">
      <c r="A346">
        <v>345</v>
      </c>
      <c r="B346">
        <f>PoolStates_V2!B346</f>
        <v>0</v>
      </c>
      <c r="C346">
        <f>PoolStates_V2!S346</f>
        <v>0</v>
      </c>
      <c r="D346">
        <f>PoolStates_V2!T346</f>
        <v>1.0087288318038192E-7</v>
      </c>
      <c r="E346">
        <f>PoolStates_V2!Q346</f>
        <v>1.2959900925652888E-10</v>
      </c>
      <c r="F346">
        <f t="shared" si="237"/>
        <v>0</v>
      </c>
      <c r="G346">
        <f t="shared" si="238"/>
        <v>0</v>
      </c>
      <c r="H346">
        <f t="shared" si="239"/>
        <v>1.3046333632097861E-6</v>
      </c>
      <c r="I346">
        <f t="shared" si="200"/>
        <v>1.2959900925652888E-10</v>
      </c>
      <c r="J346">
        <f t="shared" si="201"/>
        <v>0</v>
      </c>
      <c r="K346">
        <f t="shared" si="202"/>
        <v>0</v>
      </c>
      <c r="L346">
        <f t="shared" si="203"/>
        <v>0</v>
      </c>
      <c r="M346">
        <f t="shared" si="204"/>
        <v>0</v>
      </c>
      <c r="N346">
        <f t="shared" si="205"/>
        <v>0</v>
      </c>
      <c r="O346">
        <f t="shared" si="206"/>
        <v>1.3045037642005296E-6</v>
      </c>
      <c r="P346">
        <f>M346*Inputs!B6/12</f>
        <v>0</v>
      </c>
      <c r="Q346">
        <f t="shared" si="207"/>
        <v>0</v>
      </c>
      <c r="R346">
        <f>N346*Inputs!B6/12</f>
        <v>0</v>
      </c>
      <c r="S346">
        <f t="shared" si="208"/>
        <v>0</v>
      </c>
      <c r="T346">
        <f t="shared" si="209"/>
        <v>0</v>
      </c>
      <c r="U346">
        <f t="shared" si="210"/>
        <v>0</v>
      </c>
      <c r="V346">
        <f t="shared" si="211"/>
        <v>0</v>
      </c>
      <c r="W346">
        <f t="shared" si="212"/>
        <v>1.0087288318038192E-7</v>
      </c>
      <c r="X346">
        <f t="shared" si="213"/>
        <v>0</v>
      </c>
      <c r="Y346">
        <f t="shared" si="214"/>
        <v>0</v>
      </c>
      <c r="Z346">
        <f t="shared" si="215"/>
        <v>0</v>
      </c>
      <c r="AA346">
        <f t="shared" si="216"/>
        <v>0</v>
      </c>
      <c r="AB346">
        <f t="shared" si="217"/>
        <v>0</v>
      </c>
      <c r="AC346">
        <f t="shared" si="218"/>
        <v>1.0087288318038192E-7</v>
      </c>
      <c r="AD346">
        <f t="shared" si="219"/>
        <v>0</v>
      </c>
      <c r="AE346">
        <f t="shared" si="220"/>
        <v>1.0087288318038192E-7</v>
      </c>
      <c r="AF346">
        <f t="shared" si="221"/>
        <v>0</v>
      </c>
      <c r="AG346">
        <f t="shared" si="222"/>
        <v>1.0087288318038192E-7</v>
      </c>
      <c r="AH346">
        <f t="shared" si="223"/>
        <v>1.0087288318038192E-7</v>
      </c>
      <c r="AI346">
        <f t="shared" si="224"/>
        <v>0</v>
      </c>
      <c r="AJ346">
        <f t="shared" si="225"/>
        <v>0</v>
      </c>
      <c r="AK346">
        <f t="shared" si="226"/>
        <v>1.0087288318038192E-7</v>
      </c>
      <c r="AL346">
        <f t="shared" si="227"/>
        <v>0</v>
      </c>
      <c r="AM346">
        <f t="shared" si="228"/>
        <v>0</v>
      </c>
      <c r="AN346">
        <f t="shared" si="229"/>
        <v>1.0087288318038192E-7</v>
      </c>
      <c r="AO346">
        <f t="shared" si="230"/>
        <v>0</v>
      </c>
      <c r="AP346">
        <f t="shared" si="231"/>
        <v>0</v>
      </c>
      <c r="AQ346">
        <f t="shared" si="232"/>
        <v>0</v>
      </c>
      <c r="AR346">
        <f t="shared" si="233"/>
        <v>1.2036308810201476E-6</v>
      </c>
      <c r="AS346">
        <f t="shared" si="234"/>
        <v>0</v>
      </c>
      <c r="AT346">
        <f t="shared" si="235"/>
        <v>0</v>
      </c>
      <c r="AU346">
        <f t="shared" si="236"/>
        <v>0</v>
      </c>
    </row>
    <row r="347" spans="1:47" x14ac:dyDescent="0.2">
      <c r="A347">
        <v>346</v>
      </c>
      <c r="B347">
        <f>PoolStates_V2!B347</f>
        <v>0</v>
      </c>
      <c r="C347">
        <f>PoolStates_V2!S347</f>
        <v>0</v>
      </c>
      <c r="D347">
        <f>PoolStates_V2!T347</f>
        <v>9.3394943209694628E-8</v>
      </c>
      <c r="E347">
        <f>PoolStates_V2!Q347</f>
        <v>1.1546288113204108E-10</v>
      </c>
      <c r="F347">
        <f t="shared" si="237"/>
        <v>0</v>
      </c>
      <c r="G347">
        <f t="shared" si="238"/>
        <v>0</v>
      </c>
      <c r="H347">
        <f t="shared" si="239"/>
        <v>1.2036308810201476E-6</v>
      </c>
      <c r="I347">
        <f t="shared" si="200"/>
        <v>1.1546288113204108E-10</v>
      </c>
      <c r="J347">
        <f t="shared" si="201"/>
        <v>0</v>
      </c>
      <c r="K347">
        <f t="shared" si="202"/>
        <v>0</v>
      </c>
      <c r="L347">
        <f t="shared" si="203"/>
        <v>0</v>
      </c>
      <c r="M347">
        <f t="shared" si="204"/>
        <v>0</v>
      </c>
      <c r="N347">
        <f t="shared" si="205"/>
        <v>0</v>
      </c>
      <c r="O347">
        <f t="shared" si="206"/>
        <v>1.2035154181390155E-6</v>
      </c>
      <c r="P347">
        <f>M347*Inputs!B6/12</f>
        <v>0</v>
      </c>
      <c r="Q347">
        <f t="shared" si="207"/>
        <v>0</v>
      </c>
      <c r="R347">
        <f>N347*Inputs!B6/12</f>
        <v>0</v>
      </c>
      <c r="S347">
        <f t="shared" si="208"/>
        <v>0</v>
      </c>
      <c r="T347">
        <f t="shared" si="209"/>
        <v>0</v>
      </c>
      <c r="U347">
        <f t="shared" si="210"/>
        <v>0</v>
      </c>
      <c r="V347">
        <f t="shared" si="211"/>
        <v>0</v>
      </c>
      <c r="W347">
        <f t="shared" si="212"/>
        <v>9.3394943209694628E-8</v>
      </c>
      <c r="X347">
        <f t="shared" si="213"/>
        <v>0</v>
      </c>
      <c r="Y347">
        <f t="shared" si="214"/>
        <v>0</v>
      </c>
      <c r="Z347">
        <f t="shared" si="215"/>
        <v>0</v>
      </c>
      <c r="AA347">
        <f t="shared" si="216"/>
        <v>0</v>
      </c>
      <c r="AB347">
        <f t="shared" si="217"/>
        <v>0</v>
      </c>
      <c r="AC347">
        <f t="shared" si="218"/>
        <v>9.3394943209694628E-8</v>
      </c>
      <c r="AD347">
        <f t="shared" si="219"/>
        <v>0</v>
      </c>
      <c r="AE347">
        <f t="shared" si="220"/>
        <v>9.3394943209694628E-8</v>
      </c>
      <c r="AF347">
        <f t="shared" si="221"/>
        <v>0</v>
      </c>
      <c r="AG347">
        <f t="shared" si="222"/>
        <v>9.3394943209694628E-8</v>
      </c>
      <c r="AH347">
        <f t="shared" si="223"/>
        <v>9.3394943209694628E-8</v>
      </c>
      <c r="AI347">
        <f t="shared" si="224"/>
        <v>0</v>
      </c>
      <c r="AJ347">
        <f t="shared" si="225"/>
        <v>0</v>
      </c>
      <c r="AK347">
        <f t="shared" si="226"/>
        <v>9.3394943209694628E-8</v>
      </c>
      <c r="AL347">
        <f t="shared" si="227"/>
        <v>0</v>
      </c>
      <c r="AM347">
        <f t="shared" si="228"/>
        <v>0</v>
      </c>
      <c r="AN347">
        <f t="shared" si="229"/>
        <v>9.3394943209694628E-8</v>
      </c>
      <c r="AO347">
        <f t="shared" si="230"/>
        <v>0</v>
      </c>
      <c r="AP347">
        <f t="shared" si="231"/>
        <v>0</v>
      </c>
      <c r="AQ347">
        <f t="shared" si="232"/>
        <v>0</v>
      </c>
      <c r="AR347">
        <f t="shared" si="233"/>
        <v>1.1101204749293208E-6</v>
      </c>
      <c r="AS347">
        <f t="shared" si="234"/>
        <v>0</v>
      </c>
      <c r="AT347">
        <f t="shared" si="235"/>
        <v>0</v>
      </c>
      <c r="AU347">
        <f t="shared" si="236"/>
        <v>0</v>
      </c>
    </row>
    <row r="348" spans="1:47" x14ac:dyDescent="0.2">
      <c r="A348">
        <v>347</v>
      </c>
      <c r="B348">
        <f>PoolStates_V2!B348</f>
        <v>0</v>
      </c>
      <c r="C348">
        <f>PoolStates_V2!S348</f>
        <v>0</v>
      </c>
      <c r="D348">
        <f>PoolStates_V2!T348</f>
        <v>8.6449577019088467E-8</v>
      </c>
      <c r="E348">
        <f>PoolStates_V2!Q348</f>
        <v>1.0295486335298538E-10</v>
      </c>
      <c r="F348">
        <f t="shared" si="237"/>
        <v>0</v>
      </c>
      <c r="G348">
        <f t="shared" si="238"/>
        <v>0</v>
      </c>
      <c r="H348">
        <f t="shared" si="239"/>
        <v>1.1101204749293208E-6</v>
      </c>
      <c r="I348">
        <f t="shared" si="200"/>
        <v>1.0295486335298538E-10</v>
      </c>
      <c r="J348">
        <f t="shared" si="201"/>
        <v>0</v>
      </c>
      <c r="K348">
        <f t="shared" si="202"/>
        <v>0</v>
      </c>
      <c r="L348">
        <f t="shared" si="203"/>
        <v>0</v>
      </c>
      <c r="M348">
        <f t="shared" si="204"/>
        <v>0</v>
      </c>
      <c r="N348">
        <f t="shared" si="205"/>
        <v>0</v>
      </c>
      <c r="O348">
        <f t="shared" si="206"/>
        <v>1.1100175200659678E-6</v>
      </c>
      <c r="P348">
        <f>M348*Inputs!B6/12</f>
        <v>0</v>
      </c>
      <c r="Q348">
        <f t="shared" si="207"/>
        <v>0</v>
      </c>
      <c r="R348">
        <f>N348*Inputs!B6/12</f>
        <v>0</v>
      </c>
      <c r="S348">
        <f t="shared" si="208"/>
        <v>0</v>
      </c>
      <c r="T348">
        <f t="shared" si="209"/>
        <v>0</v>
      </c>
      <c r="U348">
        <f t="shared" si="210"/>
        <v>0</v>
      </c>
      <c r="V348">
        <f t="shared" si="211"/>
        <v>0</v>
      </c>
      <c r="W348">
        <f t="shared" si="212"/>
        <v>8.6449577019088467E-8</v>
      </c>
      <c r="X348">
        <f t="shared" si="213"/>
        <v>0</v>
      </c>
      <c r="Y348">
        <f t="shared" si="214"/>
        <v>0</v>
      </c>
      <c r="Z348">
        <f t="shared" si="215"/>
        <v>0</v>
      </c>
      <c r="AA348">
        <f t="shared" si="216"/>
        <v>0</v>
      </c>
      <c r="AB348">
        <f t="shared" si="217"/>
        <v>0</v>
      </c>
      <c r="AC348">
        <f t="shared" si="218"/>
        <v>8.6449577019088467E-8</v>
      </c>
      <c r="AD348">
        <f t="shared" si="219"/>
        <v>0</v>
      </c>
      <c r="AE348">
        <f t="shared" si="220"/>
        <v>8.6449577019088467E-8</v>
      </c>
      <c r="AF348">
        <f t="shared" si="221"/>
        <v>0</v>
      </c>
      <c r="AG348">
        <f t="shared" si="222"/>
        <v>8.6449577019088467E-8</v>
      </c>
      <c r="AH348">
        <f t="shared" si="223"/>
        <v>8.6449577019088467E-8</v>
      </c>
      <c r="AI348">
        <f t="shared" si="224"/>
        <v>0</v>
      </c>
      <c r="AJ348">
        <f t="shared" si="225"/>
        <v>0</v>
      </c>
      <c r="AK348">
        <f t="shared" si="226"/>
        <v>8.6449577019088467E-8</v>
      </c>
      <c r="AL348">
        <f t="shared" si="227"/>
        <v>0</v>
      </c>
      <c r="AM348">
        <f t="shared" si="228"/>
        <v>0</v>
      </c>
      <c r="AN348">
        <f t="shared" si="229"/>
        <v>8.6449577019088467E-8</v>
      </c>
      <c r="AO348">
        <f t="shared" si="230"/>
        <v>0</v>
      </c>
      <c r="AP348">
        <f t="shared" si="231"/>
        <v>0</v>
      </c>
      <c r="AQ348">
        <f t="shared" si="232"/>
        <v>0</v>
      </c>
      <c r="AR348">
        <f t="shared" si="233"/>
        <v>1.0235679430468794E-6</v>
      </c>
      <c r="AS348">
        <f t="shared" si="234"/>
        <v>0</v>
      </c>
      <c r="AT348">
        <f t="shared" si="235"/>
        <v>0</v>
      </c>
      <c r="AU348">
        <f t="shared" si="236"/>
        <v>0</v>
      </c>
    </row>
    <row r="349" spans="1:47" x14ac:dyDescent="0.2">
      <c r="A349">
        <v>348</v>
      </c>
      <c r="B349">
        <f>PoolStates_V2!B349</f>
        <v>0</v>
      </c>
      <c r="C349">
        <f>PoolStates_V2!S349</f>
        <v>0</v>
      </c>
      <c r="D349">
        <f>PoolStates_V2!T349</f>
        <v>8.0001843787097363E-8</v>
      </c>
      <c r="E349">
        <f>PoolStates_V2!Q349</f>
        <v>9.1879402424335642E-11</v>
      </c>
      <c r="F349">
        <f t="shared" si="237"/>
        <v>0</v>
      </c>
      <c r="G349">
        <f t="shared" si="238"/>
        <v>0</v>
      </c>
      <c r="H349">
        <f t="shared" si="239"/>
        <v>1.0235679430468794E-6</v>
      </c>
      <c r="I349">
        <f t="shared" si="200"/>
        <v>9.1879402424335642E-11</v>
      </c>
      <c r="J349">
        <f t="shared" si="201"/>
        <v>0</v>
      </c>
      <c r="K349">
        <f t="shared" si="202"/>
        <v>0</v>
      </c>
      <c r="L349">
        <f t="shared" si="203"/>
        <v>0</v>
      </c>
      <c r="M349">
        <f t="shared" si="204"/>
        <v>0</v>
      </c>
      <c r="N349">
        <f t="shared" si="205"/>
        <v>0</v>
      </c>
      <c r="O349">
        <f t="shared" si="206"/>
        <v>1.023476063644455E-6</v>
      </c>
      <c r="P349">
        <f>M349*Inputs!B6/12</f>
        <v>0</v>
      </c>
      <c r="Q349">
        <f t="shared" si="207"/>
        <v>0</v>
      </c>
      <c r="R349">
        <f>N349*Inputs!B6/12</f>
        <v>0</v>
      </c>
      <c r="S349">
        <f t="shared" si="208"/>
        <v>0</v>
      </c>
      <c r="T349">
        <f t="shared" si="209"/>
        <v>0</v>
      </c>
      <c r="U349">
        <f t="shared" si="210"/>
        <v>0</v>
      </c>
      <c r="V349">
        <f t="shared" si="211"/>
        <v>0</v>
      </c>
      <c r="W349">
        <f t="shared" si="212"/>
        <v>8.0001843787097363E-8</v>
      </c>
      <c r="X349">
        <f t="shared" si="213"/>
        <v>0</v>
      </c>
      <c r="Y349">
        <f t="shared" si="214"/>
        <v>0</v>
      </c>
      <c r="Z349">
        <f t="shared" si="215"/>
        <v>0</v>
      </c>
      <c r="AA349">
        <f t="shared" si="216"/>
        <v>0</v>
      </c>
      <c r="AB349">
        <f t="shared" si="217"/>
        <v>0</v>
      </c>
      <c r="AC349">
        <f t="shared" si="218"/>
        <v>8.0001843787097363E-8</v>
      </c>
      <c r="AD349">
        <f t="shared" si="219"/>
        <v>0</v>
      </c>
      <c r="AE349">
        <f t="shared" si="220"/>
        <v>8.0001843787097363E-8</v>
      </c>
      <c r="AF349">
        <f t="shared" si="221"/>
        <v>0</v>
      </c>
      <c r="AG349">
        <f t="shared" si="222"/>
        <v>8.0001843787097363E-8</v>
      </c>
      <c r="AH349">
        <f t="shared" si="223"/>
        <v>8.0001843787097363E-8</v>
      </c>
      <c r="AI349">
        <f t="shared" si="224"/>
        <v>0</v>
      </c>
      <c r="AJ349">
        <f t="shared" si="225"/>
        <v>0</v>
      </c>
      <c r="AK349">
        <f t="shared" si="226"/>
        <v>8.0001843787097363E-8</v>
      </c>
      <c r="AL349">
        <f t="shared" si="227"/>
        <v>0</v>
      </c>
      <c r="AM349">
        <f t="shared" si="228"/>
        <v>0</v>
      </c>
      <c r="AN349">
        <f t="shared" si="229"/>
        <v>8.0001843787097363E-8</v>
      </c>
      <c r="AO349">
        <f t="shared" si="230"/>
        <v>0</v>
      </c>
      <c r="AP349">
        <f t="shared" si="231"/>
        <v>0</v>
      </c>
      <c r="AQ349">
        <f t="shared" si="232"/>
        <v>0</v>
      </c>
      <c r="AR349">
        <f t="shared" si="233"/>
        <v>9.4347421985735756E-7</v>
      </c>
      <c r="AS349">
        <f t="shared" si="234"/>
        <v>0</v>
      </c>
      <c r="AT349">
        <f t="shared" si="235"/>
        <v>0</v>
      </c>
      <c r="AU349">
        <f t="shared" si="236"/>
        <v>0</v>
      </c>
    </row>
    <row r="350" spans="1:47" x14ac:dyDescent="0.2">
      <c r="A350">
        <v>349</v>
      </c>
      <c r="B350">
        <f>PoolStates_V2!B350</f>
        <v>0</v>
      </c>
      <c r="C350">
        <f>PoolStates_V2!S350</f>
        <v>0</v>
      </c>
      <c r="D350">
        <f>PoolStates_V2!T350</f>
        <v>7.4018668237822456E-8</v>
      </c>
      <c r="E350">
        <f>PoolStates_V2!Q350</f>
        <v>8.2065142768117507E-11</v>
      </c>
      <c r="F350">
        <f t="shared" si="237"/>
        <v>0</v>
      </c>
      <c r="G350">
        <f t="shared" si="238"/>
        <v>0</v>
      </c>
      <c r="H350">
        <f t="shared" si="239"/>
        <v>9.4347421985735756E-7</v>
      </c>
      <c r="I350">
        <f t="shared" si="200"/>
        <v>8.2065142768117507E-11</v>
      </c>
      <c r="J350">
        <f t="shared" si="201"/>
        <v>0</v>
      </c>
      <c r="K350">
        <f t="shared" si="202"/>
        <v>0</v>
      </c>
      <c r="L350">
        <f t="shared" si="203"/>
        <v>0</v>
      </c>
      <c r="M350">
        <f t="shared" si="204"/>
        <v>0</v>
      </c>
      <c r="N350">
        <f t="shared" si="205"/>
        <v>0</v>
      </c>
      <c r="O350">
        <f t="shared" si="206"/>
        <v>9.4339215471458946E-7</v>
      </c>
      <c r="P350">
        <f>M350*Inputs!B6/12</f>
        <v>0</v>
      </c>
      <c r="Q350">
        <f t="shared" si="207"/>
        <v>0</v>
      </c>
      <c r="R350">
        <f>N350*Inputs!B6/12</f>
        <v>0</v>
      </c>
      <c r="S350">
        <f t="shared" si="208"/>
        <v>0</v>
      </c>
      <c r="T350">
        <f t="shared" si="209"/>
        <v>0</v>
      </c>
      <c r="U350">
        <f t="shared" si="210"/>
        <v>0</v>
      </c>
      <c r="V350">
        <f t="shared" si="211"/>
        <v>0</v>
      </c>
      <c r="W350">
        <f t="shared" si="212"/>
        <v>7.4018668237822456E-8</v>
      </c>
      <c r="X350">
        <f t="shared" si="213"/>
        <v>0</v>
      </c>
      <c r="Y350">
        <f t="shared" si="214"/>
        <v>0</v>
      </c>
      <c r="Z350">
        <f t="shared" si="215"/>
        <v>0</v>
      </c>
      <c r="AA350">
        <f t="shared" si="216"/>
        <v>0</v>
      </c>
      <c r="AB350">
        <f t="shared" si="217"/>
        <v>0</v>
      </c>
      <c r="AC350">
        <f t="shared" si="218"/>
        <v>7.4018668237822456E-8</v>
      </c>
      <c r="AD350">
        <f t="shared" si="219"/>
        <v>0</v>
      </c>
      <c r="AE350">
        <f t="shared" si="220"/>
        <v>7.4018668237822456E-8</v>
      </c>
      <c r="AF350">
        <f t="shared" si="221"/>
        <v>0</v>
      </c>
      <c r="AG350">
        <f t="shared" si="222"/>
        <v>7.4018668237822456E-8</v>
      </c>
      <c r="AH350">
        <f t="shared" si="223"/>
        <v>7.4018668237822456E-8</v>
      </c>
      <c r="AI350">
        <f t="shared" si="224"/>
        <v>0</v>
      </c>
      <c r="AJ350">
        <f t="shared" si="225"/>
        <v>0</v>
      </c>
      <c r="AK350">
        <f t="shared" si="226"/>
        <v>7.4018668237822456E-8</v>
      </c>
      <c r="AL350">
        <f t="shared" si="227"/>
        <v>0</v>
      </c>
      <c r="AM350">
        <f t="shared" si="228"/>
        <v>0</v>
      </c>
      <c r="AN350">
        <f t="shared" si="229"/>
        <v>7.4018668237822456E-8</v>
      </c>
      <c r="AO350">
        <f t="shared" si="230"/>
        <v>0</v>
      </c>
      <c r="AP350">
        <f t="shared" si="231"/>
        <v>0</v>
      </c>
      <c r="AQ350">
        <f t="shared" si="232"/>
        <v>0</v>
      </c>
      <c r="AR350">
        <f t="shared" si="233"/>
        <v>8.6937348647676695E-7</v>
      </c>
      <c r="AS350">
        <f t="shared" si="234"/>
        <v>0</v>
      </c>
      <c r="AT350">
        <f t="shared" si="235"/>
        <v>0</v>
      </c>
      <c r="AU350">
        <f t="shared" si="236"/>
        <v>0</v>
      </c>
    </row>
    <row r="351" spans="1:47" x14ac:dyDescent="0.2">
      <c r="A351">
        <v>350</v>
      </c>
      <c r="B351">
        <f>PoolStates_V2!B351</f>
        <v>0</v>
      </c>
      <c r="C351">
        <f>PoolStates_V2!S351</f>
        <v>0</v>
      </c>
      <c r="D351">
        <f>PoolStates_V2!T351</f>
        <v>6.8468807208834124E-8</v>
      </c>
      <c r="E351">
        <f>PoolStates_V2!Q351</f>
        <v>7.3361872346314376E-11</v>
      </c>
      <c r="F351">
        <f t="shared" si="237"/>
        <v>0</v>
      </c>
      <c r="G351">
        <f t="shared" si="238"/>
        <v>0</v>
      </c>
      <c r="H351">
        <f t="shared" si="239"/>
        <v>8.6937348647676695E-7</v>
      </c>
      <c r="I351">
        <f t="shared" si="200"/>
        <v>7.3361872346314376E-11</v>
      </c>
      <c r="J351">
        <f t="shared" si="201"/>
        <v>0</v>
      </c>
      <c r="K351">
        <f t="shared" si="202"/>
        <v>0</v>
      </c>
      <c r="L351">
        <f t="shared" si="203"/>
        <v>0</v>
      </c>
      <c r="M351">
        <f t="shared" si="204"/>
        <v>0</v>
      </c>
      <c r="N351">
        <f t="shared" si="205"/>
        <v>0</v>
      </c>
      <c r="O351">
        <f t="shared" si="206"/>
        <v>8.6930012460442059E-7</v>
      </c>
      <c r="P351">
        <f>M351*Inputs!B6/12</f>
        <v>0</v>
      </c>
      <c r="Q351">
        <f t="shared" si="207"/>
        <v>0</v>
      </c>
      <c r="R351">
        <f>N351*Inputs!B6/12</f>
        <v>0</v>
      </c>
      <c r="S351">
        <f t="shared" si="208"/>
        <v>0</v>
      </c>
      <c r="T351">
        <f t="shared" si="209"/>
        <v>0</v>
      </c>
      <c r="U351">
        <f t="shared" si="210"/>
        <v>0</v>
      </c>
      <c r="V351">
        <f t="shared" si="211"/>
        <v>0</v>
      </c>
      <c r="W351">
        <f t="shared" si="212"/>
        <v>6.8468807208834124E-8</v>
      </c>
      <c r="X351">
        <f t="shared" si="213"/>
        <v>0</v>
      </c>
      <c r="Y351">
        <f t="shared" si="214"/>
        <v>0</v>
      </c>
      <c r="Z351">
        <f t="shared" si="215"/>
        <v>0</v>
      </c>
      <c r="AA351">
        <f t="shared" si="216"/>
        <v>0</v>
      </c>
      <c r="AB351">
        <f t="shared" si="217"/>
        <v>0</v>
      </c>
      <c r="AC351">
        <f t="shared" si="218"/>
        <v>6.8468807208834124E-8</v>
      </c>
      <c r="AD351">
        <f t="shared" si="219"/>
        <v>0</v>
      </c>
      <c r="AE351">
        <f t="shared" si="220"/>
        <v>6.8468807208834124E-8</v>
      </c>
      <c r="AF351">
        <f t="shared" si="221"/>
        <v>0</v>
      </c>
      <c r="AG351">
        <f t="shared" si="222"/>
        <v>6.8468807208834124E-8</v>
      </c>
      <c r="AH351">
        <f t="shared" si="223"/>
        <v>6.8468807208834124E-8</v>
      </c>
      <c r="AI351">
        <f t="shared" si="224"/>
        <v>0</v>
      </c>
      <c r="AJ351">
        <f t="shared" si="225"/>
        <v>0</v>
      </c>
      <c r="AK351">
        <f t="shared" si="226"/>
        <v>6.8468807208834124E-8</v>
      </c>
      <c r="AL351">
        <f t="shared" si="227"/>
        <v>0</v>
      </c>
      <c r="AM351">
        <f t="shared" si="228"/>
        <v>0</v>
      </c>
      <c r="AN351">
        <f t="shared" si="229"/>
        <v>6.8468807208834124E-8</v>
      </c>
      <c r="AO351">
        <f t="shared" si="230"/>
        <v>0</v>
      </c>
      <c r="AP351">
        <f t="shared" si="231"/>
        <v>0</v>
      </c>
      <c r="AQ351">
        <f t="shared" si="232"/>
        <v>0</v>
      </c>
      <c r="AR351">
        <f t="shared" si="233"/>
        <v>8.0083131739558643E-7</v>
      </c>
      <c r="AS351">
        <f t="shared" si="234"/>
        <v>0</v>
      </c>
      <c r="AT351">
        <f t="shared" si="235"/>
        <v>0</v>
      </c>
      <c r="AU351">
        <f t="shared" si="236"/>
        <v>0</v>
      </c>
    </row>
    <row r="352" spans="1:47" x14ac:dyDescent="0.2">
      <c r="A352">
        <v>351</v>
      </c>
      <c r="B352">
        <f>PoolStates_V2!B352</f>
        <v>0</v>
      </c>
      <c r="C352">
        <f>PoolStates_V2!S352</f>
        <v>0</v>
      </c>
      <c r="D352">
        <f>PoolStates_V2!T352</f>
        <v>6.3322804212277026E-8</v>
      </c>
      <c r="E352">
        <f>PoolStates_V2!Q352</f>
        <v>6.5637858762871957E-11</v>
      </c>
      <c r="F352">
        <f t="shared" si="237"/>
        <v>0</v>
      </c>
      <c r="G352">
        <f t="shared" si="238"/>
        <v>0</v>
      </c>
      <c r="H352">
        <f t="shared" si="239"/>
        <v>8.0083131739558643E-7</v>
      </c>
      <c r="I352">
        <f t="shared" si="200"/>
        <v>6.5637858762871957E-11</v>
      </c>
      <c r="J352">
        <f t="shared" si="201"/>
        <v>0</v>
      </c>
      <c r="K352">
        <f t="shared" si="202"/>
        <v>0</v>
      </c>
      <c r="L352">
        <f t="shared" si="203"/>
        <v>0</v>
      </c>
      <c r="M352">
        <f t="shared" si="204"/>
        <v>0</v>
      </c>
      <c r="N352">
        <f t="shared" si="205"/>
        <v>0</v>
      </c>
      <c r="O352">
        <f t="shared" si="206"/>
        <v>8.0076567953682358E-7</v>
      </c>
      <c r="P352">
        <f>M352*Inputs!B6/12</f>
        <v>0</v>
      </c>
      <c r="Q352">
        <f t="shared" si="207"/>
        <v>0</v>
      </c>
      <c r="R352">
        <f>N352*Inputs!B6/12</f>
        <v>0</v>
      </c>
      <c r="S352">
        <f t="shared" si="208"/>
        <v>0</v>
      </c>
      <c r="T352">
        <f t="shared" si="209"/>
        <v>0</v>
      </c>
      <c r="U352">
        <f t="shared" si="210"/>
        <v>0</v>
      </c>
      <c r="V352">
        <f t="shared" si="211"/>
        <v>0</v>
      </c>
      <c r="W352">
        <f t="shared" si="212"/>
        <v>6.3322804212277026E-8</v>
      </c>
      <c r="X352">
        <f t="shared" si="213"/>
        <v>0</v>
      </c>
      <c r="Y352">
        <f t="shared" si="214"/>
        <v>0</v>
      </c>
      <c r="Z352">
        <f t="shared" si="215"/>
        <v>0</v>
      </c>
      <c r="AA352">
        <f t="shared" si="216"/>
        <v>0</v>
      </c>
      <c r="AB352">
        <f t="shared" si="217"/>
        <v>0</v>
      </c>
      <c r="AC352">
        <f t="shared" si="218"/>
        <v>6.3322804212277026E-8</v>
      </c>
      <c r="AD352">
        <f t="shared" si="219"/>
        <v>0</v>
      </c>
      <c r="AE352">
        <f t="shared" si="220"/>
        <v>6.3322804212277026E-8</v>
      </c>
      <c r="AF352">
        <f t="shared" si="221"/>
        <v>0</v>
      </c>
      <c r="AG352">
        <f t="shared" si="222"/>
        <v>6.3322804212277026E-8</v>
      </c>
      <c r="AH352">
        <f t="shared" si="223"/>
        <v>6.3322804212277026E-8</v>
      </c>
      <c r="AI352">
        <f t="shared" si="224"/>
        <v>0</v>
      </c>
      <c r="AJ352">
        <f t="shared" si="225"/>
        <v>0</v>
      </c>
      <c r="AK352">
        <f t="shared" si="226"/>
        <v>6.3322804212277026E-8</v>
      </c>
      <c r="AL352">
        <f t="shared" si="227"/>
        <v>0</v>
      </c>
      <c r="AM352">
        <f t="shared" si="228"/>
        <v>0</v>
      </c>
      <c r="AN352">
        <f t="shared" si="229"/>
        <v>6.3322804212277026E-8</v>
      </c>
      <c r="AO352">
        <f t="shared" si="230"/>
        <v>0</v>
      </c>
      <c r="AP352">
        <f t="shared" si="231"/>
        <v>0</v>
      </c>
      <c r="AQ352">
        <f t="shared" si="232"/>
        <v>0</v>
      </c>
      <c r="AR352">
        <f t="shared" si="233"/>
        <v>7.3744287532454651E-7</v>
      </c>
      <c r="AS352">
        <f t="shared" si="234"/>
        <v>0</v>
      </c>
      <c r="AT352">
        <f t="shared" si="235"/>
        <v>0</v>
      </c>
      <c r="AU352">
        <f t="shared" si="236"/>
        <v>0</v>
      </c>
    </row>
    <row r="353" spans="1:47" x14ac:dyDescent="0.2">
      <c r="A353">
        <v>352</v>
      </c>
      <c r="B353">
        <f>PoolStates_V2!B353</f>
        <v>0</v>
      </c>
      <c r="C353">
        <f>PoolStates_V2!S353</f>
        <v>0</v>
      </c>
      <c r="D353">
        <f>PoolStates_V2!T353</f>
        <v>5.8552934831706753E-8</v>
      </c>
      <c r="E353">
        <f>PoolStates_V2!Q353</f>
        <v>5.8777525526847852E-11</v>
      </c>
      <c r="F353">
        <f t="shared" si="237"/>
        <v>0</v>
      </c>
      <c r="G353">
        <f t="shared" si="238"/>
        <v>0</v>
      </c>
      <c r="H353">
        <f t="shared" si="239"/>
        <v>7.3744287532454651E-7</v>
      </c>
      <c r="I353">
        <f t="shared" si="200"/>
        <v>5.8777525526847852E-11</v>
      </c>
      <c r="J353">
        <f t="shared" si="201"/>
        <v>0</v>
      </c>
      <c r="K353">
        <f t="shared" si="202"/>
        <v>0</v>
      </c>
      <c r="L353">
        <f t="shared" si="203"/>
        <v>0</v>
      </c>
      <c r="M353">
        <f t="shared" si="204"/>
        <v>0</v>
      </c>
      <c r="N353">
        <f t="shared" si="205"/>
        <v>0</v>
      </c>
      <c r="O353">
        <f t="shared" si="206"/>
        <v>7.3738409779901967E-7</v>
      </c>
      <c r="P353">
        <f>M353*Inputs!B6/12</f>
        <v>0</v>
      </c>
      <c r="Q353">
        <f t="shared" si="207"/>
        <v>0</v>
      </c>
      <c r="R353">
        <f>N353*Inputs!B6/12</f>
        <v>0</v>
      </c>
      <c r="S353">
        <f t="shared" si="208"/>
        <v>0</v>
      </c>
      <c r="T353">
        <f t="shared" si="209"/>
        <v>0</v>
      </c>
      <c r="U353">
        <f t="shared" si="210"/>
        <v>0</v>
      </c>
      <c r="V353">
        <f t="shared" si="211"/>
        <v>0</v>
      </c>
      <c r="W353">
        <f t="shared" si="212"/>
        <v>5.8552934831706753E-8</v>
      </c>
      <c r="X353">
        <f t="shared" si="213"/>
        <v>0</v>
      </c>
      <c r="Y353">
        <f t="shared" si="214"/>
        <v>0</v>
      </c>
      <c r="Z353">
        <f t="shared" si="215"/>
        <v>0</v>
      </c>
      <c r="AA353">
        <f t="shared" si="216"/>
        <v>0</v>
      </c>
      <c r="AB353">
        <f t="shared" si="217"/>
        <v>0</v>
      </c>
      <c r="AC353">
        <f t="shared" si="218"/>
        <v>5.8552934831706753E-8</v>
      </c>
      <c r="AD353">
        <f t="shared" si="219"/>
        <v>0</v>
      </c>
      <c r="AE353">
        <f t="shared" si="220"/>
        <v>5.8552934831706753E-8</v>
      </c>
      <c r="AF353">
        <f t="shared" si="221"/>
        <v>0</v>
      </c>
      <c r="AG353">
        <f t="shared" si="222"/>
        <v>5.8552934831706753E-8</v>
      </c>
      <c r="AH353">
        <f t="shared" si="223"/>
        <v>5.8552934831706753E-8</v>
      </c>
      <c r="AI353">
        <f t="shared" si="224"/>
        <v>0</v>
      </c>
      <c r="AJ353">
        <f t="shared" si="225"/>
        <v>0</v>
      </c>
      <c r="AK353">
        <f t="shared" si="226"/>
        <v>5.8552934831706753E-8</v>
      </c>
      <c r="AL353">
        <f t="shared" si="227"/>
        <v>0</v>
      </c>
      <c r="AM353">
        <f t="shared" si="228"/>
        <v>0</v>
      </c>
      <c r="AN353">
        <f t="shared" si="229"/>
        <v>5.8552934831706753E-8</v>
      </c>
      <c r="AO353">
        <f t="shared" si="230"/>
        <v>0</v>
      </c>
      <c r="AP353">
        <f t="shared" si="231"/>
        <v>0</v>
      </c>
      <c r="AQ353">
        <f t="shared" si="232"/>
        <v>0</v>
      </c>
      <c r="AR353">
        <f t="shared" si="233"/>
        <v>6.7883116296731293E-7</v>
      </c>
      <c r="AS353">
        <f t="shared" si="234"/>
        <v>0</v>
      </c>
      <c r="AT353">
        <f t="shared" si="235"/>
        <v>0</v>
      </c>
      <c r="AU353">
        <f t="shared" si="236"/>
        <v>0</v>
      </c>
    </row>
    <row r="354" spans="1:47" x14ac:dyDescent="0.2">
      <c r="A354">
        <v>353</v>
      </c>
      <c r="B354">
        <f>PoolStates_V2!B354</f>
        <v>0</v>
      </c>
      <c r="C354">
        <f>PoolStates_V2!S354</f>
        <v>0</v>
      </c>
      <c r="D354">
        <f>PoolStates_V2!T354</f>
        <v>5.4133145326863115E-8</v>
      </c>
      <c r="E354">
        <f>PoolStates_V2!Q354</f>
        <v>5.2679424674504962E-11</v>
      </c>
      <c r="F354">
        <f t="shared" si="237"/>
        <v>0</v>
      </c>
      <c r="G354">
        <f t="shared" si="238"/>
        <v>0</v>
      </c>
      <c r="H354">
        <f t="shared" si="239"/>
        <v>6.7883116296731293E-7</v>
      </c>
      <c r="I354">
        <f t="shared" si="200"/>
        <v>5.2679424674504962E-11</v>
      </c>
      <c r="J354">
        <f t="shared" si="201"/>
        <v>0</v>
      </c>
      <c r="K354">
        <f t="shared" si="202"/>
        <v>0</v>
      </c>
      <c r="L354">
        <f t="shared" si="203"/>
        <v>0</v>
      </c>
      <c r="M354">
        <f t="shared" si="204"/>
        <v>0</v>
      </c>
      <c r="N354">
        <f t="shared" si="205"/>
        <v>0</v>
      </c>
      <c r="O354">
        <f t="shared" si="206"/>
        <v>6.7877848354263847E-7</v>
      </c>
      <c r="P354">
        <f>M354*Inputs!B6/12</f>
        <v>0</v>
      </c>
      <c r="Q354">
        <f t="shared" si="207"/>
        <v>0</v>
      </c>
      <c r="R354">
        <f>N354*Inputs!B6/12</f>
        <v>0</v>
      </c>
      <c r="S354">
        <f t="shared" si="208"/>
        <v>0</v>
      </c>
      <c r="T354">
        <f t="shared" si="209"/>
        <v>0</v>
      </c>
      <c r="U354">
        <f t="shared" si="210"/>
        <v>0</v>
      </c>
      <c r="V354">
        <f t="shared" si="211"/>
        <v>0</v>
      </c>
      <c r="W354">
        <f t="shared" si="212"/>
        <v>5.4133145326863115E-8</v>
      </c>
      <c r="X354">
        <f t="shared" si="213"/>
        <v>0</v>
      </c>
      <c r="Y354">
        <f t="shared" si="214"/>
        <v>0</v>
      </c>
      <c r="Z354">
        <f t="shared" si="215"/>
        <v>0</v>
      </c>
      <c r="AA354">
        <f t="shared" si="216"/>
        <v>0</v>
      </c>
      <c r="AB354">
        <f t="shared" si="217"/>
        <v>0</v>
      </c>
      <c r="AC354">
        <f t="shared" si="218"/>
        <v>5.4133145326863115E-8</v>
      </c>
      <c r="AD354">
        <f t="shared" si="219"/>
        <v>0</v>
      </c>
      <c r="AE354">
        <f t="shared" si="220"/>
        <v>5.4133145326863115E-8</v>
      </c>
      <c r="AF354">
        <f t="shared" si="221"/>
        <v>0</v>
      </c>
      <c r="AG354">
        <f t="shared" si="222"/>
        <v>5.4133145326863115E-8</v>
      </c>
      <c r="AH354">
        <f t="shared" si="223"/>
        <v>5.4133145326863115E-8</v>
      </c>
      <c r="AI354">
        <f t="shared" si="224"/>
        <v>0</v>
      </c>
      <c r="AJ354">
        <f t="shared" si="225"/>
        <v>0</v>
      </c>
      <c r="AK354">
        <f t="shared" si="226"/>
        <v>5.4133145326863115E-8</v>
      </c>
      <c r="AL354">
        <f t="shared" si="227"/>
        <v>0</v>
      </c>
      <c r="AM354">
        <f t="shared" si="228"/>
        <v>0</v>
      </c>
      <c r="AN354">
        <f t="shared" si="229"/>
        <v>5.4133145326863115E-8</v>
      </c>
      <c r="AO354">
        <f t="shared" si="230"/>
        <v>0</v>
      </c>
      <c r="AP354">
        <f t="shared" si="231"/>
        <v>0</v>
      </c>
      <c r="AQ354">
        <f t="shared" si="232"/>
        <v>0</v>
      </c>
      <c r="AR354">
        <f t="shared" si="233"/>
        <v>6.2464533821577534E-7</v>
      </c>
      <c r="AS354">
        <f t="shared" si="234"/>
        <v>0</v>
      </c>
      <c r="AT354">
        <f t="shared" si="235"/>
        <v>0</v>
      </c>
      <c r="AU354">
        <f t="shared" si="236"/>
        <v>0</v>
      </c>
    </row>
    <row r="355" spans="1:47" x14ac:dyDescent="0.2">
      <c r="A355">
        <v>354</v>
      </c>
      <c r="B355">
        <f>PoolStates_V2!B355</f>
        <v>0</v>
      </c>
      <c r="C355">
        <f>PoolStates_V2!S355</f>
        <v>0</v>
      </c>
      <c r="D355">
        <f>PoolStates_V2!T355</f>
        <v>5.0038986417376052E-8</v>
      </c>
      <c r="E355">
        <f>PoolStates_V2!Q355</f>
        <v>4.7254467617665733E-11</v>
      </c>
      <c r="F355">
        <f t="shared" si="237"/>
        <v>0</v>
      </c>
      <c r="G355">
        <f t="shared" si="238"/>
        <v>0</v>
      </c>
      <c r="H355">
        <f t="shared" si="239"/>
        <v>6.2464533821577534E-7</v>
      </c>
      <c r="I355">
        <f t="shared" si="200"/>
        <v>4.7254467617665733E-11</v>
      </c>
      <c r="J355">
        <f t="shared" si="201"/>
        <v>0</v>
      </c>
      <c r="K355">
        <f t="shared" si="202"/>
        <v>0</v>
      </c>
      <c r="L355">
        <f t="shared" si="203"/>
        <v>0</v>
      </c>
      <c r="M355">
        <f t="shared" si="204"/>
        <v>0</v>
      </c>
      <c r="N355">
        <f t="shared" si="205"/>
        <v>0</v>
      </c>
      <c r="O355">
        <f t="shared" si="206"/>
        <v>6.2459808374815768E-7</v>
      </c>
      <c r="P355">
        <f>M355*Inputs!B6/12</f>
        <v>0</v>
      </c>
      <c r="Q355">
        <f t="shared" si="207"/>
        <v>0</v>
      </c>
      <c r="R355">
        <f>N355*Inputs!B6/12</f>
        <v>0</v>
      </c>
      <c r="S355">
        <f t="shared" si="208"/>
        <v>0</v>
      </c>
      <c r="T355">
        <f t="shared" si="209"/>
        <v>0</v>
      </c>
      <c r="U355">
        <f t="shared" si="210"/>
        <v>0</v>
      </c>
      <c r="V355">
        <f t="shared" si="211"/>
        <v>0</v>
      </c>
      <c r="W355">
        <f t="shared" si="212"/>
        <v>5.0038986417376052E-8</v>
      </c>
      <c r="X355">
        <f t="shared" si="213"/>
        <v>0</v>
      </c>
      <c r="Y355">
        <f t="shared" si="214"/>
        <v>0</v>
      </c>
      <c r="Z355">
        <f t="shared" si="215"/>
        <v>0</v>
      </c>
      <c r="AA355">
        <f t="shared" si="216"/>
        <v>0</v>
      </c>
      <c r="AB355">
        <f t="shared" si="217"/>
        <v>0</v>
      </c>
      <c r="AC355">
        <f t="shared" si="218"/>
        <v>5.0038986417376052E-8</v>
      </c>
      <c r="AD355">
        <f t="shared" si="219"/>
        <v>0</v>
      </c>
      <c r="AE355">
        <f t="shared" si="220"/>
        <v>5.0038986417376052E-8</v>
      </c>
      <c r="AF355">
        <f t="shared" si="221"/>
        <v>0</v>
      </c>
      <c r="AG355">
        <f t="shared" si="222"/>
        <v>5.0038986417376052E-8</v>
      </c>
      <c r="AH355">
        <f t="shared" si="223"/>
        <v>5.0038986417376052E-8</v>
      </c>
      <c r="AI355">
        <f t="shared" si="224"/>
        <v>0</v>
      </c>
      <c r="AJ355">
        <f t="shared" si="225"/>
        <v>0</v>
      </c>
      <c r="AK355">
        <f t="shared" si="226"/>
        <v>5.0038986417376052E-8</v>
      </c>
      <c r="AL355">
        <f t="shared" si="227"/>
        <v>0</v>
      </c>
      <c r="AM355">
        <f t="shared" si="228"/>
        <v>0</v>
      </c>
      <c r="AN355">
        <f t="shared" si="229"/>
        <v>5.0038986417376052E-8</v>
      </c>
      <c r="AO355">
        <f t="shared" si="230"/>
        <v>0</v>
      </c>
      <c r="AP355">
        <f t="shared" si="231"/>
        <v>0</v>
      </c>
      <c r="AQ355">
        <f t="shared" si="232"/>
        <v>0</v>
      </c>
      <c r="AR355">
        <f t="shared" si="233"/>
        <v>5.7455909733078165E-7</v>
      </c>
      <c r="AS355">
        <f t="shared" si="234"/>
        <v>0</v>
      </c>
      <c r="AT355">
        <f t="shared" si="235"/>
        <v>0</v>
      </c>
      <c r="AU355">
        <f t="shared" si="236"/>
        <v>0</v>
      </c>
    </row>
    <row r="356" spans="1:47" x14ac:dyDescent="0.2">
      <c r="A356">
        <v>355</v>
      </c>
      <c r="B356">
        <f>PoolStates_V2!B356</f>
        <v>0</v>
      </c>
      <c r="C356">
        <f>PoolStates_V2!S356</f>
        <v>0</v>
      </c>
      <c r="D356">
        <f>PoolStates_V2!T356</f>
        <v>4.6247543874683929E-8</v>
      </c>
      <c r="E356">
        <f>PoolStates_V2!Q356</f>
        <v>4.2424381019027244E-11</v>
      </c>
      <c r="F356">
        <f t="shared" si="237"/>
        <v>0</v>
      </c>
      <c r="G356">
        <f t="shared" si="238"/>
        <v>0</v>
      </c>
      <c r="H356">
        <f t="shared" si="239"/>
        <v>5.7455909733078165E-7</v>
      </c>
      <c r="I356">
        <f t="shared" si="200"/>
        <v>4.2424381019027244E-11</v>
      </c>
      <c r="J356">
        <f t="shared" si="201"/>
        <v>0</v>
      </c>
      <c r="K356">
        <f t="shared" si="202"/>
        <v>0</v>
      </c>
      <c r="L356">
        <f t="shared" si="203"/>
        <v>0</v>
      </c>
      <c r="M356">
        <f t="shared" si="204"/>
        <v>0</v>
      </c>
      <c r="N356">
        <f t="shared" si="205"/>
        <v>0</v>
      </c>
      <c r="O356">
        <f t="shared" si="206"/>
        <v>5.7451667294976267E-7</v>
      </c>
      <c r="P356">
        <f>M356*Inputs!B6/12</f>
        <v>0</v>
      </c>
      <c r="Q356">
        <f t="shared" si="207"/>
        <v>0</v>
      </c>
      <c r="R356">
        <f>N356*Inputs!B6/12</f>
        <v>0</v>
      </c>
      <c r="S356">
        <f t="shared" si="208"/>
        <v>0</v>
      </c>
      <c r="T356">
        <f t="shared" si="209"/>
        <v>0</v>
      </c>
      <c r="U356">
        <f t="shared" si="210"/>
        <v>0</v>
      </c>
      <c r="V356">
        <f t="shared" si="211"/>
        <v>0</v>
      </c>
      <c r="W356">
        <f t="shared" si="212"/>
        <v>4.6247543874683929E-8</v>
      </c>
      <c r="X356">
        <f t="shared" si="213"/>
        <v>0</v>
      </c>
      <c r="Y356">
        <f t="shared" si="214"/>
        <v>0</v>
      </c>
      <c r="Z356">
        <f t="shared" si="215"/>
        <v>0</v>
      </c>
      <c r="AA356">
        <f t="shared" si="216"/>
        <v>0</v>
      </c>
      <c r="AB356">
        <f t="shared" si="217"/>
        <v>0</v>
      </c>
      <c r="AC356">
        <f t="shared" si="218"/>
        <v>4.6247543874683929E-8</v>
      </c>
      <c r="AD356">
        <f t="shared" si="219"/>
        <v>0</v>
      </c>
      <c r="AE356">
        <f t="shared" si="220"/>
        <v>4.6247543874683929E-8</v>
      </c>
      <c r="AF356">
        <f t="shared" si="221"/>
        <v>0</v>
      </c>
      <c r="AG356">
        <f t="shared" si="222"/>
        <v>4.6247543874683929E-8</v>
      </c>
      <c r="AH356">
        <f t="shared" si="223"/>
        <v>4.6247543874683929E-8</v>
      </c>
      <c r="AI356">
        <f t="shared" si="224"/>
        <v>0</v>
      </c>
      <c r="AJ356">
        <f t="shared" si="225"/>
        <v>0</v>
      </c>
      <c r="AK356">
        <f t="shared" si="226"/>
        <v>4.6247543874683929E-8</v>
      </c>
      <c r="AL356">
        <f t="shared" si="227"/>
        <v>0</v>
      </c>
      <c r="AM356">
        <f t="shared" si="228"/>
        <v>0</v>
      </c>
      <c r="AN356">
        <f t="shared" si="229"/>
        <v>4.6247543874683929E-8</v>
      </c>
      <c r="AO356">
        <f t="shared" si="230"/>
        <v>0</v>
      </c>
      <c r="AP356">
        <f t="shared" si="231"/>
        <v>0</v>
      </c>
      <c r="AQ356">
        <f t="shared" si="232"/>
        <v>0</v>
      </c>
      <c r="AR356">
        <f t="shared" si="233"/>
        <v>5.2826912907507869E-7</v>
      </c>
      <c r="AS356">
        <f t="shared" si="234"/>
        <v>0</v>
      </c>
      <c r="AT356">
        <f t="shared" si="235"/>
        <v>0</v>
      </c>
      <c r="AU356">
        <f t="shared" si="236"/>
        <v>0</v>
      </c>
    </row>
    <row r="357" spans="1:47" x14ac:dyDescent="0.2">
      <c r="A357">
        <v>356</v>
      </c>
      <c r="B357">
        <f>PoolStates_V2!B357</f>
        <v>0</v>
      </c>
      <c r="C357">
        <f>PoolStates_V2!S357</f>
        <v>0</v>
      </c>
      <c r="D357">
        <f>PoolStates_V2!T357</f>
        <v>4.2737367260901767E-8</v>
      </c>
      <c r="E357">
        <f>PoolStates_V2!Q357</f>
        <v>3.8120358788147775E-11</v>
      </c>
      <c r="F357">
        <f t="shared" si="237"/>
        <v>0</v>
      </c>
      <c r="G357">
        <f t="shared" si="238"/>
        <v>0</v>
      </c>
      <c r="H357">
        <f t="shared" si="239"/>
        <v>5.2826912907507869E-7</v>
      </c>
      <c r="I357">
        <f t="shared" si="200"/>
        <v>3.8120358788147775E-11</v>
      </c>
      <c r="J357">
        <f t="shared" si="201"/>
        <v>0</v>
      </c>
      <c r="K357">
        <f t="shared" si="202"/>
        <v>0</v>
      </c>
      <c r="L357">
        <f t="shared" si="203"/>
        <v>0</v>
      </c>
      <c r="M357">
        <f t="shared" si="204"/>
        <v>0</v>
      </c>
      <c r="N357">
        <f t="shared" si="205"/>
        <v>0</v>
      </c>
      <c r="O357">
        <f t="shared" si="206"/>
        <v>5.2823100871629057E-7</v>
      </c>
      <c r="P357">
        <f>M357*Inputs!B6/12</f>
        <v>0</v>
      </c>
      <c r="Q357">
        <f t="shared" si="207"/>
        <v>0</v>
      </c>
      <c r="R357">
        <f>N357*Inputs!B6/12</f>
        <v>0</v>
      </c>
      <c r="S357">
        <f t="shared" si="208"/>
        <v>0</v>
      </c>
      <c r="T357">
        <f t="shared" si="209"/>
        <v>0</v>
      </c>
      <c r="U357">
        <f t="shared" si="210"/>
        <v>0</v>
      </c>
      <c r="V357">
        <f t="shared" si="211"/>
        <v>0</v>
      </c>
      <c r="W357">
        <f t="shared" si="212"/>
        <v>4.2737367260901767E-8</v>
      </c>
      <c r="X357">
        <f t="shared" si="213"/>
        <v>0</v>
      </c>
      <c r="Y357">
        <f t="shared" si="214"/>
        <v>0</v>
      </c>
      <c r="Z357">
        <f t="shared" si="215"/>
        <v>0</v>
      </c>
      <c r="AA357">
        <f t="shared" si="216"/>
        <v>0</v>
      </c>
      <c r="AB357">
        <f t="shared" si="217"/>
        <v>0</v>
      </c>
      <c r="AC357">
        <f t="shared" si="218"/>
        <v>4.2737367260901767E-8</v>
      </c>
      <c r="AD357">
        <f t="shared" si="219"/>
        <v>0</v>
      </c>
      <c r="AE357">
        <f t="shared" si="220"/>
        <v>4.2737367260901767E-8</v>
      </c>
      <c r="AF357">
        <f t="shared" si="221"/>
        <v>0</v>
      </c>
      <c r="AG357">
        <f t="shared" si="222"/>
        <v>4.2737367260901767E-8</v>
      </c>
      <c r="AH357">
        <f t="shared" si="223"/>
        <v>4.2737367260901767E-8</v>
      </c>
      <c r="AI357">
        <f t="shared" si="224"/>
        <v>0</v>
      </c>
      <c r="AJ357">
        <f t="shared" si="225"/>
        <v>0</v>
      </c>
      <c r="AK357">
        <f t="shared" si="226"/>
        <v>4.2737367260901767E-8</v>
      </c>
      <c r="AL357">
        <f t="shared" si="227"/>
        <v>0</v>
      </c>
      <c r="AM357">
        <f t="shared" si="228"/>
        <v>0</v>
      </c>
      <c r="AN357">
        <f t="shared" si="229"/>
        <v>4.2737367260901767E-8</v>
      </c>
      <c r="AO357">
        <f t="shared" si="230"/>
        <v>0</v>
      </c>
      <c r="AP357">
        <f t="shared" si="231"/>
        <v>0</v>
      </c>
      <c r="AQ357">
        <f t="shared" si="232"/>
        <v>0</v>
      </c>
      <c r="AR357">
        <f t="shared" si="233"/>
        <v>4.854936414553888E-7</v>
      </c>
      <c r="AS357">
        <f t="shared" si="234"/>
        <v>0</v>
      </c>
      <c r="AT357">
        <f t="shared" si="235"/>
        <v>0</v>
      </c>
      <c r="AU357">
        <f t="shared" si="236"/>
        <v>0</v>
      </c>
    </row>
    <row r="358" spans="1:47" x14ac:dyDescent="0.2">
      <c r="A358">
        <v>357</v>
      </c>
      <c r="B358">
        <f>PoolStates_V2!B358</f>
        <v>0</v>
      </c>
      <c r="C358">
        <f>PoolStates_V2!S358</f>
        <v>0</v>
      </c>
      <c r="D358">
        <f>PoolStates_V2!T358</f>
        <v>3.9488397906817803E-8</v>
      </c>
      <c r="E358">
        <f>PoolStates_V2!Q358</f>
        <v>3.4281885027742674E-11</v>
      </c>
      <c r="F358">
        <f t="shared" si="237"/>
        <v>0</v>
      </c>
      <c r="G358">
        <f t="shared" si="238"/>
        <v>0</v>
      </c>
      <c r="H358">
        <f t="shared" si="239"/>
        <v>4.854936414553888E-7</v>
      </c>
      <c r="I358">
        <f t="shared" si="200"/>
        <v>3.4281885027742674E-11</v>
      </c>
      <c r="J358">
        <f t="shared" si="201"/>
        <v>0</v>
      </c>
      <c r="K358">
        <f t="shared" si="202"/>
        <v>0</v>
      </c>
      <c r="L358">
        <f t="shared" si="203"/>
        <v>0</v>
      </c>
      <c r="M358">
        <f t="shared" si="204"/>
        <v>0</v>
      </c>
      <c r="N358">
        <f t="shared" si="205"/>
        <v>0</v>
      </c>
      <c r="O358">
        <f t="shared" si="206"/>
        <v>4.8545935957036108E-7</v>
      </c>
      <c r="P358">
        <f>M358*Inputs!B6/12</f>
        <v>0</v>
      </c>
      <c r="Q358">
        <f t="shared" si="207"/>
        <v>0</v>
      </c>
      <c r="R358">
        <f>N358*Inputs!B6/12</f>
        <v>0</v>
      </c>
      <c r="S358">
        <f t="shared" si="208"/>
        <v>0</v>
      </c>
      <c r="T358">
        <f t="shared" si="209"/>
        <v>0</v>
      </c>
      <c r="U358">
        <f t="shared" si="210"/>
        <v>0</v>
      </c>
      <c r="V358">
        <f t="shared" si="211"/>
        <v>0</v>
      </c>
      <c r="W358">
        <f t="shared" si="212"/>
        <v>3.9488397906817803E-8</v>
      </c>
      <c r="X358">
        <f t="shared" si="213"/>
        <v>0</v>
      </c>
      <c r="Y358">
        <f t="shared" si="214"/>
        <v>0</v>
      </c>
      <c r="Z358">
        <f t="shared" si="215"/>
        <v>0</v>
      </c>
      <c r="AA358">
        <f t="shared" si="216"/>
        <v>0</v>
      </c>
      <c r="AB358">
        <f t="shared" si="217"/>
        <v>0</v>
      </c>
      <c r="AC358">
        <f t="shared" si="218"/>
        <v>3.9488397906817803E-8</v>
      </c>
      <c r="AD358">
        <f t="shared" si="219"/>
        <v>0</v>
      </c>
      <c r="AE358">
        <f t="shared" si="220"/>
        <v>3.9488397906817803E-8</v>
      </c>
      <c r="AF358">
        <f t="shared" si="221"/>
        <v>0</v>
      </c>
      <c r="AG358">
        <f t="shared" si="222"/>
        <v>3.9488397906817803E-8</v>
      </c>
      <c r="AH358">
        <f t="shared" si="223"/>
        <v>3.9488397906817803E-8</v>
      </c>
      <c r="AI358">
        <f t="shared" si="224"/>
        <v>0</v>
      </c>
      <c r="AJ358">
        <f t="shared" si="225"/>
        <v>0</v>
      </c>
      <c r="AK358">
        <f t="shared" si="226"/>
        <v>3.9488397906817803E-8</v>
      </c>
      <c r="AL358">
        <f t="shared" si="227"/>
        <v>0</v>
      </c>
      <c r="AM358">
        <f t="shared" si="228"/>
        <v>0</v>
      </c>
      <c r="AN358">
        <f t="shared" si="229"/>
        <v>3.9488397906817803E-8</v>
      </c>
      <c r="AO358">
        <f t="shared" si="230"/>
        <v>0</v>
      </c>
      <c r="AP358">
        <f t="shared" si="231"/>
        <v>0</v>
      </c>
      <c r="AQ358">
        <f t="shared" si="232"/>
        <v>0</v>
      </c>
      <c r="AR358">
        <f t="shared" si="233"/>
        <v>4.4597096166354328E-7</v>
      </c>
      <c r="AS358">
        <f t="shared" si="234"/>
        <v>0</v>
      </c>
      <c r="AT358">
        <f t="shared" si="235"/>
        <v>0</v>
      </c>
      <c r="AU358">
        <f t="shared" si="236"/>
        <v>0</v>
      </c>
    </row>
    <row r="359" spans="1:47" x14ac:dyDescent="0.2">
      <c r="A359">
        <v>358</v>
      </c>
      <c r="B359">
        <f>PoolStates_V2!B359</f>
        <v>0</v>
      </c>
      <c r="C359">
        <f>PoolStates_V2!S359</f>
        <v>0</v>
      </c>
      <c r="D359">
        <f>PoolStates_V2!T359</f>
        <v>3.648189701241105E-8</v>
      </c>
      <c r="E359">
        <f>PoolStates_V2!Q359</f>
        <v>3.0855706011214773E-11</v>
      </c>
      <c r="F359">
        <f t="shared" si="237"/>
        <v>0</v>
      </c>
      <c r="G359">
        <f t="shared" si="238"/>
        <v>0</v>
      </c>
      <c r="H359">
        <f t="shared" si="239"/>
        <v>4.4597096166354328E-7</v>
      </c>
      <c r="I359">
        <f t="shared" si="200"/>
        <v>3.0855706011214773E-11</v>
      </c>
      <c r="J359">
        <f t="shared" si="201"/>
        <v>0</v>
      </c>
      <c r="K359">
        <f t="shared" si="202"/>
        <v>0</v>
      </c>
      <c r="L359">
        <f t="shared" si="203"/>
        <v>0</v>
      </c>
      <c r="M359">
        <f t="shared" si="204"/>
        <v>0</v>
      </c>
      <c r="N359">
        <f t="shared" si="205"/>
        <v>0</v>
      </c>
      <c r="O359">
        <f t="shared" si="206"/>
        <v>4.4594010595753204E-7</v>
      </c>
      <c r="P359">
        <f>M359*Inputs!B6/12</f>
        <v>0</v>
      </c>
      <c r="Q359">
        <f t="shared" si="207"/>
        <v>0</v>
      </c>
      <c r="R359">
        <f>N359*Inputs!B6/12</f>
        <v>0</v>
      </c>
      <c r="S359">
        <f t="shared" si="208"/>
        <v>0</v>
      </c>
      <c r="T359">
        <f t="shared" si="209"/>
        <v>0</v>
      </c>
      <c r="U359">
        <f t="shared" si="210"/>
        <v>0</v>
      </c>
      <c r="V359">
        <f t="shared" si="211"/>
        <v>0</v>
      </c>
      <c r="W359">
        <f t="shared" si="212"/>
        <v>3.648189701241105E-8</v>
      </c>
      <c r="X359">
        <f t="shared" si="213"/>
        <v>0</v>
      </c>
      <c r="Y359">
        <f t="shared" si="214"/>
        <v>0</v>
      </c>
      <c r="Z359">
        <f t="shared" si="215"/>
        <v>0</v>
      </c>
      <c r="AA359">
        <f t="shared" si="216"/>
        <v>0</v>
      </c>
      <c r="AB359">
        <f t="shared" si="217"/>
        <v>0</v>
      </c>
      <c r="AC359">
        <f t="shared" si="218"/>
        <v>3.648189701241105E-8</v>
      </c>
      <c r="AD359">
        <f t="shared" si="219"/>
        <v>0</v>
      </c>
      <c r="AE359">
        <f t="shared" si="220"/>
        <v>3.648189701241105E-8</v>
      </c>
      <c r="AF359">
        <f t="shared" si="221"/>
        <v>0</v>
      </c>
      <c r="AG359">
        <f t="shared" si="222"/>
        <v>3.648189701241105E-8</v>
      </c>
      <c r="AH359">
        <f t="shared" si="223"/>
        <v>3.648189701241105E-8</v>
      </c>
      <c r="AI359">
        <f t="shared" si="224"/>
        <v>0</v>
      </c>
      <c r="AJ359">
        <f t="shared" si="225"/>
        <v>0</v>
      </c>
      <c r="AK359">
        <f t="shared" si="226"/>
        <v>3.648189701241105E-8</v>
      </c>
      <c r="AL359">
        <f t="shared" si="227"/>
        <v>0</v>
      </c>
      <c r="AM359">
        <f t="shared" si="228"/>
        <v>0</v>
      </c>
      <c r="AN359">
        <f t="shared" si="229"/>
        <v>3.648189701241105E-8</v>
      </c>
      <c r="AO359">
        <f t="shared" si="230"/>
        <v>0</v>
      </c>
      <c r="AP359">
        <f t="shared" si="231"/>
        <v>0</v>
      </c>
      <c r="AQ359">
        <f t="shared" si="232"/>
        <v>0</v>
      </c>
      <c r="AR359">
        <f t="shared" si="233"/>
        <v>4.0945820894512098E-7</v>
      </c>
      <c r="AS359">
        <f t="shared" si="234"/>
        <v>0</v>
      </c>
      <c r="AT359">
        <f t="shared" si="235"/>
        <v>0</v>
      </c>
      <c r="AU359">
        <f t="shared" si="236"/>
        <v>0</v>
      </c>
    </row>
    <row r="360" spans="1:47" x14ac:dyDescent="0.2">
      <c r="A360">
        <v>359</v>
      </c>
      <c r="B360">
        <f>PoolStates_V2!B360</f>
        <v>0</v>
      </c>
      <c r="C360">
        <f>PoolStates_V2!S360</f>
        <v>0</v>
      </c>
      <c r="D360">
        <f>PoolStates_V2!T360</f>
        <v>3.3700374576901783E-8</v>
      </c>
      <c r="E360">
        <f>PoolStates_V2!Q360</f>
        <v>2.7794932102003534E-11</v>
      </c>
      <c r="F360">
        <f t="shared" si="237"/>
        <v>0</v>
      </c>
      <c r="G360">
        <f t="shared" si="238"/>
        <v>0</v>
      </c>
      <c r="H360">
        <f t="shared" si="239"/>
        <v>4.0945820894512098E-7</v>
      </c>
      <c r="I360">
        <f t="shared" si="200"/>
        <v>2.7794932102003534E-11</v>
      </c>
      <c r="J360">
        <f t="shared" si="201"/>
        <v>0</v>
      </c>
      <c r="K360">
        <f t="shared" si="202"/>
        <v>0</v>
      </c>
      <c r="L360">
        <f t="shared" si="203"/>
        <v>0</v>
      </c>
      <c r="M360">
        <f t="shared" si="204"/>
        <v>0</v>
      </c>
      <c r="N360">
        <f t="shared" si="205"/>
        <v>0</v>
      </c>
      <c r="O360">
        <f t="shared" si="206"/>
        <v>4.0943041401301895E-7</v>
      </c>
      <c r="P360">
        <f>M360*Inputs!B6/12</f>
        <v>0</v>
      </c>
      <c r="Q360">
        <f t="shared" si="207"/>
        <v>0</v>
      </c>
      <c r="R360">
        <f>N360*Inputs!B6/12</f>
        <v>0</v>
      </c>
      <c r="S360">
        <f t="shared" si="208"/>
        <v>0</v>
      </c>
      <c r="T360">
        <f t="shared" si="209"/>
        <v>0</v>
      </c>
      <c r="U360">
        <f t="shared" si="210"/>
        <v>0</v>
      </c>
      <c r="V360">
        <f t="shared" si="211"/>
        <v>0</v>
      </c>
      <c r="W360">
        <f t="shared" si="212"/>
        <v>3.3700374576901783E-8</v>
      </c>
      <c r="X360">
        <f t="shared" si="213"/>
        <v>0</v>
      </c>
      <c r="Y360">
        <f t="shared" si="214"/>
        <v>0</v>
      </c>
      <c r="Z360">
        <f t="shared" si="215"/>
        <v>0</v>
      </c>
      <c r="AA360">
        <f t="shared" si="216"/>
        <v>0</v>
      </c>
      <c r="AB360">
        <f t="shared" si="217"/>
        <v>0</v>
      </c>
      <c r="AC360">
        <f t="shared" si="218"/>
        <v>3.3700374576901783E-8</v>
      </c>
      <c r="AD360">
        <f t="shared" si="219"/>
        <v>0</v>
      </c>
      <c r="AE360">
        <f t="shared" si="220"/>
        <v>3.3700374576901783E-8</v>
      </c>
      <c r="AF360">
        <f t="shared" si="221"/>
        <v>0</v>
      </c>
      <c r="AG360">
        <f t="shared" si="222"/>
        <v>3.3700374576901783E-8</v>
      </c>
      <c r="AH360">
        <f t="shared" si="223"/>
        <v>3.3700374576901783E-8</v>
      </c>
      <c r="AI360">
        <f t="shared" si="224"/>
        <v>0</v>
      </c>
      <c r="AJ360">
        <f t="shared" si="225"/>
        <v>0</v>
      </c>
      <c r="AK360">
        <f t="shared" si="226"/>
        <v>3.3700374576901783E-8</v>
      </c>
      <c r="AL360">
        <f t="shared" si="227"/>
        <v>0</v>
      </c>
      <c r="AM360">
        <f t="shared" si="228"/>
        <v>0</v>
      </c>
      <c r="AN360">
        <f t="shared" si="229"/>
        <v>3.3700374576901783E-8</v>
      </c>
      <c r="AO360">
        <f t="shared" si="230"/>
        <v>0</v>
      </c>
      <c r="AP360">
        <f t="shared" si="231"/>
        <v>0</v>
      </c>
      <c r="AQ360">
        <f t="shared" si="232"/>
        <v>0</v>
      </c>
      <c r="AR360">
        <f t="shared" si="233"/>
        <v>3.7573003943611717E-7</v>
      </c>
      <c r="AS360">
        <f t="shared" si="234"/>
        <v>0</v>
      </c>
      <c r="AT360">
        <f t="shared" si="235"/>
        <v>0</v>
      </c>
      <c r="AU360">
        <f t="shared" si="236"/>
        <v>0</v>
      </c>
    </row>
    <row r="361" spans="1:47" x14ac:dyDescent="0.2">
      <c r="A361">
        <v>360</v>
      </c>
      <c r="B361">
        <f>PoolStates_V2!B361</f>
        <v>0</v>
      </c>
      <c r="C361">
        <f>PoolStates_V2!S361</f>
        <v>0</v>
      </c>
      <c r="D361">
        <f>PoolStates_V2!T361</f>
        <v>3.1127519716744359E-8</v>
      </c>
      <c r="E361">
        <f>PoolStates_V2!Q361</f>
        <v>2.5058252988174456E-11</v>
      </c>
      <c r="F361">
        <f t="shared" si="237"/>
        <v>0</v>
      </c>
      <c r="G361">
        <f t="shared" si="238"/>
        <v>0</v>
      </c>
      <c r="H361">
        <f t="shared" si="239"/>
        <v>3.7573003943611717E-7</v>
      </c>
      <c r="I361">
        <f t="shared" si="200"/>
        <v>2.5058252988174456E-11</v>
      </c>
      <c r="J361">
        <f t="shared" si="201"/>
        <v>0</v>
      </c>
      <c r="K361">
        <f t="shared" si="202"/>
        <v>0</v>
      </c>
      <c r="L361">
        <f t="shared" si="203"/>
        <v>0</v>
      </c>
      <c r="M361">
        <f t="shared" si="204"/>
        <v>0</v>
      </c>
      <c r="N361">
        <f t="shared" si="205"/>
        <v>0</v>
      </c>
      <c r="O361">
        <f t="shared" si="206"/>
        <v>3.7570498118312902E-7</v>
      </c>
      <c r="P361">
        <f>M361*Inputs!B6/12</f>
        <v>0</v>
      </c>
      <c r="Q361">
        <f t="shared" si="207"/>
        <v>0</v>
      </c>
      <c r="R361">
        <f>N361*Inputs!B6/12</f>
        <v>0</v>
      </c>
      <c r="S361">
        <f t="shared" si="208"/>
        <v>0</v>
      </c>
      <c r="T361">
        <f t="shared" si="209"/>
        <v>0</v>
      </c>
      <c r="U361">
        <f t="shared" si="210"/>
        <v>0</v>
      </c>
      <c r="V361">
        <f t="shared" si="211"/>
        <v>0</v>
      </c>
      <c r="W361">
        <f t="shared" si="212"/>
        <v>3.1127519716744359E-8</v>
      </c>
      <c r="X361">
        <f t="shared" si="213"/>
        <v>0</v>
      </c>
      <c r="Y361">
        <f t="shared" si="214"/>
        <v>0</v>
      </c>
      <c r="Z361">
        <f t="shared" si="215"/>
        <v>0</v>
      </c>
      <c r="AA361">
        <f t="shared" si="216"/>
        <v>0</v>
      </c>
      <c r="AB361">
        <f t="shared" si="217"/>
        <v>0</v>
      </c>
      <c r="AC361">
        <f t="shared" si="218"/>
        <v>3.1127519716744359E-8</v>
      </c>
      <c r="AD361">
        <f t="shared" si="219"/>
        <v>0</v>
      </c>
      <c r="AE361">
        <f t="shared" si="220"/>
        <v>3.1127519716744359E-8</v>
      </c>
      <c r="AF361">
        <f t="shared" si="221"/>
        <v>0</v>
      </c>
      <c r="AG361">
        <f t="shared" si="222"/>
        <v>3.1127519716744359E-8</v>
      </c>
      <c r="AH361">
        <f t="shared" si="223"/>
        <v>3.1127519716744359E-8</v>
      </c>
      <c r="AI361">
        <f t="shared" si="224"/>
        <v>0</v>
      </c>
      <c r="AJ361">
        <f t="shared" si="225"/>
        <v>0</v>
      </c>
      <c r="AK361">
        <f t="shared" si="226"/>
        <v>3.1127519716744359E-8</v>
      </c>
      <c r="AL361">
        <f t="shared" si="227"/>
        <v>0</v>
      </c>
      <c r="AM361">
        <f t="shared" si="228"/>
        <v>0</v>
      </c>
      <c r="AN361">
        <f t="shared" si="229"/>
        <v>3.1127519716744359E-8</v>
      </c>
      <c r="AO361">
        <f t="shared" si="230"/>
        <v>0</v>
      </c>
      <c r="AP361">
        <f t="shared" si="231"/>
        <v>0</v>
      </c>
      <c r="AQ361">
        <f t="shared" si="232"/>
        <v>0</v>
      </c>
      <c r="AR361">
        <f t="shared" si="233"/>
        <v>3.4457746146638469E-7</v>
      </c>
      <c r="AS361">
        <f t="shared" si="234"/>
        <v>0</v>
      </c>
      <c r="AT361">
        <f t="shared" si="235"/>
        <v>0</v>
      </c>
      <c r="AU361">
        <f t="shared" si="236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8" customWidth="1"/>
  </cols>
  <sheetData>
    <row r="1" spans="1:4" x14ac:dyDescent="0.2">
      <c r="A1" s="1" t="s">
        <v>86</v>
      </c>
      <c r="B1" s="1" t="s">
        <v>87</v>
      </c>
      <c r="C1" s="1" t="s">
        <v>88</v>
      </c>
      <c r="D1" s="1" t="s">
        <v>89</v>
      </c>
    </row>
    <row r="2" spans="1:4" x14ac:dyDescent="0.2">
      <c r="A2" t="s">
        <v>150</v>
      </c>
      <c r="B2">
        <f>MAX(MAX(Waterfall_V2!AS2:AS361),-MIN(Waterfall_V2!AS2:AS361))</f>
        <v>0</v>
      </c>
      <c r="C2" t="str">
        <f>IF(B2&lt;=0.01,"PASS","FAIL")</f>
        <v>PASS</v>
      </c>
      <c r="D2" t="s">
        <v>91</v>
      </c>
    </row>
    <row r="3" spans="1:4" x14ac:dyDescent="0.2">
      <c r="A3" t="s">
        <v>151</v>
      </c>
      <c r="B3">
        <f>MAX(MAX(Waterfall_V2!AT2:AT361),-MIN(Waterfall_V2!AT2:AT361))</f>
        <v>0</v>
      </c>
      <c r="C3" t="str">
        <f>IF(B3&lt;=0.01,"PASS","FAIL")</f>
        <v>PASS</v>
      </c>
      <c r="D3" t="s">
        <v>91</v>
      </c>
    </row>
    <row r="4" spans="1:4" x14ac:dyDescent="0.2">
      <c r="A4" t="s">
        <v>152</v>
      </c>
      <c r="B4">
        <f>MAX(MAX(Waterfall_V2!AU2:AU361),-MIN(Waterfall_V2!AU2:AU361))</f>
        <v>0</v>
      </c>
      <c r="C4" t="str">
        <f>IF(B4&lt;=0.01,"PASS","FAIL")</f>
        <v>PASS</v>
      </c>
      <c r="D4" t="s">
        <v>91</v>
      </c>
    </row>
    <row r="5" spans="1:4" x14ac:dyDescent="0.2">
      <c r="A5" t="s">
        <v>153</v>
      </c>
      <c r="B5">
        <f>MAX(MAX(PoolStates_V2!AB2:AB361),-MIN(PoolStates_V2!AB2:AB361))</f>
        <v>0</v>
      </c>
      <c r="C5" t="str">
        <f>IF(B5&lt;=0.01,"PASS","FAIL")</f>
        <v>PASS</v>
      </c>
      <c r="D5" t="s">
        <v>91</v>
      </c>
    </row>
    <row r="6" spans="1:4" x14ac:dyDescent="0.2">
      <c r="A6" t="s">
        <v>154</v>
      </c>
      <c r="B6">
        <f>MIN(PoolStates_V2!U2:U361,PoolStates_V2!V2:V361,PoolStates_V2!W2:W361,Waterfall_V2!AP2:AP361,Waterfall_V2!AQ2:AQ361,Waterfall_V2!AR2:AR361)</f>
        <v>0</v>
      </c>
      <c r="C6" t="str">
        <f>IF(B6&gt;=-0.01,"PASS","FAIL")</f>
        <v>PASS</v>
      </c>
      <c r="D6" t="s">
        <v>95</v>
      </c>
    </row>
    <row r="7" spans="1:4" x14ac:dyDescent="0.2">
      <c r="A7" t="s">
        <v>155</v>
      </c>
      <c r="B7">
        <f>SUMPRODUCT(--(PoolStates_V2!B3:B361&lt;PoolStates_V2!B2:B360))</f>
        <v>0</v>
      </c>
      <c r="C7" t="str">
        <f>IF(B7=0,"PASS","FAIL")</f>
        <v>PASS</v>
      </c>
      <c r="D7" t="s">
        <v>156</v>
      </c>
    </row>
    <row r="8" spans="1:4" x14ac:dyDescent="0.2">
      <c r="A8" t="s">
        <v>157</v>
      </c>
      <c r="B8">
        <f>SUMPRODUCT(--(PoolStates_V2!B2:B361&lt;PoolStates_V2!AA2:AA361))</f>
        <v>0</v>
      </c>
      <c r="C8" t="str">
        <f>IF(B8=0,"PASS","FAIL")</f>
        <v>PASS</v>
      </c>
      <c r="D8" t="s">
        <v>156</v>
      </c>
    </row>
    <row r="9" spans="1:4" x14ac:dyDescent="0.2">
      <c r="A9" t="s">
        <v>158</v>
      </c>
      <c r="B9">
        <f>IF(AND(Scenarios_V2!B2&gt;=Scenarios_V2!B3,Scenarios_V2!B3&gt;=Scenarios_V2!B4,Scenarios_V2!C2&lt;=Scenarios_V2!C3,Scenarios_V2!C3&lt;=Scenarios_V2!C4,Scenarios_V2!D2&lt;=Scenarios_V2!D3,Scenarios_V2!D3&lt;=Scenarios_V2!D4,Scenarios_V2!E2&lt;=Scenarios_V2!E3,Scenarios_V2!E3&lt;=Scenarios_V2!E4),1,0)</f>
        <v>1</v>
      </c>
      <c r="C9" t="str">
        <f>IF(B9=1,"PASS","FAIL")</f>
        <v>PASS</v>
      </c>
      <c r="D9" t="s">
        <v>97</v>
      </c>
    </row>
    <row r="11" spans="1:4" x14ac:dyDescent="0.2">
      <c r="A11" s="1" t="s">
        <v>159</v>
      </c>
    </row>
    <row r="12" spans="1:4" x14ac:dyDescent="0.2">
      <c r="A12" t="s">
        <v>160</v>
      </c>
    </row>
    <row r="13" spans="1:4" x14ac:dyDescent="0.2">
      <c r="A13" t="s">
        <v>100</v>
      </c>
    </row>
    <row r="14" spans="1:4" x14ac:dyDescent="0.2">
      <c r="A14" t="s">
        <v>161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6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13" width="17" customWidth="1"/>
  </cols>
  <sheetData>
    <row r="1" spans="1:13" x14ac:dyDescent="0.2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</row>
    <row r="2" spans="1:13" x14ac:dyDescent="0.2">
      <c r="A2" t="str">
        <f>Inputs!B14</f>
        <v>Base</v>
      </c>
      <c r="B2">
        <f>LoanPool!A2</f>
        <v>1</v>
      </c>
      <c r="C2">
        <f>LoanPool!B2</f>
        <v>300000000</v>
      </c>
      <c r="D2">
        <f>LoanPool!J2</f>
        <v>297101554.54412341</v>
      </c>
      <c r="E2">
        <f>LoanPool!L2</f>
        <v>1312500</v>
      </c>
      <c r="F2">
        <f>LoanPool!M2</f>
        <v>2804838.9107707394</v>
      </c>
      <c r="G2">
        <f>LoanPool!H2</f>
        <v>93606.545105873738</v>
      </c>
      <c r="H2">
        <f>Waterfall!X2</f>
        <v>237195161.08922926</v>
      </c>
      <c r="I2">
        <f>Waterfall!Y2</f>
        <v>45000000</v>
      </c>
      <c r="J2">
        <f>Waterfall!Z2</f>
        <v>14906393.454894125</v>
      </c>
      <c r="K2">
        <f>Waterfall!AA2</f>
        <v>0</v>
      </c>
      <c r="L2">
        <f>Waterfall!AB2</f>
        <v>0</v>
      </c>
      <c r="M2">
        <f>Waterfall!AC2</f>
        <v>0</v>
      </c>
    </row>
    <row r="3" spans="1:13" x14ac:dyDescent="0.2">
      <c r="A3" t="str">
        <f>Inputs!B14</f>
        <v>Base</v>
      </c>
      <c r="B3">
        <f>LoanPool!A3</f>
        <v>2</v>
      </c>
      <c r="C3">
        <f>LoanPool!B3</f>
        <v>297101554.54412341</v>
      </c>
      <c r="D3">
        <f>LoanPool!J3</f>
        <v>294228328.60878897</v>
      </c>
      <c r="E3">
        <f>LoanPool!L3</f>
        <v>1299819.30113054</v>
      </c>
      <c r="F3">
        <f>LoanPool!M3</f>
        <v>2780524.6455158913</v>
      </c>
      <c r="G3">
        <f>LoanPool!H3</f>
        <v>92701.289818576668</v>
      </c>
      <c r="H3">
        <f>Waterfall!X3</f>
        <v>234414636.44371337</v>
      </c>
      <c r="I3">
        <f>Waterfall!Y3</f>
        <v>45000000</v>
      </c>
      <c r="J3">
        <f>Waterfall!Z3</f>
        <v>14813692.165075548</v>
      </c>
      <c r="K3">
        <f>Waterfall!AA3</f>
        <v>0</v>
      </c>
      <c r="L3">
        <f>Waterfall!AB3</f>
        <v>0</v>
      </c>
      <c r="M3">
        <f>Waterfall!AC3</f>
        <v>0</v>
      </c>
    </row>
    <row r="4" spans="1:13" x14ac:dyDescent="0.2">
      <c r="A4" t="str">
        <f>Inputs!B14</f>
        <v>Base</v>
      </c>
      <c r="B4">
        <f>LoanPool!A4</f>
        <v>3</v>
      </c>
      <c r="C4">
        <f>LoanPool!B4</f>
        <v>294228328.60878897</v>
      </c>
      <c r="D4">
        <f>LoanPool!J4</f>
        <v>291380110.81706482</v>
      </c>
      <c r="E4">
        <f>LoanPool!L4</f>
        <v>1287248.937663452</v>
      </c>
      <c r="F4">
        <f>LoanPool!M4</f>
        <v>2756413.8779815696</v>
      </c>
      <c r="G4">
        <f>LoanPool!H4</f>
        <v>91803.913742569697</v>
      </c>
      <c r="H4">
        <f>Waterfall!X4</f>
        <v>231658222.56573179</v>
      </c>
      <c r="I4">
        <f>Waterfall!Y4</f>
        <v>45000000</v>
      </c>
      <c r="J4">
        <f>Waterfall!Z4</f>
        <v>14721888.251332978</v>
      </c>
      <c r="K4">
        <f>Waterfall!AA4</f>
        <v>0</v>
      </c>
      <c r="L4">
        <f>Waterfall!AB4</f>
        <v>0</v>
      </c>
      <c r="M4">
        <f>Waterfall!AC4</f>
        <v>0</v>
      </c>
    </row>
    <row r="5" spans="1:13" x14ac:dyDescent="0.2">
      <c r="A5" t="str">
        <f>Inputs!B14</f>
        <v>Base</v>
      </c>
      <c r="B5">
        <f>LoanPool!A5</f>
        <v>4</v>
      </c>
      <c r="C5">
        <f>LoanPool!B5</f>
        <v>291380110.81706482</v>
      </c>
      <c r="D5">
        <f>LoanPool!J5</f>
        <v>288556691.53776234</v>
      </c>
      <c r="E5">
        <f>LoanPool!L5</f>
        <v>1274787.9848246588</v>
      </c>
      <c r="F5">
        <f>LoanPool!M5</f>
        <v>2732504.928472267</v>
      </c>
      <c r="G5">
        <f>LoanPool!H5</f>
        <v>90914.350830230338</v>
      </c>
      <c r="H5">
        <f>Waterfall!X5</f>
        <v>228925717.63725951</v>
      </c>
      <c r="I5">
        <f>Waterfall!Y5</f>
        <v>45000000</v>
      </c>
      <c r="J5">
        <f>Waterfall!Z5</f>
        <v>14630973.900502747</v>
      </c>
      <c r="K5">
        <f>Waterfall!AA5</f>
        <v>0</v>
      </c>
      <c r="L5">
        <f>Waterfall!AB5</f>
        <v>0</v>
      </c>
      <c r="M5">
        <f>Waterfall!AC5</f>
        <v>0</v>
      </c>
    </row>
    <row r="6" spans="1:13" x14ac:dyDescent="0.2">
      <c r="A6" t="str">
        <f>Inputs!B14</f>
        <v>Base</v>
      </c>
      <c r="B6">
        <f>LoanPool!A6</f>
        <v>5</v>
      </c>
      <c r="C6">
        <f>LoanPool!B6</f>
        <v>288556691.53776234</v>
      </c>
      <c r="D6">
        <f>LoanPool!J6</f>
        <v>285757862.87110448</v>
      </c>
      <c r="E6">
        <f>LoanPool!L6</f>
        <v>1262435.5254777104</v>
      </c>
      <c r="F6">
        <f>LoanPool!M6</f>
        <v>2708796.1310784365</v>
      </c>
      <c r="G6">
        <f>LoanPool!H6</f>
        <v>90032.53557944471</v>
      </c>
      <c r="H6">
        <f>Waterfall!X6</f>
        <v>226216921.50618109</v>
      </c>
      <c r="I6">
        <f>Waterfall!Y6</f>
        <v>45000000</v>
      </c>
      <c r="J6">
        <f>Waterfall!Z6</f>
        <v>14540941.364923302</v>
      </c>
      <c r="K6">
        <f>Waterfall!AA6</f>
        <v>0</v>
      </c>
      <c r="L6">
        <f>Waterfall!AB6</f>
        <v>0</v>
      </c>
      <c r="M6">
        <f>Waterfall!AC6</f>
        <v>0</v>
      </c>
    </row>
    <row r="7" spans="1:13" x14ac:dyDescent="0.2">
      <c r="A7" t="str">
        <f>Inputs!B14</f>
        <v>Base</v>
      </c>
      <c r="B7">
        <f>LoanPool!A7</f>
        <v>6</v>
      </c>
      <c r="C7">
        <f>LoanPool!B7</f>
        <v>285757862.87110448</v>
      </c>
      <c r="D7">
        <f>LoanPool!J7</f>
        <v>282983418.63451171</v>
      </c>
      <c r="E7">
        <f>LoanPool!L7</f>
        <v>1250190.6500610821</v>
      </c>
      <c r="F7">
        <f>LoanPool!M7</f>
        <v>2685285.833563616</v>
      </c>
      <c r="G7">
        <f>LoanPool!H7</f>
        <v>89158.403029129229</v>
      </c>
      <c r="H7">
        <f>Waterfall!X7</f>
        <v>223531635.67261747</v>
      </c>
      <c r="I7">
        <f>Waterfall!Y7</f>
        <v>45000000</v>
      </c>
      <c r="J7">
        <f>Waterfall!Z7</f>
        <v>14451782.961894173</v>
      </c>
      <c r="K7">
        <f>Waterfall!AA7</f>
        <v>0</v>
      </c>
      <c r="L7">
        <f>Waterfall!AB7</f>
        <v>0</v>
      </c>
      <c r="M7">
        <f>Waterfall!AC7</f>
        <v>0</v>
      </c>
    </row>
    <row r="8" spans="1:13" x14ac:dyDescent="0.2">
      <c r="A8" t="str">
        <f>Inputs!B14</f>
        <v>Base</v>
      </c>
      <c r="B8">
        <f>LoanPool!A8</f>
        <v>7</v>
      </c>
      <c r="C8">
        <f>LoanPool!B8</f>
        <v>282983418.63451171</v>
      </c>
      <c r="D8">
        <f>LoanPool!J8</f>
        <v>280233154.34850448</v>
      </c>
      <c r="E8">
        <f>LoanPool!L8</f>
        <v>1238052.4565259886</v>
      </c>
      <c r="F8">
        <f>LoanPool!M8</f>
        <v>2661972.3972524637</v>
      </c>
      <c r="G8">
        <f>LoanPool!H8</f>
        <v>88291.888754788815</v>
      </c>
      <c r="H8">
        <f>Waterfall!X8</f>
        <v>220869663.275365</v>
      </c>
      <c r="I8">
        <f>Waterfall!Y8</f>
        <v>45000000</v>
      </c>
      <c r="J8">
        <f>Waterfall!Z8</f>
        <v>14363491.073139384</v>
      </c>
      <c r="K8">
        <f>Waterfall!AA8</f>
        <v>0</v>
      </c>
      <c r="L8">
        <f>Waterfall!AB8</f>
        <v>0</v>
      </c>
      <c r="M8">
        <f>Waterfall!AC8</f>
        <v>0</v>
      </c>
    </row>
    <row r="9" spans="1:13" x14ac:dyDescent="0.2">
      <c r="A9" t="str">
        <f>Inputs!B14</f>
        <v>Base</v>
      </c>
      <c r="B9">
        <f>LoanPool!A9</f>
        <v>8</v>
      </c>
      <c r="C9">
        <f>LoanPool!B9</f>
        <v>280233154.34850448</v>
      </c>
      <c r="D9">
        <f>LoanPool!J9</f>
        <v>277506867.22272062</v>
      </c>
      <c r="E9">
        <f>LoanPool!L9</f>
        <v>1226020.0502747071</v>
      </c>
      <c r="F9">
        <f>LoanPool!M9</f>
        <v>2638854.1969197229</v>
      </c>
      <c r="G9">
        <f>LoanPool!H9</f>
        <v>87432.928864111615</v>
      </c>
      <c r="H9">
        <f>Waterfall!X9</f>
        <v>218230809.07844529</v>
      </c>
      <c r="I9">
        <f>Waterfall!Y9</f>
        <v>45000000</v>
      </c>
      <c r="J9">
        <f>Waterfall!Z9</f>
        <v>14276058.144275272</v>
      </c>
      <c r="K9">
        <f>Waterfall!AA9</f>
        <v>0</v>
      </c>
      <c r="L9">
        <f>Waterfall!AB9</f>
        <v>0</v>
      </c>
      <c r="M9">
        <f>Waterfall!AC9</f>
        <v>0</v>
      </c>
    </row>
    <row r="10" spans="1:13" x14ac:dyDescent="0.2">
      <c r="A10" t="str">
        <f>Inputs!B14</f>
        <v>Base</v>
      </c>
      <c r="B10">
        <f>LoanPool!A10</f>
        <v>9</v>
      </c>
      <c r="C10">
        <f>LoanPool!B10</f>
        <v>277506867.22272062</v>
      </c>
      <c r="D10">
        <f>LoanPool!J10</f>
        <v>274804356.14204794</v>
      </c>
      <c r="E10">
        <f>LoanPool!L10</f>
        <v>1214092.5440994028</v>
      </c>
      <c r="F10">
        <f>LoanPool!M10</f>
        <v>2615929.6206800817</v>
      </c>
      <c r="G10">
        <f>LoanPool!H10</f>
        <v>86581.459992599732</v>
      </c>
      <c r="H10">
        <f>Waterfall!X10</f>
        <v>215614879.45776519</v>
      </c>
      <c r="I10">
        <f>Waterfall!Y10</f>
        <v>45000000</v>
      </c>
      <c r="J10">
        <f>Waterfall!Z10</f>
        <v>14189476.684282672</v>
      </c>
      <c r="K10">
        <f>Waterfall!AA10</f>
        <v>0</v>
      </c>
      <c r="L10">
        <f>Waterfall!AB10</f>
        <v>0</v>
      </c>
      <c r="M10">
        <f>Waterfall!AC10</f>
        <v>0</v>
      </c>
    </row>
    <row r="11" spans="1:13" x14ac:dyDescent="0.2">
      <c r="A11" t="str">
        <f>Inputs!B14</f>
        <v>Base</v>
      </c>
      <c r="B11">
        <f>LoanPool!A11</f>
        <v>10</v>
      </c>
      <c r="C11">
        <f>LoanPool!B11</f>
        <v>274804356.14204794</v>
      </c>
      <c r="D11">
        <f>LoanPool!J11</f>
        <v>272125421.65286976</v>
      </c>
      <c r="E11">
        <f>LoanPool!L11</f>
        <v>1202269.0581214598</v>
      </c>
      <c r="F11">
        <f>LoanPool!M11</f>
        <v>2593197.069878947</v>
      </c>
      <c r="G11">
        <f>LoanPool!H11</f>
        <v>85737.419299235742</v>
      </c>
      <c r="H11">
        <f>Waterfall!X11</f>
        <v>213021682.38788626</v>
      </c>
      <c r="I11">
        <f>Waterfall!Y11</f>
        <v>45000000</v>
      </c>
      <c r="J11">
        <f>Waterfall!Z11</f>
        <v>14103739.264983436</v>
      </c>
      <c r="K11">
        <f>Waterfall!AA11</f>
        <v>0</v>
      </c>
      <c r="L11">
        <f>Waterfall!AB11</f>
        <v>0</v>
      </c>
      <c r="M11">
        <f>Waterfall!AC11</f>
        <v>0</v>
      </c>
    </row>
    <row r="12" spans="1:13" x14ac:dyDescent="0.2">
      <c r="A12" t="str">
        <f>Inputs!B14</f>
        <v>Base</v>
      </c>
      <c r="B12">
        <f>LoanPool!A12</f>
        <v>11</v>
      </c>
      <c r="C12">
        <f>LoanPool!B12</f>
        <v>272125421.65286976</v>
      </c>
      <c r="D12">
        <f>LoanPool!J12</f>
        <v>269469865.94942349</v>
      </c>
      <c r="E12">
        <f>LoanPool!L12</f>
        <v>1190548.7197313053</v>
      </c>
      <c r="F12">
        <f>LoanPool!M12</f>
        <v>2570654.9589840993</v>
      </c>
      <c r="G12">
        <f>LoanPool!H12</f>
        <v>84900.744462184739</v>
      </c>
      <c r="H12">
        <f>Waterfall!X12</f>
        <v>210451027.42890215</v>
      </c>
      <c r="I12">
        <f>Waterfall!Y12</f>
        <v>45000000</v>
      </c>
      <c r="J12">
        <f>Waterfall!Z12</f>
        <v>14018838.520521251</v>
      </c>
      <c r="K12">
        <f>Waterfall!AA12</f>
        <v>0</v>
      </c>
      <c r="L12">
        <f>Waterfall!AB12</f>
        <v>0</v>
      </c>
      <c r="M12">
        <f>Waterfall!AC12</f>
        <v>0</v>
      </c>
    </row>
    <row r="13" spans="1:13" x14ac:dyDescent="0.2">
      <c r="A13" t="str">
        <f>Inputs!B14</f>
        <v>Base</v>
      </c>
      <c r="B13">
        <f>LoanPool!A13</f>
        <v>12</v>
      </c>
      <c r="C13">
        <f>LoanPool!B13</f>
        <v>269469865.94942349</v>
      </c>
      <c r="D13">
        <f>LoanPool!J13</f>
        <v>266837492.86027071</v>
      </c>
      <c r="E13">
        <f>LoanPool!L13</f>
        <v>1178930.6635287278</v>
      </c>
      <c r="F13">
        <f>LoanPool!M13</f>
        <v>2548301.7154782428</v>
      </c>
      <c r="G13">
        <f>LoanPool!H13</f>
        <v>84071.373674531496</v>
      </c>
      <c r="H13">
        <f>Waterfall!X13</f>
        <v>207902725.71342391</v>
      </c>
      <c r="I13">
        <f>Waterfall!Y13</f>
        <v>45000000</v>
      </c>
      <c r="J13">
        <f>Waterfall!Z13</f>
        <v>13934767.146846719</v>
      </c>
      <c r="K13">
        <f>Waterfall!AA13</f>
        <v>0</v>
      </c>
      <c r="L13">
        <f>Waterfall!AB13</f>
        <v>0</v>
      </c>
      <c r="M13">
        <f>Waterfall!AC13</f>
        <v>0</v>
      </c>
    </row>
    <row r="14" spans="1:13" x14ac:dyDescent="0.2">
      <c r="A14" t="str">
        <f>Inputs!B14</f>
        <v>Base</v>
      </c>
      <c r="B14">
        <f>LoanPool!A14</f>
        <v>13</v>
      </c>
      <c r="C14">
        <f>LoanPool!B14</f>
        <v>266837492.86027071</v>
      </c>
      <c r="D14">
        <f>LoanPool!J14</f>
        <v>264228107.83487824</v>
      </c>
      <c r="E14">
        <f>LoanPool!L14</f>
        <v>1167414.0312636844</v>
      </c>
      <c r="F14">
        <f>LoanPool!M14</f>
        <v>2526135.77975243</v>
      </c>
      <c r="G14">
        <f>LoanPool!H14</f>
        <v>83249.245640052555</v>
      </c>
      <c r="H14">
        <f>Waterfall!X14</f>
        <v>205376589.93367147</v>
      </c>
      <c r="I14">
        <f>Waterfall!Y14</f>
        <v>45000000</v>
      </c>
      <c r="J14">
        <f>Waterfall!Z14</f>
        <v>13851517.901206667</v>
      </c>
      <c r="K14">
        <f>Waterfall!AA14</f>
        <v>0</v>
      </c>
      <c r="L14">
        <f>Waterfall!AB14</f>
        <v>0</v>
      </c>
      <c r="M14">
        <f>Waterfall!AC14</f>
        <v>0</v>
      </c>
    </row>
    <row r="15" spans="1:13" x14ac:dyDescent="0.2">
      <c r="A15" t="str">
        <f>Inputs!B14</f>
        <v>Base</v>
      </c>
      <c r="B15">
        <f>LoanPool!A15</f>
        <v>14</v>
      </c>
      <c r="C15">
        <f>LoanPool!B15</f>
        <v>264228107.83487824</v>
      </c>
      <c r="D15">
        <f>LoanPool!J15</f>
        <v>261641517.93030885</v>
      </c>
      <c r="E15">
        <f>LoanPool!L15</f>
        <v>1155997.9717775923</v>
      </c>
      <c r="F15">
        <f>LoanPool!M15</f>
        <v>2504155.6050003604</v>
      </c>
      <c r="G15">
        <f>LoanPool!H15</f>
        <v>82434.299569023118</v>
      </c>
      <c r="H15">
        <f>Waterfall!X15</f>
        <v>202872434.32867113</v>
      </c>
      <c r="I15">
        <f>Waterfall!Y15</f>
        <v>45000000</v>
      </c>
      <c r="J15">
        <f>Waterfall!Z15</f>
        <v>13769083.601637643</v>
      </c>
      <c r="K15">
        <f>Waterfall!AA15</f>
        <v>0</v>
      </c>
      <c r="L15">
        <f>Waterfall!AB15</f>
        <v>0</v>
      </c>
      <c r="M15">
        <f>Waterfall!AC15</f>
        <v>0</v>
      </c>
    </row>
    <row r="16" spans="1:13" x14ac:dyDescent="0.2">
      <c r="A16" t="str">
        <f>Inputs!B14</f>
        <v>Base</v>
      </c>
      <c r="B16">
        <f>LoanPool!A16</f>
        <v>15</v>
      </c>
      <c r="C16">
        <f>LoanPool!B16</f>
        <v>261641517.93030885</v>
      </c>
      <c r="D16">
        <f>LoanPool!J16</f>
        <v>259077531.79802126</v>
      </c>
      <c r="E16">
        <f>LoanPool!L16</f>
        <v>1144681.6409451014</v>
      </c>
      <c r="F16">
        <f>LoanPool!M16</f>
        <v>2482359.6571135432</v>
      </c>
      <c r="G16">
        <f>LoanPool!H16</f>
        <v>81626.475174057967</v>
      </c>
      <c r="H16">
        <f>Waterfall!X16</f>
        <v>200390074.67155758</v>
      </c>
      <c r="I16">
        <f>Waterfall!Y16</f>
        <v>45000000</v>
      </c>
      <c r="J16">
        <f>Waterfall!Z16</f>
        <v>13687457.126463585</v>
      </c>
      <c r="K16">
        <f>Waterfall!AA16</f>
        <v>0</v>
      </c>
      <c r="L16">
        <f>Waterfall!AB16</f>
        <v>0</v>
      </c>
      <c r="M16">
        <f>Waterfall!AC16</f>
        <v>0</v>
      </c>
    </row>
    <row r="17" spans="1:13" x14ac:dyDescent="0.2">
      <c r="A17" t="str">
        <f>Inputs!B14</f>
        <v>Base</v>
      </c>
      <c r="B17">
        <f>LoanPool!A17</f>
        <v>16</v>
      </c>
      <c r="C17">
        <f>LoanPool!B17</f>
        <v>259077531.79802126</v>
      </c>
      <c r="D17">
        <f>LoanPool!J17</f>
        <v>256535959.67077795</v>
      </c>
      <c r="E17">
        <f>LoanPool!L17</f>
        <v>1133464.2016163431</v>
      </c>
      <c r="F17">
        <f>LoanPool!M17</f>
        <v>2460746.4145773142</v>
      </c>
      <c r="G17">
        <f>LoanPool!H17</f>
        <v>80825.712665986677</v>
      </c>
      <c r="H17">
        <f>Waterfall!X17</f>
        <v>197929328.25698027</v>
      </c>
      <c r="I17">
        <f>Waterfall!Y17</f>
        <v>45000000</v>
      </c>
      <c r="J17">
        <f>Waterfall!Z17</f>
        <v>13606631.413797598</v>
      </c>
      <c r="K17">
        <f>Waterfall!AA17</f>
        <v>0</v>
      </c>
      <c r="L17">
        <f>Waterfall!AB17</f>
        <v>0</v>
      </c>
      <c r="M17">
        <f>Waterfall!AC17</f>
        <v>0</v>
      </c>
    </row>
    <row r="18" spans="1:13" x14ac:dyDescent="0.2">
      <c r="A18" t="str">
        <f>Inputs!B14</f>
        <v>Base</v>
      </c>
      <c r="B18">
        <f>LoanPool!A18</f>
        <v>17</v>
      </c>
      <c r="C18">
        <f>LoanPool!B18</f>
        <v>256535959.67077795</v>
      </c>
      <c r="D18">
        <f>LoanPool!J18</f>
        <v>254016613.34966049</v>
      </c>
      <c r="E18">
        <f>LoanPool!L18</f>
        <v>1122344.8235596535</v>
      </c>
      <c r="F18">
        <f>LoanPool!M18</f>
        <v>2439314.368367712</v>
      </c>
      <c r="G18">
        <f>LoanPool!H18</f>
        <v>80031.952749762553</v>
      </c>
      <c r="H18">
        <f>Waterfall!X18</f>
        <v>195490013.88861257</v>
      </c>
      <c r="I18">
        <f>Waterfall!Y18</f>
        <v>45000000</v>
      </c>
      <c r="J18">
        <f>Waterfall!Z18</f>
        <v>13526599.461047836</v>
      </c>
      <c r="K18">
        <f>Waterfall!AA18</f>
        <v>0</v>
      </c>
      <c r="L18">
        <f>Waterfall!AB18</f>
        <v>0</v>
      </c>
      <c r="M18">
        <f>Waterfall!AC18</f>
        <v>0</v>
      </c>
    </row>
    <row r="19" spans="1:13" x14ac:dyDescent="0.2">
      <c r="A19" t="str">
        <f>Inputs!B14</f>
        <v>Base</v>
      </c>
      <c r="B19">
        <f>LoanPool!A19</f>
        <v>18</v>
      </c>
      <c r="C19">
        <f>LoanPool!B19</f>
        <v>254016613.34966049</v>
      </c>
      <c r="D19">
        <f>LoanPool!J19</f>
        <v>251519306.1911909</v>
      </c>
      <c r="E19">
        <f>LoanPool!L19</f>
        <v>1111322.6834047646</v>
      </c>
      <c r="F19">
        <f>LoanPool!M19</f>
        <v>2418062.0218491885</v>
      </c>
      <c r="G19">
        <f>LoanPool!H19</f>
        <v>79245.136620405043</v>
      </c>
      <c r="H19">
        <f>Waterfall!X19</f>
        <v>193071951.86676338</v>
      </c>
      <c r="I19">
        <f>Waterfall!Y19</f>
        <v>45000000</v>
      </c>
      <c r="J19">
        <f>Waterfall!Z19</f>
        <v>13447354.324427431</v>
      </c>
      <c r="K19">
        <f>Waterfall!AA19</f>
        <v>0</v>
      </c>
      <c r="L19">
        <f>Waterfall!AB19</f>
        <v>0</v>
      </c>
      <c r="M19">
        <f>Waterfall!AC19</f>
        <v>0</v>
      </c>
    </row>
    <row r="20" spans="1:13" x14ac:dyDescent="0.2">
      <c r="A20" t="str">
        <f>Inputs!B14</f>
        <v>Base</v>
      </c>
      <c r="B20">
        <f>LoanPool!A20</f>
        <v>19</v>
      </c>
      <c r="C20">
        <f>LoanPool!B20</f>
        <v>251519306.1911909</v>
      </c>
      <c r="D20">
        <f>LoanPool!J20</f>
        <v>249043853.09455878</v>
      </c>
      <c r="E20">
        <f>LoanPool!L20</f>
        <v>1100396.9645864603</v>
      </c>
      <c r="F20">
        <f>LoanPool!M20</f>
        <v>2396987.8906731587</v>
      </c>
      <c r="G20">
        <f>LoanPool!H20</f>
        <v>78465.205958975421</v>
      </c>
      <c r="H20">
        <f>Waterfall!X20</f>
        <v>190674963.97609022</v>
      </c>
      <c r="I20">
        <f>Waterfall!Y20</f>
        <v>45000000</v>
      </c>
      <c r="J20">
        <f>Waterfall!Z20</f>
        <v>13368889.118468456</v>
      </c>
      <c r="K20">
        <f>Waterfall!AA20</f>
        <v>0</v>
      </c>
      <c r="L20">
        <f>Waterfall!AB20</f>
        <v>0</v>
      </c>
      <c r="M20">
        <f>Waterfall!AC20</f>
        <v>0</v>
      </c>
    </row>
    <row r="21" spans="1:13" x14ac:dyDescent="0.2">
      <c r="A21" t="str">
        <f>Inputs!B14</f>
        <v>Base</v>
      </c>
      <c r="B21">
        <f>LoanPool!A21</f>
        <v>20</v>
      </c>
      <c r="C21">
        <f>LoanPool!B21</f>
        <v>249043853.09455878</v>
      </c>
      <c r="D21">
        <f>LoanPool!J21</f>
        <v>246590070.48895282</v>
      </c>
      <c r="E21">
        <f>LoanPool!L21</f>
        <v>1089566.8572886947</v>
      </c>
      <c r="F21">
        <f>LoanPool!M21</f>
        <v>2376090.5026773866</v>
      </c>
      <c r="G21">
        <f>LoanPool!H21</f>
        <v>77692.102928585344</v>
      </c>
      <c r="H21">
        <f>Waterfall!X21</f>
        <v>188298873.47341284</v>
      </c>
      <c r="I21">
        <f>Waterfall!Y21</f>
        <v>45000000</v>
      </c>
      <c r="J21">
        <f>Waterfall!Z21</f>
        <v>13291197.015539872</v>
      </c>
      <c r="K21">
        <f>Waterfall!AA21</f>
        <v>0</v>
      </c>
      <c r="L21">
        <f>Waterfall!AB21</f>
        <v>0</v>
      </c>
      <c r="M21">
        <f>Waterfall!AC21</f>
        <v>0</v>
      </c>
    </row>
    <row r="22" spans="1:13" x14ac:dyDescent="0.2">
      <c r="A22" t="str">
        <f>Inputs!B14</f>
        <v>Base</v>
      </c>
      <c r="B22">
        <f>LoanPool!A22</f>
        <v>21</v>
      </c>
      <c r="C22">
        <f>LoanPool!B22</f>
        <v>246590070.48895282</v>
      </c>
      <c r="D22">
        <f>LoanPool!J22</f>
        <v>244157776.3209962</v>
      </c>
      <c r="E22">
        <f>LoanPool!L22</f>
        <v>1078831.5583891685</v>
      </c>
      <c r="F22">
        <f>LoanPool!M22</f>
        <v>2355368.3977861837</v>
      </c>
      <c r="G22">
        <f>LoanPool!H22</f>
        <v>76925.770170438263</v>
      </c>
      <c r="H22">
        <f>Waterfall!X22</f>
        <v>185943505.07562667</v>
      </c>
      <c r="I22">
        <f>Waterfall!Y22</f>
        <v>45000000</v>
      </c>
      <c r="J22">
        <f>Waterfall!Z22</f>
        <v>13214271.245369432</v>
      </c>
      <c r="K22">
        <f>Waterfall!AA22</f>
        <v>0</v>
      </c>
      <c r="L22">
        <f>Waterfall!AB22</f>
        <v>0</v>
      </c>
      <c r="M22">
        <f>Waterfall!AC22</f>
        <v>0</v>
      </c>
    </row>
    <row r="23" spans="1:13" x14ac:dyDescent="0.2">
      <c r="A23" t="str">
        <f>Inputs!B14</f>
        <v>Base</v>
      </c>
      <c r="B23">
        <f>LoanPool!A23</f>
        <v>22</v>
      </c>
      <c r="C23">
        <f>LoanPool!B23</f>
        <v>244157776.3209962</v>
      </c>
      <c r="D23">
        <f>LoanPool!J23</f>
        <v>241746790.04228485</v>
      </c>
      <c r="E23">
        <f>LoanPool!L23</f>
        <v>1068190.2714043583</v>
      </c>
      <c r="F23">
        <f>LoanPool!M23</f>
        <v>2334820.1279114326</v>
      </c>
      <c r="G23">
        <f>LoanPool!H23</f>
        <v>76166.150799903073</v>
      </c>
      <c r="H23">
        <f>Waterfall!X23</f>
        <v>183608684.94771525</v>
      </c>
      <c r="I23">
        <f>Waterfall!Y23</f>
        <v>45000000</v>
      </c>
      <c r="J23">
        <f>Waterfall!Z23</f>
        <v>13138105.09456953</v>
      </c>
      <c r="K23">
        <f>Waterfall!AA23</f>
        <v>0</v>
      </c>
      <c r="L23">
        <f>Waterfall!AB23</f>
        <v>0</v>
      </c>
      <c r="M23">
        <f>Waterfall!AC23</f>
        <v>0</v>
      </c>
    </row>
    <row r="24" spans="1:13" x14ac:dyDescent="0.2">
      <c r="A24" t="str">
        <f>Inputs!B14</f>
        <v>Base</v>
      </c>
      <c r="B24">
        <f>LoanPool!A24</f>
        <v>23</v>
      </c>
      <c r="C24">
        <f>LoanPool!B24</f>
        <v>241746790.04228485</v>
      </c>
      <c r="D24">
        <f>LoanPool!J24</f>
        <v>239356932.59702781</v>
      </c>
      <c r="E24">
        <f>LoanPool!L24</f>
        <v>1057642.2064349961</v>
      </c>
      <c r="F24">
        <f>LoanPool!M24</f>
        <v>2314444.2568544168</v>
      </c>
      <c r="G24">
        <f>LoanPool!H24</f>
        <v>75413.188402620028</v>
      </c>
      <c r="H24">
        <f>Waterfall!X24</f>
        <v>181294240.69086084</v>
      </c>
      <c r="I24">
        <f>Waterfall!Y24</f>
        <v>45000000</v>
      </c>
      <c r="J24">
        <f>Waterfall!Z24</f>
        <v>13062691.906166911</v>
      </c>
      <c r="K24">
        <f>Waterfall!AA24</f>
        <v>0</v>
      </c>
      <c r="L24">
        <f>Waterfall!AB24</f>
        <v>0</v>
      </c>
      <c r="M24">
        <f>Waterfall!AC24</f>
        <v>0</v>
      </c>
    </row>
    <row r="25" spans="1:13" x14ac:dyDescent="0.2">
      <c r="A25" t="str">
        <f>Inputs!B14</f>
        <v>Base</v>
      </c>
      <c r="B25">
        <f>LoanPool!A25</f>
        <v>24</v>
      </c>
      <c r="C25">
        <f>LoanPool!B25</f>
        <v>239356932.59702781</v>
      </c>
      <c r="D25">
        <f>LoanPool!J25</f>
        <v>236988026.40978873</v>
      </c>
      <c r="E25">
        <f>LoanPool!L25</f>
        <v>1047186.5801119967</v>
      </c>
      <c r="F25">
        <f>LoanPool!M25</f>
        <v>2294239.360208455</v>
      </c>
      <c r="G25">
        <f>LoanPool!H25</f>
        <v>74666.827030638553</v>
      </c>
      <c r="H25">
        <f>Waterfall!X25</f>
        <v>179000001.33065239</v>
      </c>
      <c r="I25">
        <f>Waterfall!Y25</f>
        <v>45000000</v>
      </c>
      <c r="J25">
        <f>Waterfall!Z25</f>
        <v>12988025.079136273</v>
      </c>
      <c r="K25">
        <f>Waterfall!AA25</f>
        <v>0</v>
      </c>
      <c r="L25">
        <f>Waterfall!AB25</f>
        <v>0</v>
      </c>
      <c r="M25">
        <f>Waterfall!AC25</f>
        <v>0</v>
      </c>
    </row>
    <row r="26" spans="1:13" x14ac:dyDescent="0.2">
      <c r="A26" t="str">
        <f>Inputs!B14</f>
        <v>Base</v>
      </c>
      <c r="B26">
        <f>LoanPool!A26</f>
        <v>25</v>
      </c>
      <c r="C26">
        <f>LoanPool!B26</f>
        <v>236988026.40978873</v>
      </c>
      <c r="D26">
        <f>LoanPool!J26</f>
        <v>234639895.37332782</v>
      </c>
      <c r="E26">
        <f>LoanPool!L26</f>
        <v>1036822.6155428258</v>
      </c>
      <c r="F26">
        <f>LoanPool!M26</f>
        <v>2274204.0252623265</v>
      </c>
      <c r="G26">
        <f>LoanPool!H26</f>
        <v>73927.011198586639</v>
      </c>
      <c r="H26">
        <f>Waterfall!X26</f>
        <v>176725797.30539006</v>
      </c>
      <c r="I26">
        <f>Waterfall!Y26</f>
        <v>45000000</v>
      </c>
      <c r="J26">
        <f>Waterfall!Z26</f>
        <v>12914098.067937687</v>
      </c>
      <c r="K26">
        <f>Waterfall!AA26</f>
        <v>0</v>
      </c>
      <c r="L26">
        <f>Waterfall!AB26</f>
        <v>0</v>
      </c>
      <c r="M26">
        <f>Waterfall!AC26</f>
        <v>0</v>
      </c>
    </row>
    <row r="27" spans="1:13" x14ac:dyDescent="0.2">
      <c r="A27" t="str">
        <f>Inputs!B14</f>
        <v>Base</v>
      </c>
      <c r="B27">
        <f>LoanPool!A27</f>
        <v>26</v>
      </c>
      <c r="C27">
        <f>LoanPool!B27</f>
        <v>234639895.37332782</v>
      </c>
      <c r="D27">
        <f>LoanPool!J27</f>
        <v>232312364.83654344</v>
      </c>
      <c r="E27">
        <f>LoanPool!L27</f>
        <v>1026549.5422583093</v>
      </c>
      <c r="F27">
        <f>LoanPool!M27</f>
        <v>2254336.8509044959</v>
      </c>
      <c r="G27">
        <f>LoanPool!H27</f>
        <v>73193.685879871584</v>
      </c>
      <c r="H27">
        <f>Waterfall!X27</f>
        <v>174471460.45448557</v>
      </c>
      <c r="I27">
        <f>Waterfall!Y27</f>
        <v>45000000</v>
      </c>
      <c r="J27">
        <f>Waterfall!Z27</f>
        <v>12840904.382057816</v>
      </c>
      <c r="K27">
        <f>Waterfall!AA27</f>
        <v>0</v>
      </c>
      <c r="L27">
        <f>Waterfall!AB27</f>
        <v>0</v>
      </c>
      <c r="M27">
        <f>Waterfall!AC27</f>
        <v>0</v>
      </c>
    </row>
    <row r="28" spans="1:13" x14ac:dyDescent="0.2">
      <c r="A28" t="str">
        <f>Inputs!B14</f>
        <v>Base</v>
      </c>
      <c r="B28">
        <f>LoanPool!A28</f>
        <v>27</v>
      </c>
      <c r="C28">
        <f>LoanPool!B28</f>
        <v>232312364.83654344</v>
      </c>
      <c r="D28">
        <f>LoanPool!J28</f>
        <v>230005261.59251243</v>
      </c>
      <c r="E28">
        <f>LoanPool!L28</f>
        <v>1016366.5961598776</v>
      </c>
      <c r="F28">
        <f>LoanPool!M28</f>
        <v>2234636.4475281145</v>
      </c>
      <c r="G28">
        <f>LoanPool!H28</f>
        <v>72466.796502912024</v>
      </c>
      <c r="H28">
        <f>Waterfall!X28</f>
        <v>172236824.00695744</v>
      </c>
      <c r="I28">
        <f>Waterfall!Y28</f>
        <v>45000000</v>
      </c>
      <c r="J28">
        <f>Waterfall!Z28</f>
        <v>12768437.585554903</v>
      </c>
      <c r="K28">
        <f>Waterfall!AA28</f>
        <v>0</v>
      </c>
      <c r="L28">
        <f>Waterfall!AB28</f>
        <v>0</v>
      </c>
      <c r="M28">
        <f>Waterfall!AC28</f>
        <v>0</v>
      </c>
    </row>
    <row r="29" spans="1:13" x14ac:dyDescent="0.2">
      <c r="A29" t="str">
        <f>Inputs!B14</f>
        <v>Base</v>
      </c>
      <c r="B29">
        <f>LoanPool!A29</f>
        <v>28</v>
      </c>
      <c r="C29">
        <f>LoanPool!B29</f>
        <v>230005261.59251243</v>
      </c>
      <c r="D29">
        <f>LoanPool!J29</f>
        <v>227718413.86662823</v>
      </c>
      <c r="E29">
        <f>LoanPool!L29</f>
        <v>1006273.0194672419</v>
      </c>
      <c r="F29">
        <f>LoanPool!M29</f>
        <v>2215101.4369367999</v>
      </c>
      <c r="G29">
        <f>LoanPool!H29</f>
        <v>71746.28894740055</v>
      </c>
      <c r="H29">
        <f>Waterfall!X29</f>
        <v>170021722.57002065</v>
      </c>
      <c r="I29">
        <f>Waterfall!Y29</f>
        <v>45000000</v>
      </c>
      <c r="J29">
        <f>Waterfall!Z29</f>
        <v>12696691.296607504</v>
      </c>
      <c r="K29">
        <f>Waterfall!AA29</f>
        <v>0</v>
      </c>
      <c r="L29">
        <f>Waterfall!AB29</f>
        <v>0</v>
      </c>
      <c r="M29">
        <f>Waterfall!AC29</f>
        <v>0</v>
      </c>
    </row>
    <row r="30" spans="1:13" x14ac:dyDescent="0.2">
      <c r="A30" t="str">
        <f>Inputs!B14</f>
        <v>Base</v>
      </c>
      <c r="B30">
        <f>LoanPool!A30</f>
        <v>29</v>
      </c>
      <c r="C30">
        <f>LoanPool!B30</f>
        <v>227718413.86662823</v>
      </c>
      <c r="D30">
        <f>LoanPool!J30</f>
        <v>225451651.30483645</v>
      </c>
      <c r="E30">
        <f>LoanPool!L30</f>
        <v>996268.06066649861</v>
      </c>
      <c r="F30">
        <f>LoanPool!M30</f>
        <v>2195730.4522511885</v>
      </c>
      <c r="G30">
        <f>LoanPool!H30</f>
        <v>71032.10954059723</v>
      </c>
      <c r="H30">
        <f>Waterfall!X30</f>
        <v>167825992.11776945</v>
      </c>
      <c r="I30">
        <f>Waterfall!Y30</f>
        <v>45000000</v>
      </c>
      <c r="J30">
        <f>Waterfall!Z30</f>
        <v>12625659.187066907</v>
      </c>
      <c r="K30">
        <f>Waterfall!AA30</f>
        <v>0</v>
      </c>
      <c r="L30">
        <f>Waterfall!AB30</f>
        <v>0</v>
      </c>
      <c r="M30">
        <f>Waterfall!AC30</f>
        <v>0</v>
      </c>
    </row>
    <row r="31" spans="1:13" x14ac:dyDescent="0.2">
      <c r="A31" t="str">
        <f>Inputs!B14</f>
        <v>Base</v>
      </c>
      <c r="B31">
        <f>LoanPool!A31</f>
        <v>30</v>
      </c>
      <c r="C31">
        <f>LoanPool!B31</f>
        <v>225451651.30483645</v>
      </c>
      <c r="D31">
        <f>LoanPool!J31</f>
        <v>223204804.96196654</v>
      </c>
      <c r="E31">
        <f>LoanPool!L31</f>
        <v>986350.97445865953</v>
      </c>
      <c r="F31">
        <f>LoanPool!M31</f>
        <v>2176522.1378162499</v>
      </c>
      <c r="G31">
        <f>LoanPool!H31</f>
        <v>70324.205053653233</v>
      </c>
      <c r="H31">
        <f>Waterfall!X31</f>
        <v>165649469.9799532</v>
      </c>
      <c r="I31">
        <f>Waterfall!Y31</f>
        <v>45000000</v>
      </c>
      <c r="J31">
        <f>Waterfall!Z31</f>
        <v>12555334.982013253</v>
      </c>
      <c r="K31">
        <f>Waterfall!AA31</f>
        <v>0</v>
      </c>
      <c r="L31">
        <f>Waterfall!AB31</f>
        <v>0</v>
      </c>
      <c r="M31">
        <f>Waterfall!AC31</f>
        <v>0</v>
      </c>
    </row>
    <row r="32" spans="1:13" x14ac:dyDescent="0.2">
      <c r="A32" t="str">
        <f>Inputs!B14</f>
        <v>Base</v>
      </c>
      <c r="B32">
        <f>LoanPool!A32</f>
        <v>31</v>
      </c>
      <c r="C32">
        <f>LoanPool!B32</f>
        <v>223204804.96196654</v>
      </c>
      <c r="D32">
        <f>LoanPool!J32</f>
        <v>220977707.29015923</v>
      </c>
      <c r="E32">
        <f>LoanPool!L32</f>
        <v>976521.02170860372</v>
      </c>
      <c r="F32">
        <f>LoanPool!M32</f>
        <v>2157475.1491093626</v>
      </c>
      <c r="G32">
        <f>LoanPool!H32</f>
        <v>69622.522697964785</v>
      </c>
      <c r="H32">
        <f>Waterfall!X32</f>
        <v>163491994.83084384</v>
      </c>
      <c r="I32">
        <f>Waterfall!Y32</f>
        <v>45000000</v>
      </c>
      <c r="J32">
        <f>Waterfall!Z32</f>
        <v>12485712.459315289</v>
      </c>
      <c r="K32">
        <f>Waterfall!AA32</f>
        <v>0</v>
      </c>
      <c r="L32">
        <f>Waterfall!AB32</f>
        <v>0</v>
      </c>
      <c r="M32">
        <f>Waterfall!AC32</f>
        <v>0</v>
      </c>
    </row>
    <row r="33" spans="1:13" x14ac:dyDescent="0.2">
      <c r="A33" t="str">
        <f>Inputs!B14</f>
        <v>Base</v>
      </c>
      <c r="B33">
        <f>LoanPool!A33</f>
        <v>32</v>
      </c>
      <c r="C33">
        <f>LoanPool!B33</f>
        <v>220977707.29015923</v>
      </c>
      <c r="D33">
        <f>LoanPool!J33</f>
        <v>218770192.12738854</v>
      </c>
      <c r="E33">
        <f>LoanPool!L33</f>
        <v>966777.46939444658</v>
      </c>
      <c r="F33">
        <f>LoanPool!M33</f>
        <v>2138588.1526491391</v>
      </c>
      <c r="G33">
        <f>LoanPool!H33</f>
        <v>68927.010121556828</v>
      </c>
      <c r="H33">
        <f>Waterfall!X33</f>
        <v>161353406.6781947</v>
      </c>
      <c r="I33">
        <f>Waterfall!Y33</f>
        <v>45000000</v>
      </c>
      <c r="J33">
        <f>Waterfall!Z33</f>
        <v>12416785.449193733</v>
      </c>
      <c r="K33">
        <f>Waterfall!AA33</f>
        <v>0</v>
      </c>
      <c r="L33">
        <f>Waterfall!AB33</f>
        <v>0</v>
      </c>
      <c r="M33">
        <f>Waterfall!AC33</f>
        <v>0</v>
      </c>
    </row>
    <row r="34" spans="1:13" x14ac:dyDescent="0.2">
      <c r="A34" t="str">
        <f>Inputs!B14</f>
        <v>Base</v>
      </c>
      <c r="B34">
        <f>LoanPool!A34</f>
        <v>33</v>
      </c>
      <c r="C34">
        <f>LoanPool!B34</f>
        <v>218770192.12738854</v>
      </c>
      <c r="D34">
        <f>LoanPool!J34</f>
        <v>216582094.68607804</v>
      </c>
      <c r="E34">
        <f>LoanPool!L34</f>
        <v>957119.59055732493</v>
      </c>
      <c r="F34">
        <f>LoanPool!M34</f>
        <v>2119859.8259049971</v>
      </c>
      <c r="G34">
        <f>LoanPool!H34</f>
        <v>68237.615405496326</v>
      </c>
      <c r="H34">
        <f>Waterfall!X34</f>
        <v>159233546.85228971</v>
      </c>
      <c r="I34">
        <f>Waterfall!Y34</f>
        <v>45000000</v>
      </c>
      <c r="J34">
        <f>Waterfall!Z34</f>
        <v>12348547.833788237</v>
      </c>
      <c r="K34">
        <f>Waterfall!AA34</f>
        <v>0</v>
      </c>
      <c r="L34">
        <f>Waterfall!AB34</f>
        <v>0</v>
      </c>
      <c r="M34">
        <f>Waterfall!AC34</f>
        <v>0</v>
      </c>
    </row>
    <row r="35" spans="1:13" x14ac:dyDescent="0.2">
      <c r="A35" t="str">
        <f>Inputs!B14</f>
        <v>Base</v>
      </c>
      <c r="B35">
        <f>LoanPool!A35</f>
        <v>34</v>
      </c>
      <c r="C35">
        <f>LoanPool!B35</f>
        <v>216582094.68607804</v>
      </c>
      <c r="D35">
        <f>LoanPool!J35</f>
        <v>214413251.54181024</v>
      </c>
      <c r="E35">
        <f>LoanPool!L35</f>
        <v>947546.66425159143</v>
      </c>
      <c r="F35">
        <f>LoanPool!M35</f>
        <v>2101288.857207471</v>
      </c>
      <c r="G35">
        <f>LoanPool!H35</f>
        <v>67554.287060335089</v>
      </c>
      <c r="H35">
        <f>Waterfall!X35</f>
        <v>157132257.99508223</v>
      </c>
      <c r="I35">
        <f>Waterfall!Y35</f>
        <v>45000000</v>
      </c>
      <c r="J35">
        <f>Waterfall!Z35</f>
        <v>12280993.546727901</v>
      </c>
      <c r="K35">
        <f>Waterfall!AA35</f>
        <v>0</v>
      </c>
      <c r="L35">
        <f>Waterfall!AB35</f>
        <v>0</v>
      </c>
      <c r="M35">
        <f>Waterfall!AC35</f>
        <v>0</v>
      </c>
    </row>
    <row r="36" spans="1:13" x14ac:dyDescent="0.2">
      <c r="A36" t="str">
        <f>Inputs!B14</f>
        <v>Base</v>
      </c>
      <c r="B36">
        <f>LoanPool!A36</f>
        <v>35</v>
      </c>
      <c r="C36">
        <f>LoanPool!B36</f>
        <v>214413251.54181024</v>
      </c>
      <c r="D36">
        <f>LoanPool!J36</f>
        <v>212263500.6221284</v>
      </c>
      <c r="E36">
        <f>LoanPool!L36</f>
        <v>938057.97549541993</v>
      </c>
      <c r="F36">
        <f>LoanPool!M36</f>
        <v>2082873.94565926</v>
      </c>
      <c r="G36">
        <f>LoanPool!H36</f>
        <v>66876.974022581504</v>
      </c>
      <c r="H36">
        <f>Waterfall!X36</f>
        <v>155049384.04942298</v>
      </c>
      <c r="I36">
        <f>Waterfall!Y36</f>
        <v>45000000</v>
      </c>
      <c r="J36">
        <f>Waterfall!Z36</f>
        <v>12214116.572705319</v>
      </c>
      <c r="K36">
        <f>Waterfall!AA36</f>
        <v>0</v>
      </c>
      <c r="L36">
        <f>Waterfall!AB36</f>
        <v>0</v>
      </c>
      <c r="M36">
        <f>Waterfall!AC36</f>
        <v>0</v>
      </c>
    </row>
    <row r="37" spans="1:13" x14ac:dyDescent="0.2">
      <c r="A37" t="str">
        <f>Inputs!B14</f>
        <v>Base</v>
      </c>
      <c r="B37">
        <f>LoanPool!A37</f>
        <v>36</v>
      </c>
      <c r="C37">
        <f>LoanPool!B37</f>
        <v>212263500.6221284</v>
      </c>
      <c r="D37">
        <f>LoanPool!J37</f>
        <v>210132681.19543019</v>
      </c>
      <c r="E37">
        <f>LoanPool!L37</f>
        <v>928652.81522181176</v>
      </c>
      <c r="F37">
        <f>LoanPool!M37</f>
        <v>2064613.801046998</v>
      </c>
      <c r="G37">
        <f>LoanPool!H37</f>
        <v>66205.625651201393</v>
      </c>
      <c r="H37">
        <f>Waterfall!X37</f>
        <v>152984770.24837598</v>
      </c>
      <c r="I37">
        <f>Waterfall!Y37</f>
        <v>45000000</v>
      </c>
      <c r="J37">
        <f>Waterfall!Z37</f>
        <v>12147910.947054118</v>
      </c>
      <c r="K37">
        <f>Waterfall!AA37</f>
        <v>0</v>
      </c>
      <c r="L37">
        <f>Waterfall!AB37</f>
        <v>0</v>
      </c>
      <c r="M37">
        <f>Waterfall!AC37</f>
        <v>0</v>
      </c>
    </row>
    <row r="38" spans="1:13" x14ac:dyDescent="0.2">
      <c r="A38" t="str">
        <f>Inputs!B14</f>
        <v>Base</v>
      </c>
      <c r="B38">
        <f>LoanPool!A38</f>
        <v>37</v>
      </c>
      <c r="C38">
        <f>LoanPool!B38</f>
        <v>210132681.19543019</v>
      </c>
      <c r="D38">
        <f>LoanPool!J38</f>
        <v>208020633.8599523</v>
      </c>
      <c r="E38">
        <f>LoanPool!L38</f>
        <v>919330.4802300072</v>
      </c>
      <c r="F38">
        <f>LoanPool!M38</f>
        <v>2046507.1437537496</v>
      </c>
      <c r="G38">
        <f>LoanPool!H38</f>
        <v>65540.191724147357</v>
      </c>
      <c r="H38">
        <f>Waterfall!X38</f>
        <v>150938263.10462224</v>
      </c>
      <c r="I38">
        <f>Waterfall!Y38</f>
        <v>45000000</v>
      </c>
      <c r="J38">
        <f>Waterfall!Z38</f>
        <v>12082370.75532997</v>
      </c>
      <c r="K38">
        <f>Waterfall!AA38</f>
        <v>0</v>
      </c>
      <c r="L38">
        <f>Waterfall!AB38</f>
        <v>0</v>
      </c>
      <c r="M38">
        <f>Waterfall!AC38</f>
        <v>0</v>
      </c>
    </row>
    <row r="39" spans="1:13" x14ac:dyDescent="0.2">
      <c r="A39" t="str">
        <f>Inputs!B14</f>
        <v>Base</v>
      </c>
      <c r="B39">
        <f>LoanPool!A39</f>
        <v>38</v>
      </c>
      <c r="C39">
        <f>LoanPool!B39</f>
        <v>208020633.8599523</v>
      </c>
      <c r="D39">
        <f>LoanPool!J39</f>
        <v>205927200.53284517</v>
      </c>
      <c r="E39">
        <f>LoanPool!L39</f>
        <v>910090.27313729131</v>
      </c>
      <c r="F39">
        <f>LoanPool!M39</f>
        <v>2028552.7046722218</v>
      </c>
      <c r="G39">
        <f>LoanPool!H39</f>
        <v>64880.622434916695</v>
      </c>
      <c r="H39">
        <f>Waterfall!X39</f>
        <v>148909710.39995003</v>
      </c>
      <c r="I39">
        <f>Waterfall!Y39</f>
        <v>45000000</v>
      </c>
      <c r="J39">
        <f>Waterfall!Z39</f>
        <v>12017490.132895054</v>
      </c>
      <c r="K39">
        <f>Waterfall!AA39</f>
        <v>0</v>
      </c>
      <c r="L39">
        <f>Waterfall!AB39</f>
        <v>0</v>
      </c>
      <c r="M39">
        <f>Waterfall!AC39</f>
        <v>0</v>
      </c>
    </row>
    <row r="40" spans="1:13" x14ac:dyDescent="0.2">
      <c r="A40" t="str">
        <f>Inputs!B14</f>
        <v>Base</v>
      </c>
      <c r="B40">
        <f>LoanPool!A40</f>
        <v>39</v>
      </c>
      <c r="C40">
        <f>LoanPool!B40</f>
        <v>205927200.53284517</v>
      </c>
      <c r="D40">
        <f>LoanPool!J40</f>
        <v>203852224.43933734</v>
      </c>
      <c r="E40">
        <f>LoanPool!L40</f>
        <v>900931.50233119773</v>
      </c>
      <c r="F40">
        <f>LoanPool!M40</f>
        <v>2010749.2251186827</v>
      </c>
      <c r="G40">
        <f>LoanPool!H40</f>
        <v>64226.868389137366</v>
      </c>
      <c r="H40">
        <f>Waterfall!X40</f>
        <v>146898961.17483133</v>
      </c>
      <c r="I40">
        <f>Waterfall!Y40</f>
        <v>45000000</v>
      </c>
      <c r="J40">
        <f>Waterfall!Z40</f>
        <v>11953263.264505917</v>
      </c>
      <c r="K40">
        <f>Waterfall!AA40</f>
        <v>0</v>
      </c>
      <c r="L40">
        <f>Waterfall!AB40</f>
        <v>0</v>
      </c>
      <c r="M40">
        <f>Waterfall!AC40</f>
        <v>0</v>
      </c>
    </row>
    <row r="41" spans="1:13" x14ac:dyDescent="0.2">
      <c r="A41" t="str">
        <f>Inputs!B14</f>
        <v>Base</v>
      </c>
      <c r="B41">
        <f>LoanPool!A41</f>
        <v>40</v>
      </c>
      <c r="C41">
        <f>LoanPool!B41</f>
        <v>203852224.43933734</v>
      </c>
      <c r="D41">
        <f>LoanPool!J41</f>
        <v>201795550.10198858</v>
      </c>
      <c r="E41">
        <f>LoanPool!L41</f>
        <v>891853.481922101</v>
      </c>
      <c r="F41">
        <f>LoanPool!M41</f>
        <v>1993095.4567475899</v>
      </c>
      <c r="G41">
        <f>LoanPool!H41</f>
        <v>63578.880601182063</v>
      </c>
      <c r="H41">
        <f>Waterfall!X41</f>
        <v>144905865.71808374</v>
      </c>
      <c r="I41">
        <f>Waterfall!Y41</f>
        <v>45000000</v>
      </c>
      <c r="J41">
        <f>Waterfall!Z41</f>
        <v>11889684.383904735</v>
      </c>
      <c r="K41">
        <f>Waterfall!AA41</f>
        <v>0</v>
      </c>
      <c r="L41">
        <f>Waterfall!AB41</f>
        <v>0</v>
      </c>
      <c r="M41">
        <f>Waterfall!AC41</f>
        <v>0</v>
      </c>
    </row>
    <row r="42" spans="1:13" x14ac:dyDescent="0.2">
      <c r="A42" t="str">
        <f>Inputs!B14</f>
        <v>Base</v>
      </c>
      <c r="B42">
        <f>LoanPool!A42</f>
        <v>41</v>
      </c>
      <c r="C42">
        <f>LoanPool!B42</f>
        <v>201795550.10198858</v>
      </c>
      <c r="D42">
        <f>LoanPool!J42</f>
        <v>199757023.33003086</v>
      </c>
      <c r="E42">
        <f>LoanPool!L42</f>
        <v>882855.53169620014</v>
      </c>
      <c r="F42">
        <f>LoanPool!M42</f>
        <v>1975590.1614669093</v>
      </c>
      <c r="G42">
        <f>LoanPool!H42</f>
        <v>62936.610490809901</v>
      </c>
      <c r="H42">
        <f>Waterfall!X42</f>
        <v>142930275.55661684</v>
      </c>
      <c r="I42">
        <f>Waterfall!Y42</f>
        <v>45000000</v>
      </c>
      <c r="J42">
        <f>Waterfall!Z42</f>
        <v>11826747.773413925</v>
      </c>
      <c r="K42">
        <f>Waterfall!AA42</f>
        <v>0</v>
      </c>
      <c r="L42">
        <f>Waterfall!AB42</f>
        <v>0</v>
      </c>
      <c r="M42">
        <f>Waterfall!AC42</f>
        <v>0</v>
      </c>
    </row>
    <row r="43" spans="1:13" x14ac:dyDescent="0.2">
      <c r="A43" t="str">
        <f>Inputs!B14</f>
        <v>Base</v>
      </c>
      <c r="B43">
        <f>LoanPool!A43</f>
        <v>42</v>
      </c>
      <c r="C43">
        <f>LoanPool!B43</f>
        <v>199757023.33003086</v>
      </c>
      <c r="D43">
        <f>LoanPool!J43</f>
        <v>197736491.20879689</v>
      </c>
      <c r="E43">
        <f>LoanPool!L43</f>
        <v>873936.97706888511</v>
      </c>
      <c r="F43">
        <f>LoanPool!M43</f>
        <v>1958232.1113541359</v>
      </c>
      <c r="G43">
        <f>LoanPool!H43</f>
        <v>62300.009879835772</v>
      </c>
      <c r="H43">
        <f>Waterfall!X43</f>
        <v>140972043.4452627</v>
      </c>
      <c r="I43">
        <f>Waterfall!Y43</f>
        <v>45000000</v>
      </c>
      <c r="J43">
        <f>Waterfall!Z43</f>
        <v>11764447.76353409</v>
      </c>
      <c r="K43">
        <f>Waterfall!AA43</f>
        <v>0</v>
      </c>
      <c r="L43">
        <f>Waterfall!AB43</f>
        <v>0</v>
      </c>
      <c r="M43">
        <f>Waterfall!AC43</f>
        <v>0</v>
      </c>
    </row>
    <row r="44" spans="1:13" x14ac:dyDescent="0.2">
      <c r="A44" t="str">
        <f>Inputs!B14</f>
        <v>Base</v>
      </c>
      <c r="B44">
        <f>LoanPool!A44</f>
        <v>43</v>
      </c>
      <c r="C44">
        <f>LoanPool!B44</f>
        <v>197736491.20879689</v>
      </c>
      <c r="D44">
        <f>LoanPool!J44</f>
        <v>195733802.08923507</v>
      </c>
      <c r="E44">
        <f>LoanPool!L44</f>
        <v>865097.14903848642</v>
      </c>
      <c r="F44">
        <f>LoanPool!M44</f>
        <v>1941020.088572996</v>
      </c>
      <c r="G44">
        <f>LoanPool!H44</f>
        <v>61669.030988826758</v>
      </c>
      <c r="H44">
        <f>Waterfall!X44</f>
        <v>139031023.35668969</v>
      </c>
      <c r="I44">
        <f>Waterfall!Y44</f>
        <v>45000000</v>
      </c>
      <c r="J44">
        <f>Waterfall!Z44</f>
        <v>11702778.732545262</v>
      </c>
      <c r="K44">
        <f>Waterfall!AA44</f>
        <v>0</v>
      </c>
      <c r="L44">
        <f>Waterfall!AB44</f>
        <v>0</v>
      </c>
      <c r="M44">
        <f>Waterfall!AC44</f>
        <v>0</v>
      </c>
    </row>
    <row r="45" spans="1:13" x14ac:dyDescent="0.2">
      <c r="A45" t="str">
        <f>Inputs!B14</f>
        <v>Base</v>
      </c>
      <c r="B45">
        <f>LoanPool!A45</f>
        <v>44</v>
      </c>
      <c r="C45">
        <f>LoanPool!B45</f>
        <v>195733802.08923507</v>
      </c>
      <c r="D45">
        <f>LoanPool!J45</f>
        <v>193748805.57751042</v>
      </c>
      <c r="E45">
        <f>LoanPool!L45</f>
        <v>856335.38414040348</v>
      </c>
      <c r="F45">
        <f>LoanPool!M45</f>
        <v>1923952.8852908274</v>
      </c>
      <c r="G45">
        <f>LoanPool!H45</f>
        <v>61043.626433825812</v>
      </c>
      <c r="H45">
        <f>Waterfall!X45</f>
        <v>137107070.47139886</v>
      </c>
      <c r="I45">
        <f>Waterfall!Y45</f>
        <v>45000000</v>
      </c>
      <c r="J45">
        <f>Waterfall!Z45</f>
        <v>11641735.106111437</v>
      </c>
      <c r="K45">
        <f>Waterfall!AA45</f>
        <v>0</v>
      </c>
      <c r="L45">
        <f>Waterfall!AB45</f>
        <v>0</v>
      </c>
      <c r="M45">
        <f>Waterfall!AC45</f>
        <v>0</v>
      </c>
    </row>
    <row r="46" spans="1:13" x14ac:dyDescent="0.2">
      <c r="A46" t="str">
        <f>Inputs!B14</f>
        <v>Base</v>
      </c>
      <c r="B46">
        <f>LoanPool!A46</f>
        <v>45</v>
      </c>
      <c r="C46">
        <f>LoanPool!B46</f>
        <v>193748805.57751042</v>
      </c>
      <c r="D46">
        <f>LoanPool!J46</f>
        <v>191781352.52469066</v>
      </c>
      <c r="E46">
        <f>LoanPool!L46</f>
        <v>847651.02440160816</v>
      </c>
      <c r="F46">
        <f>LoanPool!M46</f>
        <v>1907029.3035966493</v>
      </c>
      <c r="G46">
        <f>LoanPool!H46</f>
        <v>60423.749223102197</v>
      </c>
      <c r="H46">
        <f>Waterfall!X46</f>
        <v>135200041.16780221</v>
      </c>
      <c r="I46">
        <f>Waterfall!Y46</f>
        <v>45000000</v>
      </c>
      <c r="J46">
        <f>Waterfall!Z46</f>
        <v>11581311.356888335</v>
      </c>
      <c r="K46">
        <f>Waterfall!AA46</f>
        <v>0</v>
      </c>
      <c r="L46">
        <f>Waterfall!AB46</f>
        <v>0</v>
      </c>
      <c r="M46">
        <f>Waterfall!AC46</f>
        <v>0</v>
      </c>
    </row>
    <row r="47" spans="1:13" x14ac:dyDescent="0.2">
      <c r="A47" t="str">
        <f>Inputs!B14</f>
        <v>Base</v>
      </c>
      <c r="B47">
        <f>LoanPool!A47</f>
        <v>46</v>
      </c>
      <c r="C47">
        <f>LoanPool!B47</f>
        <v>191781352.52469066</v>
      </c>
      <c r="D47">
        <f>LoanPool!J47</f>
        <v>189831295.01651683</v>
      </c>
      <c r="E47">
        <f>LoanPool!L47</f>
        <v>839043.41729552159</v>
      </c>
      <c r="F47">
        <f>LoanPool!M47</f>
        <v>1890248.1554198826</v>
      </c>
      <c r="G47">
        <f>LoanPool!H47</f>
        <v>59809.352753928521</v>
      </c>
      <c r="H47">
        <f>Waterfall!X47</f>
        <v>133309793.01238233</v>
      </c>
      <c r="I47">
        <f>Waterfall!Y47</f>
        <v>45000000</v>
      </c>
      <c r="J47">
        <f>Waterfall!Z47</f>
        <v>11521502.004134407</v>
      </c>
      <c r="K47">
        <f>Waterfall!AA47</f>
        <v>0</v>
      </c>
      <c r="L47">
        <f>Waterfall!AB47</f>
        <v>0</v>
      </c>
      <c r="M47">
        <f>Waterfall!AC47</f>
        <v>0</v>
      </c>
    </row>
    <row r="48" spans="1:13" x14ac:dyDescent="0.2">
      <c r="A48" t="str">
        <f>Inputs!B14</f>
        <v>Base</v>
      </c>
      <c r="B48">
        <f>LoanPool!A48</f>
        <v>47</v>
      </c>
      <c r="C48">
        <f>LoanPool!B48</f>
        <v>189831295.01651683</v>
      </c>
      <c r="D48">
        <f>LoanPool!J48</f>
        <v>187898486.36325771</v>
      </c>
      <c r="E48">
        <f>LoanPool!L48</f>
        <v>830511.91569726123</v>
      </c>
      <c r="F48">
        <f>LoanPool!M48</f>
        <v>1873608.2624497546</v>
      </c>
      <c r="G48">
        <f>LoanPool!H48</f>
        <v>59200.390809384211</v>
      </c>
      <c r="H48">
        <f>Waterfall!X48</f>
        <v>131436184.74993257</v>
      </c>
      <c r="I48">
        <f>Waterfall!Y48</f>
        <v>45000000</v>
      </c>
      <c r="J48">
        <f>Waterfall!Z48</f>
        <v>11462301.613325022</v>
      </c>
      <c r="K48">
        <f>Waterfall!AA48</f>
        <v>0</v>
      </c>
      <c r="L48">
        <f>Waterfall!AB48</f>
        <v>0</v>
      </c>
      <c r="M48">
        <f>Waterfall!AC48</f>
        <v>0</v>
      </c>
    </row>
    <row r="49" spans="1:13" x14ac:dyDescent="0.2">
      <c r="A49" t="str">
        <f>Inputs!B14</f>
        <v>Base</v>
      </c>
      <c r="B49">
        <f>LoanPool!A49</f>
        <v>48</v>
      </c>
      <c r="C49">
        <f>LoanPool!B49</f>
        <v>187898486.36325771</v>
      </c>
      <c r="D49">
        <f>LoanPool!J49</f>
        <v>185982781.08964717</v>
      </c>
      <c r="E49">
        <f>LoanPool!L49</f>
        <v>822055.87783925259</v>
      </c>
      <c r="F49">
        <f>LoanPool!M49</f>
        <v>1857108.4560553508</v>
      </c>
      <c r="G49">
        <f>LoanPool!H49</f>
        <v>58596.817555185204</v>
      </c>
      <c r="H49">
        <f>Waterfall!X49</f>
        <v>129579076.29387721</v>
      </c>
      <c r="I49">
        <f>Waterfall!Y49</f>
        <v>45000000</v>
      </c>
      <c r="J49">
        <f>Waterfall!Z49</f>
        <v>11403704.795769837</v>
      </c>
      <c r="K49">
        <f>Waterfall!AA49</f>
        <v>0</v>
      </c>
      <c r="L49">
        <f>Waterfall!AB49</f>
        <v>0</v>
      </c>
      <c r="M49">
        <f>Waterfall!AC49</f>
        <v>0</v>
      </c>
    </row>
    <row r="50" spans="1:13" x14ac:dyDescent="0.2">
      <c r="A50" t="str">
        <f>Inputs!B14</f>
        <v>Base</v>
      </c>
      <c r="B50">
        <f>LoanPool!A50</f>
        <v>49</v>
      </c>
      <c r="C50">
        <f>LoanPool!B50</f>
        <v>185982781.08964717</v>
      </c>
      <c r="D50">
        <f>LoanPool!J50</f>
        <v>184084034.92490432</v>
      </c>
      <c r="E50">
        <f>LoanPool!L50</f>
        <v>813674.66726720636</v>
      </c>
      <c r="F50">
        <f>LoanPool!M50</f>
        <v>1840747.5772063234</v>
      </c>
      <c r="G50">
        <f>LoanPool!H50</f>
        <v>57998.58753653946</v>
      </c>
      <c r="H50">
        <f>Waterfall!X50</f>
        <v>127738328.71667089</v>
      </c>
      <c r="I50">
        <f>Waterfall!Y50</f>
        <v>45000000</v>
      </c>
      <c r="J50">
        <f>Waterfall!Z50</f>
        <v>11345706.208233297</v>
      </c>
      <c r="K50">
        <f>Waterfall!AA50</f>
        <v>0</v>
      </c>
      <c r="L50">
        <f>Waterfall!AB50</f>
        <v>0</v>
      </c>
      <c r="M50">
        <f>Waterfall!AC50</f>
        <v>0</v>
      </c>
    </row>
    <row r="51" spans="1:13" x14ac:dyDescent="0.2">
      <c r="A51" t="str">
        <f>Inputs!B14</f>
        <v>Base</v>
      </c>
      <c r="B51">
        <f>LoanPool!A51</f>
        <v>50</v>
      </c>
      <c r="C51">
        <f>LoanPool!B51</f>
        <v>184084034.92490432</v>
      </c>
      <c r="D51">
        <f>LoanPool!J51</f>
        <v>182202104.79283503</v>
      </c>
      <c r="E51">
        <f>LoanPool!L51</f>
        <v>805367.65279645636</v>
      </c>
      <c r="F51">
        <f>LoanPool!M51</f>
        <v>1824524.4763942512</v>
      </c>
      <c r="G51">
        <f>LoanPool!H51</f>
        <v>57405.655675028509</v>
      </c>
      <c r="H51">
        <f>Waterfall!X51</f>
        <v>125913804.24027663</v>
      </c>
      <c r="I51">
        <f>Waterfall!Y51</f>
        <v>45000000</v>
      </c>
      <c r="J51">
        <f>Waterfall!Z51</f>
        <v>11288300.552558267</v>
      </c>
      <c r="K51">
        <f>Waterfall!AA51</f>
        <v>0</v>
      </c>
      <c r="L51">
        <f>Waterfall!AB51</f>
        <v>0</v>
      </c>
      <c r="M51">
        <f>Waterfall!AC51</f>
        <v>0</v>
      </c>
    </row>
    <row r="52" spans="1:13" x14ac:dyDescent="0.2">
      <c r="A52" t="str">
        <f>Inputs!B14</f>
        <v>Base</v>
      </c>
      <c r="B52">
        <f>LoanPool!A52</f>
        <v>51</v>
      </c>
      <c r="C52">
        <f>LoanPool!B52</f>
        <v>182202104.79283503</v>
      </c>
      <c r="D52">
        <f>LoanPool!J52</f>
        <v>180336848.80201489</v>
      </c>
      <c r="E52">
        <f>LoanPool!L52</f>
        <v>797134.20846865338</v>
      </c>
      <c r="F52">
        <f>LoanPool!M52</f>
        <v>1808438.0135546401</v>
      </c>
      <c r="G52">
        <f>LoanPool!H52</f>
        <v>56817.977265514237</v>
      </c>
      <c r="H52">
        <f>Waterfall!X52</f>
        <v>124105366.226722</v>
      </c>
      <c r="I52">
        <f>Waterfall!Y52</f>
        <v>45000000</v>
      </c>
      <c r="J52">
        <f>Waterfall!Z52</f>
        <v>11231482.575292753</v>
      </c>
      <c r="K52">
        <f>Waterfall!AA52</f>
        <v>0</v>
      </c>
      <c r="L52">
        <f>Waterfall!AB52</f>
        <v>0</v>
      </c>
      <c r="M52">
        <f>Waterfall!AC52</f>
        <v>0</v>
      </c>
    </row>
    <row r="53" spans="1:13" x14ac:dyDescent="0.2">
      <c r="A53" t="str">
        <f>Inputs!B14</f>
        <v>Base</v>
      </c>
      <c r="B53">
        <f>LoanPool!A53</f>
        <v>52</v>
      </c>
      <c r="C53">
        <f>LoanPool!B53</f>
        <v>180336848.80201489</v>
      </c>
      <c r="D53">
        <f>LoanPool!J53</f>
        <v>178488126.23605224</v>
      </c>
      <c r="E53">
        <f>LoanPool!L53</f>
        <v>788973.71350881516</v>
      </c>
      <c r="F53">
        <f>LoanPool!M53</f>
        <v>1792487.057989565</v>
      </c>
      <c r="G53">
        <f>LoanPool!H53</f>
        <v>56235.507973071246</v>
      </c>
      <c r="H53">
        <f>Waterfall!X53</f>
        <v>122312879.16873243</v>
      </c>
      <c r="I53">
        <f>Waterfall!Y53</f>
        <v>45000000</v>
      </c>
      <c r="J53">
        <f>Waterfall!Z53</f>
        <v>11175247.067319682</v>
      </c>
      <c r="K53">
        <f>Waterfall!AA53</f>
        <v>0</v>
      </c>
      <c r="L53">
        <f>Waterfall!AB53</f>
        <v>0</v>
      </c>
      <c r="M53">
        <f>Waterfall!AC53</f>
        <v>0</v>
      </c>
    </row>
    <row r="54" spans="1:13" x14ac:dyDescent="0.2">
      <c r="A54" t="str">
        <f>Inputs!B14</f>
        <v>Base</v>
      </c>
      <c r="B54">
        <f>LoanPool!A54</f>
        <v>53</v>
      </c>
      <c r="C54">
        <f>LoanPool!B54</f>
        <v>178488126.23605224</v>
      </c>
      <c r="D54">
        <f>LoanPool!J54</f>
        <v>176655797.54393137</v>
      </c>
      <c r="E54">
        <f>LoanPool!L54</f>
        <v>780885.5522827286</v>
      </c>
      <c r="F54">
        <f>LoanPool!M54</f>
        <v>1776670.488290939</v>
      </c>
      <c r="G54">
        <f>LoanPool!H54</f>
        <v>55658.203829944228</v>
      </c>
      <c r="H54">
        <f>Waterfall!X54</f>
        <v>120536208.6804415</v>
      </c>
      <c r="I54">
        <f>Waterfall!Y54</f>
        <v>45000000</v>
      </c>
      <c r="J54">
        <f>Waterfall!Z54</f>
        <v>11119588.863489738</v>
      </c>
      <c r="K54">
        <f>Waterfall!AA54</f>
        <v>0</v>
      </c>
      <c r="L54">
        <f>Waterfall!AB54</f>
        <v>0</v>
      </c>
      <c r="M54">
        <f>Waterfall!AC54</f>
        <v>0</v>
      </c>
    </row>
    <row r="55" spans="1:13" x14ac:dyDescent="0.2">
      <c r="A55" t="str">
        <f>Inputs!B14</f>
        <v>Base</v>
      </c>
      <c r="B55">
        <f>LoanPool!A55</f>
        <v>54</v>
      </c>
      <c r="C55">
        <f>LoanPool!B55</f>
        <v>176655797.54393137</v>
      </c>
      <c r="D55">
        <f>LoanPool!J55</f>
        <v>174839724.33043441</v>
      </c>
      <c r="E55">
        <f>LoanPool!L55</f>
        <v>772869.11425469967</v>
      </c>
      <c r="F55">
        <f>LoanPool!M55</f>
        <v>1760987.192264416</v>
      </c>
      <c r="G55">
        <f>LoanPool!H55</f>
        <v>55086.0212325303</v>
      </c>
      <c r="H55">
        <f>Waterfall!X55</f>
        <v>118775221.48817708</v>
      </c>
      <c r="I55">
        <f>Waterfall!Y55</f>
        <v>45000000</v>
      </c>
      <c r="J55">
        <f>Waterfall!Z55</f>
        <v>11064502.842257207</v>
      </c>
      <c r="K55">
        <f>Waterfall!AA55</f>
        <v>0</v>
      </c>
      <c r="L55">
        <f>Waterfall!AB55</f>
        <v>0</v>
      </c>
      <c r="M55">
        <f>Waterfall!AC55</f>
        <v>0</v>
      </c>
    </row>
    <row r="56" spans="1:13" x14ac:dyDescent="0.2">
      <c r="A56" t="str">
        <f>Inputs!B14</f>
        <v>Base</v>
      </c>
      <c r="B56">
        <f>LoanPool!A56</f>
        <v>55</v>
      </c>
      <c r="C56">
        <f>LoanPool!B56</f>
        <v>174839724.33043441</v>
      </c>
      <c r="D56">
        <f>LoanPool!J56</f>
        <v>173039769.34664211</v>
      </c>
      <c r="E56">
        <f>LoanPool!L56</f>
        <v>764923.79394565057</v>
      </c>
      <c r="F56">
        <f>LoanPool!M56</f>
        <v>1745436.0668539139</v>
      </c>
      <c r="G56">
        <f>LoanPool!H56</f>
        <v>54518.916938386079</v>
      </c>
      <c r="H56">
        <f>Waterfall!X56</f>
        <v>117029785.42132317</v>
      </c>
      <c r="I56">
        <f>Waterfall!Y56</f>
        <v>45000000</v>
      </c>
      <c r="J56">
        <f>Waterfall!Z56</f>
        <v>11009983.92531882</v>
      </c>
      <c r="K56">
        <f>Waterfall!AA56</f>
        <v>0</v>
      </c>
      <c r="L56">
        <f>Waterfall!AB56</f>
        <v>0</v>
      </c>
      <c r="M56">
        <f>Waterfall!AC56</f>
        <v>0</v>
      </c>
    </row>
    <row r="57" spans="1:13" x14ac:dyDescent="0.2">
      <c r="A57" t="str">
        <f>Inputs!B14</f>
        <v>Base</v>
      </c>
      <c r="B57">
        <f>LoanPool!A57</f>
        <v>56</v>
      </c>
      <c r="C57">
        <f>LoanPool!B57</f>
        <v>173039769.34664211</v>
      </c>
      <c r="D57">
        <f>LoanPool!J57</f>
        <v>171255796.48051208</v>
      </c>
      <c r="E57">
        <f>LoanPool!L57</f>
        <v>757048.99089155917</v>
      </c>
      <c r="F57">
        <f>LoanPool!M57</f>
        <v>1730016.0180667546</v>
      </c>
      <c r="G57">
        <f>LoanPool!H57</f>
        <v>53956.848063259225</v>
      </c>
      <c r="H57">
        <f>Waterfall!X57</f>
        <v>115299769.40325642</v>
      </c>
      <c r="I57">
        <f>Waterfall!Y57</f>
        <v>45000000</v>
      </c>
      <c r="J57">
        <f>Waterfall!Z57</f>
        <v>10956027.077255562</v>
      </c>
      <c r="K57">
        <f>Waterfall!AA57</f>
        <v>0</v>
      </c>
      <c r="L57">
        <f>Waterfall!AB57</f>
        <v>0</v>
      </c>
      <c r="M57">
        <f>Waterfall!AC57</f>
        <v>0</v>
      </c>
    </row>
    <row r="58" spans="1:13" x14ac:dyDescent="0.2">
      <c r="A58" t="str">
        <f>Inputs!B14</f>
        <v>Base</v>
      </c>
      <c r="B58">
        <f>LoanPool!A58</f>
        <v>57</v>
      </c>
      <c r="C58">
        <f>LoanPool!B58</f>
        <v>171255796.48051208</v>
      </c>
      <c r="D58">
        <f>LoanPool!J58</f>
        <v>169487670.74753451</v>
      </c>
      <c r="E58">
        <f>LoanPool!L58</f>
        <v>749244.10960224038</v>
      </c>
      <c r="F58">
        <f>LoanPool!M58</f>
        <v>1714725.9608994154</v>
      </c>
      <c r="G58">
        <f>LoanPool!H58</f>
        <v>53399.772078144371</v>
      </c>
      <c r="H58">
        <f>Waterfall!X58</f>
        <v>113585043.442357</v>
      </c>
      <c r="I58">
        <f>Waterfall!Y58</f>
        <v>45000000</v>
      </c>
      <c r="J58">
        <f>Waterfall!Z58</f>
        <v>10902627.305177417</v>
      </c>
      <c r="K58">
        <f>Waterfall!AA58</f>
        <v>0</v>
      </c>
      <c r="L58">
        <f>Waterfall!AB58</f>
        <v>0</v>
      </c>
      <c r="M58">
        <f>Waterfall!AC58</f>
        <v>0</v>
      </c>
    </row>
    <row r="59" spans="1:13" x14ac:dyDescent="0.2">
      <c r="A59" t="str">
        <f>Inputs!B14</f>
        <v>Base</v>
      </c>
      <c r="B59">
        <f>LoanPool!A59</f>
        <v>58</v>
      </c>
      <c r="C59">
        <f>LoanPool!B59</f>
        <v>169487670.74753451</v>
      </c>
      <c r="D59">
        <f>LoanPool!J59</f>
        <v>167735258.28146425</v>
      </c>
      <c r="E59">
        <f>LoanPool!L59</f>
        <v>741508.55952046346</v>
      </c>
      <c r="F59">
        <f>LoanPool!M59</f>
        <v>1699564.8192638936</v>
      </c>
      <c r="G59">
        <f>LoanPool!H59</f>
        <v>52847.64680636314</v>
      </c>
      <c r="H59">
        <f>Waterfall!X59</f>
        <v>111885478.62309311</v>
      </c>
      <c r="I59">
        <f>Waterfall!Y59</f>
        <v>45000000</v>
      </c>
      <c r="J59">
        <f>Waterfall!Z59</f>
        <v>10849779.658371054</v>
      </c>
      <c r="K59">
        <f>Waterfall!AA59</f>
        <v>0</v>
      </c>
      <c r="L59">
        <f>Waterfall!AB59</f>
        <v>0</v>
      </c>
      <c r="M59">
        <f>Waterfall!AC59</f>
        <v>0</v>
      </c>
    </row>
    <row r="60" spans="1:13" x14ac:dyDescent="0.2">
      <c r="A60" t="str">
        <f>Inputs!B14</f>
        <v>Base</v>
      </c>
      <c r="B60">
        <f>LoanPool!A60</f>
        <v>59</v>
      </c>
      <c r="C60">
        <f>LoanPool!B60</f>
        <v>167735258.28146425</v>
      </c>
      <c r="D60">
        <f>LoanPool!J60</f>
        <v>165998426.32512891</v>
      </c>
      <c r="E60">
        <f>LoanPool!L60</f>
        <v>733841.75498140615</v>
      </c>
      <c r="F60">
        <f>LoanPool!M60</f>
        <v>1684531.5259146641</v>
      </c>
      <c r="G60">
        <f>LoanPool!H60</f>
        <v>52300.430420668054</v>
      </c>
      <c r="H60">
        <f>Waterfall!X60</f>
        <v>110200947.09717844</v>
      </c>
      <c r="I60">
        <f>Waterfall!Y60</f>
        <v>45000000</v>
      </c>
      <c r="J60">
        <f>Waterfall!Z60</f>
        <v>10797479.227950385</v>
      </c>
      <c r="K60">
        <f>Waterfall!AA60</f>
        <v>0</v>
      </c>
      <c r="L60">
        <f>Waterfall!AB60</f>
        <v>0</v>
      </c>
      <c r="M60">
        <f>Waterfall!AC60</f>
        <v>0</v>
      </c>
    </row>
    <row r="61" spans="1:13" x14ac:dyDescent="0.2">
      <c r="A61" t="str">
        <f>Inputs!B14</f>
        <v>Base</v>
      </c>
      <c r="B61">
        <f>LoanPool!A61</f>
        <v>60</v>
      </c>
      <c r="C61">
        <f>LoanPool!B61</f>
        <v>165998426.32512891</v>
      </c>
      <c r="D61">
        <f>LoanPool!J61</f>
        <v>164277043.22131228</v>
      </c>
      <c r="E61">
        <f>LoanPool!L61</f>
        <v>726243.11517243902</v>
      </c>
      <c r="F61">
        <f>LoanPool!M61</f>
        <v>1669625.0223762454</v>
      </c>
      <c r="G61">
        <f>LoanPool!H61</f>
        <v>51758.081440370246</v>
      </c>
      <c r="H61">
        <f>Waterfall!X61</f>
        <v>108531322.0748022</v>
      </c>
      <c r="I61">
        <f>Waterfall!Y61</f>
        <v>45000000</v>
      </c>
      <c r="J61">
        <f>Waterfall!Z61</f>
        <v>10745721.146510014</v>
      </c>
      <c r="K61">
        <f>Waterfall!AA61</f>
        <v>0</v>
      </c>
      <c r="L61">
        <f>Waterfall!AB61</f>
        <v>0</v>
      </c>
      <c r="M61">
        <f>Waterfall!AC61</f>
        <v>0</v>
      </c>
    </row>
    <row r="62" spans="1:13" x14ac:dyDescent="0.2">
      <c r="A62" t="str">
        <f>Inputs!B14</f>
        <v>Base</v>
      </c>
      <c r="B62">
        <f>LoanPool!A62</f>
        <v>61</v>
      </c>
      <c r="C62">
        <f>LoanPool!B62</f>
        <v>164277043.22131228</v>
      </c>
      <c r="D62">
        <f>LoanPool!J62</f>
        <v>162570978.40371245</v>
      </c>
      <c r="E62">
        <f>LoanPool!L62</f>
        <v>718712.06409324135</v>
      </c>
      <c r="F62">
        <f>LoanPool!M62</f>
        <v>1654844.2588713476</v>
      </c>
      <c r="G62">
        <f>LoanPool!H62</f>
        <v>51220.558728490643</v>
      </c>
      <c r="H62">
        <f>Waterfall!X62</f>
        <v>106876477.81593086</v>
      </c>
      <c r="I62">
        <f>Waterfall!Y62</f>
        <v>45000000</v>
      </c>
      <c r="J62">
        <f>Waterfall!Z62</f>
        <v>10694500.587781524</v>
      </c>
      <c r="K62">
        <f>Waterfall!AA62</f>
        <v>0</v>
      </c>
      <c r="L62">
        <f>Waterfall!AB62</f>
        <v>0</v>
      </c>
      <c r="M62">
        <f>Waterfall!AC62</f>
        <v>0</v>
      </c>
    </row>
    <row r="63" spans="1:13" x14ac:dyDescent="0.2">
      <c r="A63" t="str">
        <f>Inputs!B14</f>
        <v>Base</v>
      </c>
      <c r="B63">
        <f>LoanPool!A63</f>
        <v>62</v>
      </c>
      <c r="C63">
        <f>LoanPool!B63</f>
        <v>162570978.40371245</v>
      </c>
      <c r="D63">
        <f>LoanPool!J63</f>
        <v>160880102.3879739</v>
      </c>
      <c r="E63">
        <f>LoanPool!L63</f>
        <v>711248.03051624203</v>
      </c>
      <c r="F63">
        <f>LoanPool!M63</f>
        <v>1640188.1942496183</v>
      </c>
      <c r="G63">
        <f>LoanPool!H63</f>
        <v>50687.821488934511</v>
      </c>
      <c r="H63">
        <f>Waterfall!X63</f>
        <v>105236289.62168124</v>
      </c>
      <c r="I63">
        <f>Waterfall!Y63</f>
        <v>45000000</v>
      </c>
      <c r="J63">
        <f>Waterfall!Z63</f>
        <v>10643812.766292591</v>
      </c>
      <c r="K63">
        <f>Waterfall!AA63</f>
        <v>0</v>
      </c>
      <c r="L63">
        <f>Waterfall!AB63</f>
        <v>0</v>
      </c>
      <c r="M63">
        <f>Waterfall!AC63</f>
        <v>0</v>
      </c>
    </row>
    <row r="64" spans="1:13" x14ac:dyDescent="0.2">
      <c r="A64" t="str">
        <f>Inputs!B14</f>
        <v>Base</v>
      </c>
      <c r="B64">
        <f>LoanPool!A64</f>
        <v>63</v>
      </c>
      <c r="C64">
        <f>LoanPool!B64</f>
        <v>160880102.3879739</v>
      </c>
      <c r="D64">
        <f>LoanPool!J64</f>
        <v>159204286.76279324</v>
      </c>
      <c r="E64">
        <f>LoanPool!L64</f>
        <v>703850.44794738595</v>
      </c>
      <c r="F64">
        <f>LoanPool!M64</f>
        <v>1625655.7959169629</v>
      </c>
      <c r="G64">
        <f>LoanPool!H64</f>
        <v>50159.829263689178</v>
      </c>
      <c r="H64">
        <f>Waterfall!X64</f>
        <v>103610633.82576428</v>
      </c>
      <c r="I64">
        <f>Waterfall!Y64</f>
        <v>45000000</v>
      </c>
      <c r="J64">
        <f>Waterfall!Z64</f>
        <v>10593652.937028902</v>
      </c>
      <c r="K64">
        <f>Waterfall!AA64</f>
        <v>0</v>
      </c>
      <c r="L64">
        <f>Waterfall!AB64</f>
        <v>0</v>
      </c>
      <c r="M64">
        <f>Waterfall!AC64</f>
        <v>0</v>
      </c>
    </row>
    <row r="65" spans="1:13" x14ac:dyDescent="0.2">
      <c r="A65" t="str">
        <f>Inputs!B14</f>
        <v>Base</v>
      </c>
      <c r="B65">
        <f>LoanPool!A65</f>
        <v>64</v>
      </c>
      <c r="C65">
        <f>LoanPool!B65</f>
        <v>159204286.76279324</v>
      </c>
      <c r="D65">
        <f>LoanPool!J65</f>
        <v>157543404.18109775</v>
      </c>
      <c r="E65">
        <f>LoanPool!L65</f>
        <v>696518.75458722049</v>
      </c>
      <c r="F65">
        <f>LoanPool!M65</f>
        <v>1611246.0397654492</v>
      </c>
      <c r="G65">
        <f>LoanPool!H65</f>
        <v>49636.541930044637</v>
      </c>
      <c r="H65">
        <f>Waterfall!X65</f>
        <v>101999387.78599884</v>
      </c>
      <c r="I65">
        <f>Waterfall!Y65</f>
        <v>45000000</v>
      </c>
      <c r="J65">
        <f>Waterfall!Z65</f>
        <v>10544016.395098858</v>
      </c>
      <c r="K65">
        <f>Waterfall!AA65</f>
        <v>0</v>
      </c>
      <c r="L65">
        <f>Waterfall!AB65</f>
        <v>0</v>
      </c>
      <c r="M65">
        <f>Waterfall!AC65</f>
        <v>0</v>
      </c>
    </row>
    <row r="66" spans="1:13" x14ac:dyDescent="0.2">
      <c r="A66" t="str">
        <f>Inputs!B14</f>
        <v>Base</v>
      </c>
      <c r="B66">
        <f>LoanPool!A66</f>
        <v>65</v>
      </c>
      <c r="C66">
        <f>LoanPool!B66</f>
        <v>157543404.18109775</v>
      </c>
      <c r="D66">
        <f>LoanPool!J66</f>
        <v>155897328.35129613</v>
      </c>
      <c r="E66">
        <f>LoanPool!L66</f>
        <v>689252.39329230262</v>
      </c>
      <c r="F66">
        <f>LoanPool!M66</f>
        <v>1596957.910103783</v>
      </c>
      <c r="G66">
        <f>LoanPool!H66</f>
        <v>49117.91969783706</v>
      </c>
      <c r="H66">
        <f>Waterfall!X66</f>
        <v>100402429.87589505</v>
      </c>
      <c r="I66">
        <f>Waterfall!Y66</f>
        <v>45000000</v>
      </c>
      <c r="J66">
        <f>Waterfall!Z66</f>
        <v>10494898.47540102</v>
      </c>
      <c r="K66">
        <f>Waterfall!AA66</f>
        <v>0</v>
      </c>
      <c r="L66">
        <f>Waterfall!AB66</f>
        <v>0</v>
      </c>
      <c r="M66">
        <f>Waterfall!AC66</f>
        <v>0</v>
      </c>
    </row>
    <row r="67" spans="1:13" x14ac:dyDescent="0.2">
      <c r="A67" t="str">
        <f>Inputs!B14</f>
        <v>Base</v>
      </c>
      <c r="B67">
        <f>LoanPool!A67</f>
        <v>66</v>
      </c>
      <c r="C67">
        <f>LoanPool!B67</f>
        <v>155897328.35129613</v>
      </c>
      <c r="D67">
        <f>LoanPool!J67</f>
        <v>154265934.02860105</v>
      </c>
      <c r="E67">
        <f>LoanPool!L67</f>
        <v>682050.81153692061</v>
      </c>
      <c r="F67">
        <f>LoanPool!M67</f>
        <v>1582790.39958835</v>
      </c>
      <c r="G67">
        <f>LoanPool!H67</f>
        <v>48603.923106714741</v>
      </c>
      <c r="H67">
        <f>Waterfall!X67</f>
        <v>98819639.476306707</v>
      </c>
      <c r="I67">
        <f>Waterfall!Y67</f>
        <v>45000000</v>
      </c>
      <c r="J67">
        <f>Waterfall!Z67</f>
        <v>10446294.552294305</v>
      </c>
      <c r="K67">
        <f>Waterfall!AA67</f>
        <v>0</v>
      </c>
      <c r="L67">
        <f>Waterfall!AB67</f>
        <v>0</v>
      </c>
      <c r="M67">
        <f>Waterfall!AC67</f>
        <v>0</v>
      </c>
    </row>
    <row r="68" spans="1:13" x14ac:dyDescent="0.2">
      <c r="A68" t="str">
        <f>Inputs!B14</f>
        <v>Base</v>
      </c>
      <c r="B68">
        <f>LoanPool!A68</f>
        <v>67</v>
      </c>
      <c r="C68">
        <f>LoanPool!B68</f>
        <v>154265934.02860105</v>
      </c>
      <c r="D68">
        <f>LoanPool!J68</f>
        <v>152649097.00642279</v>
      </c>
      <c r="E68">
        <f>LoanPool!L68</f>
        <v>674913.46137512964</v>
      </c>
      <c r="F68">
        <f>LoanPool!M68</f>
        <v>1568742.5091548313</v>
      </c>
      <c r="G68">
        <f>LoanPool!H68</f>
        <v>48094.513023426538</v>
      </c>
      <c r="H68">
        <f>Waterfall!X68</f>
        <v>97250896.96715188</v>
      </c>
      <c r="I68">
        <f>Waterfall!Y68</f>
        <v>45000000</v>
      </c>
      <c r="J68">
        <f>Waterfall!Z68</f>
        <v>10398200.039270878</v>
      </c>
      <c r="K68">
        <f>Waterfall!AA68</f>
        <v>0</v>
      </c>
      <c r="L68">
        <f>Waterfall!AB68</f>
        <v>0</v>
      </c>
      <c r="M68">
        <f>Waterfall!AC68</f>
        <v>0</v>
      </c>
    </row>
    <row r="69" spans="1:13" x14ac:dyDescent="0.2">
      <c r="A69" t="str">
        <f>Inputs!B14</f>
        <v>Base</v>
      </c>
      <c r="B69">
        <f>LoanPool!A69</f>
        <v>68</v>
      </c>
      <c r="C69">
        <f>LoanPool!B69</f>
        <v>152649097.00642279</v>
      </c>
      <c r="D69">
        <f>LoanPool!J69</f>
        <v>151046694.1078333</v>
      </c>
      <c r="E69">
        <f>LoanPool!L69</f>
        <v>667839.79940309981</v>
      </c>
      <c r="F69">
        <f>LoanPool!M69</f>
        <v>1554813.2479503646</v>
      </c>
      <c r="G69">
        <f>LoanPool!H69</f>
        <v>47589.650639132524</v>
      </c>
      <c r="H69">
        <f>Waterfall!X69</f>
        <v>95696083.71920152</v>
      </c>
      <c r="I69">
        <f>Waterfall!Y69</f>
        <v>45000000</v>
      </c>
      <c r="J69">
        <f>Waterfall!Z69</f>
        <v>10350610.388631746</v>
      </c>
      <c r="K69">
        <f>Waterfall!AA69</f>
        <v>0</v>
      </c>
      <c r="L69">
        <f>Waterfall!AB69</f>
        <v>0</v>
      </c>
      <c r="M69">
        <f>Waterfall!AC69</f>
        <v>0</v>
      </c>
    </row>
    <row r="70" spans="1:13" x14ac:dyDescent="0.2">
      <c r="A70" t="str">
        <f>Inputs!B14</f>
        <v>Base</v>
      </c>
      <c r="B70">
        <f>LoanPool!A70</f>
        <v>69</v>
      </c>
      <c r="C70">
        <f>LoanPool!B70</f>
        <v>151046694.1078333</v>
      </c>
      <c r="D70">
        <f>LoanPool!J70</f>
        <v>149458603.1771003</v>
      </c>
      <c r="E70">
        <f>LoanPool!L70</f>
        <v>660829.28672177077</v>
      </c>
      <c r="F70">
        <f>LoanPool!M70</f>
        <v>1541001.6332662727</v>
      </c>
      <c r="G70">
        <f>LoanPool!H70</f>
        <v>47089.297466736694</v>
      </c>
      <c r="H70">
        <f>Waterfall!X70</f>
        <v>94155082.08593525</v>
      </c>
      <c r="I70">
        <f>Waterfall!Y70</f>
        <v>45000000</v>
      </c>
      <c r="J70">
        <f>Waterfall!Z70</f>
        <v>10303521.09116501</v>
      </c>
      <c r="K70">
        <f>Waterfall!AA70</f>
        <v>0</v>
      </c>
      <c r="L70">
        <f>Waterfall!AB70</f>
        <v>0</v>
      </c>
      <c r="M70">
        <f>Waterfall!AC70</f>
        <v>0</v>
      </c>
    </row>
    <row r="71" spans="1:13" x14ac:dyDescent="0.2">
      <c r="A71" t="str">
        <f>Inputs!B14</f>
        <v>Base</v>
      </c>
      <c r="B71">
        <f>LoanPool!A71</f>
        <v>70</v>
      </c>
      <c r="C71">
        <f>LoanPool!B71</f>
        <v>149458603.1771003</v>
      </c>
      <c r="D71">
        <f>LoanPool!J71</f>
        <v>147884703.07129073</v>
      </c>
      <c r="E71">
        <f>LoanPool!L71</f>
        <v>653881.38889981399</v>
      </c>
      <c r="F71">
        <f>LoanPool!M71</f>
        <v>1527306.6904713348</v>
      </c>
      <c r="G71">
        <f>LoanPool!H71</f>
        <v>46593.415338241393</v>
      </c>
      <c r="H71">
        <f>Waterfall!X71</f>
        <v>92627775.395463914</v>
      </c>
      <c r="I71">
        <f>Waterfall!Y71</f>
        <v>45000000</v>
      </c>
      <c r="J71">
        <f>Waterfall!Z71</f>
        <v>10256927.675826769</v>
      </c>
      <c r="K71">
        <f>Waterfall!AA71</f>
        <v>0</v>
      </c>
      <c r="L71">
        <f>Waterfall!AB71</f>
        <v>0</v>
      </c>
      <c r="M71">
        <f>Waterfall!AC71</f>
        <v>0</v>
      </c>
    </row>
    <row r="72" spans="1:13" x14ac:dyDescent="0.2">
      <c r="A72" t="str">
        <f>Inputs!B14</f>
        <v>Base</v>
      </c>
      <c r="B72">
        <f>LoanPool!A72</f>
        <v>71</v>
      </c>
      <c r="C72">
        <f>LoanPool!B72</f>
        <v>147884703.07129073</v>
      </c>
      <c r="D72">
        <f>LoanPool!J72</f>
        <v>146324873.651943</v>
      </c>
      <c r="E72">
        <f>LoanPool!L72</f>
        <v>646995.57593689696</v>
      </c>
      <c r="F72">
        <f>LoanPool!M72</f>
        <v>1513727.4529456079</v>
      </c>
      <c r="G72">
        <f>LoanPool!H72</f>
        <v>46101.966402123646</v>
      </c>
      <c r="H72">
        <f>Waterfall!X72</f>
        <v>91114047.942518309</v>
      </c>
      <c r="I72">
        <f>Waterfall!Y72</f>
        <v>45000000</v>
      </c>
      <c r="J72">
        <f>Waterfall!Z72</f>
        <v>10210825.709424647</v>
      </c>
      <c r="K72">
        <f>Waterfall!AA72</f>
        <v>0</v>
      </c>
      <c r="L72">
        <f>Waterfall!AB72</f>
        <v>0</v>
      </c>
      <c r="M72">
        <f>Waterfall!AC72</f>
        <v>0</v>
      </c>
    </row>
    <row r="73" spans="1:13" x14ac:dyDescent="0.2">
      <c r="A73" t="str">
        <f>Inputs!B14</f>
        <v>Base</v>
      </c>
      <c r="B73">
        <f>LoanPool!A73</f>
        <v>72</v>
      </c>
      <c r="C73">
        <f>LoanPool!B73</f>
        <v>146324873.651943</v>
      </c>
      <c r="D73">
        <f>LoanPool!J73</f>
        <v>144778995.77680749</v>
      </c>
      <c r="E73">
        <f>LoanPool!L73</f>
        <v>640171.32222725067</v>
      </c>
      <c r="F73">
        <f>LoanPool!M73</f>
        <v>1500262.9620147869</v>
      </c>
      <c r="G73">
        <f>LoanPool!H73</f>
        <v>45614.913120732759</v>
      </c>
      <c r="H73">
        <f>Waterfall!X73</f>
        <v>89613784.980503529</v>
      </c>
      <c r="I73">
        <f>Waterfall!Y73</f>
        <v>45000000</v>
      </c>
      <c r="J73">
        <f>Waterfall!Z73</f>
        <v>10165210.796303913</v>
      </c>
      <c r="K73">
        <f>Waterfall!AA73</f>
        <v>0</v>
      </c>
      <c r="L73">
        <f>Waterfall!AB73</f>
        <v>0</v>
      </c>
      <c r="M73">
        <f>Waterfall!AC73</f>
        <v>0</v>
      </c>
    </row>
    <row r="74" spans="1:13" x14ac:dyDescent="0.2">
      <c r="A74" t="str">
        <f>Inputs!B14</f>
        <v>Base</v>
      </c>
      <c r="B74">
        <f>LoanPool!A74</f>
        <v>73</v>
      </c>
      <c r="C74">
        <f>LoanPool!B74</f>
        <v>144778995.77680749</v>
      </c>
      <c r="D74">
        <f>LoanPool!J74</f>
        <v>143246951.29165468</v>
      </c>
      <c r="E74">
        <f>LoanPool!L74</f>
        <v>633408.10652353277</v>
      </c>
      <c r="F74">
        <f>LoanPool!M74</f>
        <v>1486912.2668851048</v>
      </c>
      <c r="G74">
        <f>LoanPool!H74</f>
        <v>45132.21826770949</v>
      </c>
      <c r="H74">
        <f>Waterfall!X74</f>
        <v>88126872.713618428</v>
      </c>
      <c r="I74">
        <f>Waterfall!Y74</f>
        <v>45000000</v>
      </c>
      <c r="J74">
        <f>Waterfall!Z74</f>
        <v>10120078.578036204</v>
      </c>
      <c r="K74">
        <f>Waterfall!AA74</f>
        <v>0</v>
      </c>
      <c r="L74">
        <f>Waterfall!AB74</f>
        <v>0</v>
      </c>
      <c r="M74">
        <f>Waterfall!AC74</f>
        <v>0</v>
      </c>
    </row>
    <row r="75" spans="1:13" x14ac:dyDescent="0.2">
      <c r="A75" t="str">
        <f>Inputs!B14</f>
        <v>Base</v>
      </c>
      <c r="B75">
        <f>LoanPool!A75</f>
        <v>74</v>
      </c>
      <c r="C75">
        <f>LoanPool!B75</f>
        <v>143246951.29165468</v>
      </c>
      <c r="D75">
        <f>LoanPool!J75</f>
        <v>141728623.02215049</v>
      </c>
      <c r="E75">
        <f>LoanPool!L75</f>
        <v>626705.41190098925</v>
      </c>
      <c r="F75">
        <f>LoanPool!M75</f>
        <v>1473674.4245787631</v>
      </c>
      <c r="G75">
        <f>LoanPool!H75</f>
        <v>44653.844925426085</v>
      </c>
      <c r="H75">
        <f>Waterfall!X75</f>
        <v>86653198.289039671</v>
      </c>
      <c r="I75">
        <f>Waterfall!Y75</f>
        <v>45000000</v>
      </c>
      <c r="J75">
        <f>Waterfall!Z75</f>
        <v>10075424.733110778</v>
      </c>
      <c r="K75">
        <f>Waterfall!AA75</f>
        <v>0</v>
      </c>
      <c r="L75">
        <f>Waterfall!AB75</f>
        <v>0</v>
      </c>
      <c r="M75">
        <f>Waterfall!AC75</f>
        <v>0</v>
      </c>
    </row>
    <row r="76" spans="1:13" x14ac:dyDescent="0.2">
      <c r="A76" t="str">
        <f>Inputs!B14</f>
        <v>Base</v>
      </c>
      <c r="B76">
        <f>LoanPool!A76</f>
        <v>75</v>
      </c>
      <c r="C76">
        <f>LoanPool!B76</f>
        <v>141728623.02215049</v>
      </c>
      <c r="D76">
        <f>LoanPool!J76</f>
        <v>140223894.76579815</v>
      </c>
      <c r="E76">
        <f>LoanPool!L76</f>
        <v>620062.72572190838</v>
      </c>
      <c r="F76">
        <f>LoanPool!M76</f>
        <v>1460548.4998698912</v>
      </c>
      <c r="G76">
        <f>LoanPool!H76</f>
        <v>44179.756482447541</v>
      </c>
      <c r="H76">
        <f>Waterfall!X76</f>
        <v>85192649.789169773</v>
      </c>
      <c r="I76">
        <f>Waterfall!Y76</f>
        <v>45000000</v>
      </c>
      <c r="J76">
        <f>Waterfall!Z76</f>
        <v>10031244.97662833</v>
      </c>
      <c r="K76">
        <f>Waterfall!AA76</f>
        <v>0</v>
      </c>
      <c r="L76">
        <f>Waterfall!AB76</f>
        <v>0</v>
      </c>
      <c r="M76">
        <f>Waterfall!AC76</f>
        <v>0</v>
      </c>
    </row>
    <row r="77" spans="1:13" x14ac:dyDescent="0.2">
      <c r="A77" t="str">
        <f>Inputs!B14</f>
        <v>Base</v>
      </c>
      <c r="B77">
        <f>LoanPool!A77</f>
        <v>76</v>
      </c>
      <c r="C77">
        <f>LoanPool!B77</f>
        <v>140223894.76579815</v>
      </c>
      <c r="D77">
        <f>LoanPool!J77</f>
        <v>138732651.2839461</v>
      </c>
      <c r="E77">
        <f>LoanPool!L77</f>
        <v>613479.53960036696</v>
      </c>
      <c r="F77">
        <f>LoanPool!M77</f>
        <v>1447533.5652210293</v>
      </c>
      <c r="G77">
        <f>LoanPool!H77</f>
        <v>43709.916631013533</v>
      </c>
      <c r="H77">
        <f>Waterfall!X77</f>
        <v>83745116.223948747</v>
      </c>
      <c r="I77">
        <f>Waterfall!Y77</f>
        <v>45000000</v>
      </c>
      <c r="J77">
        <f>Waterfall!Z77</f>
        <v>9987535.0599973164</v>
      </c>
      <c r="K77">
        <f>Waterfall!AA77</f>
        <v>0</v>
      </c>
      <c r="L77">
        <f>Waterfall!AB77</f>
        <v>0</v>
      </c>
      <c r="M77">
        <f>Waterfall!AC77</f>
        <v>0</v>
      </c>
    </row>
    <row r="78" spans="1:13" x14ac:dyDescent="0.2">
      <c r="A78" t="str">
        <f>Inputs!B14</f>
        <v>Base</v>
      </c>
      <c r="B78">
        <f>LoanPool!A78</f>
        <v>77</v>
      </c>
      <c r="C78">
        <f>LoanPool!B78</f>
        <v>138732651.2839461</v>
      </c>
      <c r="D78">
        <f>LoanPool!J78</f>
        <v>137254778.29386142</v>
      </c>
      <c r="E78">
        <f>LoanPool!L78</f>
        <v>606955.34936726419</v>
      </c>
      <c r="F78">
        <f>LoanPool!M78</f>
        <v>1434628.700720134</v>
      </c>
      <c r="G78">
        <f>LoanPool!H78</f>
        <v>43244.289364541029</v>
      </c>
      <c r="H78">
        <f>Waterfall!X78</f>
        <v>82310487.523228616</v>
      </c>
      <c r="I78">
        <f>Waterfall!Y78</f>
        <v>45000000</v>
      </c>
      <c r="J78">
        <f>Waterfall!Z78</f>
        <v>9944290.7706327755</v>
      </c>
      <c r="K78">
        <f>Waterfall!AA78</f>
        <v>0</v>
      </c>
      <c r="L78">
        <f>Waterfall!AB78</f>
        <v>0</v>
      </c>
      <c r="M78">
        <f>Waterfall!AC78</f>
        <v>0</v>
      </c>
    </row>
    <row r="79" spans="1:13" x14ac:dyDescent="0.2">
      <c r="A79" t="str">
        <f>Inputs!B14</f>
        <v>Base</v>
      </c>
      <c r="B79">
        <f>LoanPool!A79</f>
        <v>78</v>
      </c>
      <c r="C79">
        <f>LoanPool!B79</f>
        <v>137254778.29386142</v>
      </c>
      <c r="D79">
        <f>LoanPool!J79</f>
        <v>135790162.46086818</v>
      </c>
      <c r="E79">
        <f>LoanPool!L79</f>
        <v>600489.65503564372</v>
      </c>
      <c r="F79">
        <f>LoanPool!M79</f>
        <v>1421832.9940180934</v>
      </c>
      <c r="G79">
        <f>LoanPool!H79</f>
        <v>42782.838975147322</v>
      </c>
      <c r="H79">
        <f>Waterfall!X79</f>
        <v>80888654.529210523</v>
      </c>
      <c r="I79">
        <f>Waterfall!Y79</f>
        <v>45000000</v>
      </c>
      <c r="J79">
        <f>Waterfall!Z79</f>
        <v>9901507.9316576291</v>
      </c>
      <c r="K79">
        <f>Waterfall!AA79</f>
        <v>0</v>
      </c>
      <c r="L79">
        <f>Waterfall!AB79</f>
        <v>0</v>
      </c>
      <c r="M79">
        <f>Waterfall!AC79</f>
        <v>0</v>
      </c>
    </row>
    <row r="80" spans="1:13" x14ac:dyDescent="0.2">
      <c r="A80" t="str">
        <f>Inputs!B14</f>
        <v>Base</v>
      </c>
      <c r="B80">
        <f>LoanPool!A80</f>
        <v>79</v>
      </c>
      <c r="C80">
        <f>LoanPool!B80</f>
        <v>135790162.46086818</v>
      </c>
      <c r="D80">
        <f>LoanPool!J80</f>
        <v>134338691.39055023</v>
      </c>
      <c r="E80">
        <f>LoanPool!L80</f>
        <v>594081.96076629835</v>
      </c>
      <c r="F80">
        <f>LoanPool!M80</f>
        <v>1409145.5402667609</v>
      </c>
      <c r="G80">
        <f>LoanPool!H80</f>
        <v>42325.530051193477</v>
      </c>
      <c r="H80">
        <f>Waterfall!X80</f>
        <v>79479508.988943756</v>
      </c>
      <c r="I80">
        <f>Waterfall!Y80</f>
        <v>45000000</v>
      </c>
      <c r="J80">
        <f>Waterfall!Z80</f>
        <v>9859182.401606435</v>
      </c>
      <c r="K80">
        <f>Waterfall!AA80</f>
        <v>0</v>
      </c>
      <c r="L80">
        <f>Waterfall!AB80</f>
        <v>0</v>
      </c>
      <c r="M80">
        <f>Waterfall!AC80</f>
        <v>0</v>
      </c>
    </row>
    <row r="81" spans="1:13" x14ac:dyDescent="0.2">
      <c r="A81" t="str">
        <f>Inputs!B14</f>
        <v>Base</v>
      </c>
      <c r="B81">
        <f>LoanPool!A81</f>
        <v>80</v>
      </c>
      <c r="C81">
        <f>LoanPool!B81</f>
        <v>134338691.39055023</v>
      </c>
      <c r="D81">
        <f>LoanPool!J81</f>
        <v>132900253.62101789</v>
      </c>
      <c r="E81">
        <f>LoanPool!L81</f>
        <v>587731.7748336572</v>
      </c>
      <c r="F81">
        <f>LoanPool!M81</f>
        <v>1396565.442057489</v>
      </c>
      <c r="G81">
        <f>LoanPool!H81</f>
        <v>41872.327474847742</v>
      </c>
      <c r="H81">
        <f>Waterfall!X81</f>
        <v>78082943.546886265</v>
      </c>
      <c r="I81">
        <f>Waterfall!Y81</f>
        <v>45000000</v>
      </c>
      <c r="J81">
        <f>Waterfall!Z81</f>
        <v>9817310.0741315875</v>
      </c>
      <c r="K81">
        <f>Waterfall!AA81</f>
        <v>0</v>
      </c>
      <c r="L81">
        <f>Waterfall!AB81</f>
        <v>0</v>
      </c>
      <c r="M81">
        <f>Waterfall!AC81</f>
        <v>0</v>
      </c>
    </row>
    <row r="82" spans="1:13" x14ac:dyDescent="0.2">
      <c r="A82" t="str">
        <f>Inputs!B14</f>
        <v>Base</v>
      </c>
      <c r="B82">
        <f>LoanPool!A82</f>
        <v>81</v>
      </c>
      <c r="C82">
        <f>LoanPool!B82</f>
        <v>132900253.62101789</v>
      </c>
      <c r="D82">
        <f>LoanPool!J82</f>
        <v>131474738.61523804</v>
      </c>
      <c r="E82">
        <f>LoanPool!L82</f>
        <v>581438.60959195334</v>
      </c>
      <c r="F82">
        <f>LoanPool!M82</f>
        <v>1384091.809360171</v>
      </c>
      <c r="G82">
        <f>LoanPool!H82</f>
        <v>41423.196419669053</v>
      </c>
      <c r="H82">
        <f>Waterfall!X82</f>
        <v>76698851.737526089</v>
      </c>
      <c r="I82">
        <f>Waterfall!Y82</f>
        <v>45000000</v>
      </c>
      <c r="J82">
        <f>Waterfall!Z82</f>
        <v>9775886.8777119182</v>
      </c>
      <c r="K82">
        <f>Waterfall!AA82</f>
        <v>0</v>
      </c>
      <c r="L82">
        <f>Waterfall!AB82</f>
        <v>0</v>
      </c>
      <c r="M82">
        <f>Waterfall!AC82</f>
        <v>0</v>
      </c>
    </row>
    <row r="83" spans="1:13" x14ac:dyDescent="0.2">
      <c r="A83" t="str">
        <f>Inputs!B14</f>
        <v>Base</v>
      </c>
      <c r="B83">
        <f>LoanPool!A83</f>
        <v>82</v>
      </c>
      <c r="C83">
        <f>LoanPool!B83</f>
        <v>131474738.61523804</v>
      </c>
      <c r="D83">
        <f>LoanPool!J83</f>
        <v>130062036.75342704</v>
      </c>
      <c r="E83">
        <f>LoanPool!L83</f>
        <v>575201.98144166649</v>
      </c>
      <c r="F83">
        <f>LoanPool!M83</f>
        <v>1371723.7594627803</v>
      </c>
      <c r="G83">
        <f>LoanPool!H83</f>
        <v>40978.102348210319</v>
      </c>
      <c r="H83">
        <f>Waterfall!X83</f>
        <v>75327127.978063315</v>
      </c>
      <c r="I83">
        <f>Waterfall!Y83</f>
        <v>45000000</v>
      </c>
      <c r="J83">
        <f>Waterfall!Z83</f>
        <v>9734908.7753637079</v>
      </c>
      <c r="K83">
        <f>Waterfall!AA83</f>
        <v>0</v>
      </c>
      <c r="L83">
        <f>Waterfall!AB83</f>
        <v>0</v>
      </c>
      <c r="M83">
        <f>Waterfall!AC83</f>
        <v>0</v>
      </c>
    </row>
    <row r="84" spans="1:13" x14ac:dyDescent="0.2">
      <c r="A84" t="str">
        <f>Inputs!B14</f>
        <v>Base</v>
      </c>
      <c r="B84">
        <f>LoanPool!A84</f>
        <v>83</v>
      </c>
      <c r="C84">
        <f>LoanPool!B84</f>
        <v>130062036.75342704</v>
      </c>
      <c r="D84">
        <f>LoanPool!J84</f>
        <v>128662039.325506</v>
      </c>
      <c r="E84">
        <f>LoanPool!L84</f>
        <v>569021.41079624335</v>
      </c>
      <c r="F84">
        <f>LoanPool!M84</f>
        <v>1359460.416911402</v>
      </c>
      <c r="G84">
        <f>LoanPool!H84</f>
        <v>40537.011009641312</v>
      </c>
      <c r="H84">
        <f>Waterfall!X84</f>
        <v>73967667.561151907</v>
      </c>
      <c r="I84">
        <f>Waterfall!Y84</f>
        <v>45000000</v>
      </c>
      <c r="J84">
        <f>Waterfall!Z84</f>
        <v>9694371.7643540669</v>
      </c>
      <c r="K84">
        <f>Waterfall!AA84</f>
        <v>0</v>
      </c>
      <c r="L84">
        <f>Waterfall!AB84</f>
        <v>0</v>
      </c>
      <c r="M84">
        <f>Waterfall!AC84</f>
        <v>0</v>
      </c>
    </row>
    <row r="85" spans="1:13" x14ac:dyDescent="0.2">
      <c r="A85" t="str">
        <f>Inputs!B14</f>
        <v>Base</v>
      </c>
      <c r="B85">
        <f>LoanPool!A85</f>
        <v>84</v>
      </c>
      <c r="C85">
        <f>LoanPool!B85</f>
        <v>128662039.325506</v>
      </c>
      <c r="D85">
        <f>LoanPool!J85</f>
        <v>127274638.52361785</v>
      </c>
      <c r="E85">
        <f>LoanPool!L85</f>
        <v>562896.42204908875</v>
      </c>
      <c r="F85">
        <f>LoanPool!M85</f>
        <v>1347300.913450758</v>
      </c>
      <c r="G85">
        <f>LoanPool!H85</f>
        <v>40099.888437391084</v>
      </c>
      <c r="H85">
        <f>Waterfall!X85</f>
        <v>72620366.647701144</v>
      </c>
      <c r="I85">
        <f>Waterfall!Y85</f>
        <v>45000000</v>
      </c>
      <c r="J85">
        <f>Waterfall!Z85</f>
        <v>9654271.8759166766</v>
      </c>
      <c r="K85">
        <f>Waterfall!AA85</f>
        <v>0</v>
      </c>
      <c r="L85">
        <f>Waterfall!AB85</f>
        <v>0</v>
      </c>
      <c r="M85">
        <f>Waterfall!AC85</f>
        <v>0</v>
      </c>
    </row>
    <row r="86" spans="1:13" x14ac:dyDescent="0.2">
      <c r="A86" t="str">
        <f>Inputs!B14</f>
        <v>Base</v>
      </c>
      <c r="B86">
        <f>LoanPool!A86</f>
        <v>85</v>
      </c>
      <c r="C86">
        <f>LoanPool!B86</f>
        <v>127274638.52361785</v>
      </c>
      <c r="D86">
        <f>LoanPool!J86</f>
        <v>125899727.43470582</v>
      </c>
      <c r="E86">
        <f>LoanPool!L86</f>
        <v>556826.54354082805</v>
      </c>
      <c r="F86">
        <f>LoanPool!M86</f>
        <v>1335244.3879652193</v>
      </c>
      <c r="G86">
        <f>LoanPool!H86</f>
        <v>39666.700946809658</v>
      </c>
      <c r="H86">
        <f>Waterfall!X86</f>
        <v>71285122.259735927</v>
      </c>
      <c r="I86">
        <f>Waterfall!Y86</f>
        <v>45000000</v>
      </c>
      <c r="J86">
        <f>Waterfall!Z86</f>
        <v>9614605.1749698669</v>
      </c>
      <c r="K86">
        <f>Waterfall!AA86</f>
        <v>0</v>
      </c>
      <c r="L86">
        <f>Waterfall!AB86</f>
        <v>0</v>
      </c>
      <c r="M86">
        <f>Waterfall!AC86</f>
        <v>0</v>
      </c>
    </row>
    <row r="87" spans="1:13" x14ac:dyDescent="0.2">
      <c r="A87" t="str">
        <f>Inputs!B14</f>
        <v>Base</v>
      </c>
      <c r="B87">
        <f>LoanPool!A87</f>
        <v>86</v>
      </c>
      <c r="C87">
        <f>LoanPool!B87</f>
        <v>125899727.43470582</v>
      </c>
      <c r="D87">
        <f>LoanPool!J87</f>
        <v>124537200.03315268</v>
      </c>
      <c r="E87">
        <f>LoanPool!L87</f>
        <v>550811.30752683792</v>
      </c>
      <c r="F87">
        <f>LoanPool!M87</f>
        <v>1323289.9864202966</v>
      </c>
      <c r="G87">
        <f>LoanPool!H87</f>
        <v>39237.415132848924</v>
      </c>
      <c r="H87">
        <f>Waterfall!X87</f>
        <v>69961832.273315623</v>
      </c>
      <c r="I87">
        <f>Waterfall!Y87</f>
        <v>45000000</v>
      </c>
      <c r="J87">
        <f>Waterfall!Z87</f>
        <v>9575367.7598370183</v>
      </c>
      <c r="K87">
        <f>Waterfall!AA87</f>
        <v>0</v>
      </c>
      <c r="L87">
        <f>Waterfall!AB87</f>
        <v>0</v>
      </c>
      <c r="M87">
        <f>Waterfall!AC87</f>
        <v>0</v>
      </c>
    </row>
    <row r="88" spans="1:13" x14ac:dyDescent="0.2">
      <c r="A88" t="str">
        <f>Inputs!B14</f>
        <v>Base</v>
      </c>
      <c r="B88">
        <f>LoanPool!A88</f>
        <v>87</v>
      </c>
      <c r="C88">
        <f>LoanPool!B88</f>
        <v>124537200.03315268</v>
      </c>
      <c r="D88">
        <f>LoanPool!J88</f>
        <v>123186951.1734803</v>
      </c>
      <c r="E88">
        <f>LoanPool!L88</f>
        <v>544850.25014504301</v>
      </c>
      <c r="F88">
        <f>LoanPool!M88</f>
        <v>1311436.8618046157</v>
      </c>
      <c r="G88">
        <f>LoanPool!H88</f>
        <v>38811.997867762533</v>
      </c>
      <c r="H88">
        <f>Waterfall!X88</f>
        <v>68650395.411511004</v>
      </c>
      <c r="I88">
        <f>Waterfall!Y88</f>
        <v>45000000</v>
      </c>
      <c r="J88">
        <f>Waterfall!Z88</f>
        <v>9536555.7619692553</v>
      </c>
      <c r="K88">
        <f>Waterfall!AA88</f>
        <v>0</v>
      </c>
      <c r="L88">
        <f>Waterfall!AB88</f>
        <v>0</v>
      </c>
      <c r="M88">
        <f>Waterfall!AC88</f>
        <v>0</v>
      </c>
    </row>
    <row r="89" spans="1:13" x14ac:dyDescent="0.2">
      <c r="A89" t="str">
        <f>Inputs!B14</f>
        <v>Base</v>
      </c>
      <c r="B89">
        <f>LoanPool!A89</f>
        <v>88</v>
      </c>
      <c r="C89">
        <f>LoanPool!B89</f>
        <v>123186951.1734803</v>
      </c>
      <c r="D89">
        <f>LoanPool!J89</f>
        <v>121848876.58310911</v>
      </c>
      <c r="E89">
        <f>LoanPool!L89</f>
        <v>538942.91138397634</v>
      </c>
      <c r="F89">
        <f>LoanPool!M89</f>
        <v>1299684.1740723618</v>
      </c>
      <c r="G89">
        <f>LoanPool!H89</f>
        <v>38390.416298824624</v>
      </c>
      <c r="H89">
        <f>Waterfall!X89</f>
        <v>67350711.237438649</v>
      </c>
      <c r="I89">
        <f>Waterfall!Y89</f>
        <v>45000000</v>
      </c>
      <c r="J89">
        <f>Waterfall!Z89</f>
        <v>9498165.34567043</v>
      </c>
      <c r="K89">
        <f>Waterfall!AA89</f>
        <v>0</v>
      </c>
      <c r="L89">
        <f>Waterfall!AB89</f>
        <v>0</v>
      </c>
      <c r="M89">
        <f>Waterfall!AC89</f>
        <v>0</v>
      </c>
    </row>
    <row r="90" spans="1:13" x14ac:dyDescent="0.2">
      <c r="A90" t="str">
        <f>Inputs!B14</f>
        <v>Base</v>
      </c>
      <c r="B90">
        <f>LoanPool!A90</f>
        <v>89</v>
      </c>
      <c r="C90">
        <f>LoanPool!B90</f>
        <v>121848876.58310911</v>
      </c>
      <c r="D90">
        <f>LoanPool!J90</f>
        <v>120522872.85517684</v>
      </c>
      <c r="E90">
        <f>LoanPool!L90</f>
        <v>533088.83505110233</v>
      </c>
      <c r="F90">
        <f>LoanPool!M90</f>
        <v>1288031.0900862003</v>
      </c>
      <c r="G90">
        <f>LoanPool!H90</f>
        <v>37972.637846067264</v>
      </c>
      <c r="H90">
        <f>Waterfall!X90</f>
        <v>66062680.14735245</v>
      </c>
      <c r="I90">
        <f>Waterfall!Y90</f>
        <v>45000000</v>
      </c>
      <c r="J90">
        <f>Waterfall!Z90</f>
        <v>9460192.7078243624</v>
      </c>
      <c r="K90">
        <f>Waterfall!AA90</f>
        <v>0</v>
      </c>
      <c r="L90">
        <f>Waterfall!AB90</f>
        <v>0</v>
      </c>
      <c r="M90">
        <f>Waterfall!AC90</f>
        <v>0</v>
      </c>
    </row>
    <row r="91" spans="1:13" x14ac:dyDescent="0.2">
      <c r="A91" t="str">
        <f>Inputs!B14</f>
        <v>Base</v>
      </c>
      <c r="B91">
        <f>LoanPool!A91</f>
        <v>90</v>
      </c>
      <c r="C91">
        <f>LoanPool!B91</f>
        <v>120522872.85517684</v>
      </c>
      <c r="D91">
        <f>LoanPool!J91</f>
        <v>119208837.44141614</v>
      </c>
      <c r="E91">
        <f>LoanPool!L91</f>
        <v>527287.56874139863</v>
      </c>
      <c r="F91">
        <f>LoanPool!M91</f>
        <v>1276476.783560659</v>
      </c>
      <c r="G91">
        <f>LoanPool!H91</f>
        <v>37558.630200036459</v>
      </c>
      <c r="H91">
        <f>Waterfall!X91</f>
        <v>64786203.363791794</v>
      </c>
      <c r="I91">
        <f>Waterfall!Y91</f>
        <v>45000000</v>
      </c>
      <c r="J91">
        <f>Waterfall!Z91</f>
        <v>9422634.0776243266</v>
      </c>
      <c r="K91">
        <f>Waterfall!AA91</f>
        <v>0</v>
      </c>
      <c r="L91">
        <f>Waterfall!AB91</f>
        <v>0</v>
      </c>
      <c r="M91">
        <f>Waterfall!AC91</f>
        <v>0</v>
      </c>
    </row>
    <row r="92" spans="1:13" x14ac:dyDescent="0.2">
      <c r="A92" t="str">
        <f>Inputs!B14</f>
        <v>Base</v>
      </c>
      <c r="B92">
        <f>LoanPool!A92</f>
        <v>91</v>
      </c>
      <c r="C92">
        <f>LoanPool!B92</f>
        <v>119208837.44141614</v>
      </c>
      <c r="D92">
        <f>LoanPool!J92</f>
        <v>117906668.64509059</v>
      </c>
      <c r="E92">
        <f>LoanPool!L92</f>
        <v>521538.6638061956</v>
      </c>
      <c r="F92">
        <f>LoanPool!M92</f>
        <v>1265020.4350059803</v>
      </c>
      <c r="G92">
        <f>LoanPool!H92</f>
        <v>37148.361319566473</v>
      </c>
      <c r="H92">
        <f>Waterfall!X92</f>
        <v>63521182.928785816</v>
      </c>
      <c r="I92">
        <f>Waterfall!Y92</f>
        <v>45000000</v>
      </c>
      <c r="J92">
        <f>Waterfall!Z92</f>
        <v>9385485.7163047604</v>
      </c>
      <c r="K92">
        <f>Waterfall!AA92</f>
        <v>0</v>
      </c>
      <c r="L92">
        <f>Waterfall!AB92</f>
        <v>0</v>
      </c>
      <c r="M92">
        <f>Waterfall!AC92</f>
        <v>0</v>
      </c>
    </row>
    <row r="93" spans="1:13" x14ac:dyDescent="0.2">
      <c r="A93" t="str">
        <f>Inputs!B14</f>
        <v>Base</v>
      </c>
      <c r="B93">
        <f>LoanPool!A93</f>
        <v>92</v>
      </c>
      <c r="C93">
        <f>LoanPool!B93</f>
        <v>117906668.64509059</v>
      </c>
      <c r="D93">
        <f>LoanPool!J93</f>
        <v>116616265.61398859</v>
      </c>
      <c r="E93">
        <f>LoanPool!L93</f>
        <v>515841.67532227142</v>
      </c>
      <c r="F93">
        <f>LoanPool!M93</f>
        <v>1253661.2316724251</v>
      </c>
      <c r="G93">
        <f>LoanPool!H93</f>
        <v>36741.799429572508</v>
      </c>
      <c r="H93">
        <f>Waterfall!X93</f>
        <v>62267521.697113387</v>
      </c>
      <c r="I93">
        <f>Waterfall!Y93</f>
        <v>45000000</v>
      </c>
      <c r="J93">
        <f>Waterfall!Z93</f>
        <v>9348743.9168751873</v>
      </c>
      <c r="K93">
        <f>Waterfall!AA93</f>
        <v>0</v>
      </c>
      <c r="L93">
        <f>Waterfall!AB93</f>
        <v>0</v>
      </c>
      <c r="M93">
        <f>Waterfall!AC93</f>
        <v>0</v>
      </c>
    </row>
    <row r="94" spans="1:13" x14ac:dyDescent="0.2">
      <c r="A94" t="str">
        <f>Inputs!B14</f>
        <v>Base</v>
      </c>
      <c r="B94">
        <f>LoanPool!A94</f>
        <v>93</v>
      </c>
      <c r="C94">
        <f>LoanPool!B94</f>
        <v>116616265.61398859</v>
      </c>
      <c r="D94">
        <f>LoanPool!J94</f>
        <v>115337528.3334747</v>
      </c>
      <c r="E94">
        <f>LoanPool!L94</f>
        <v>510196.16206120007</v>
      </c>
      <c r="F94">
        <f>LoanPool!M94</f>
        <v>1242398.367495039</v>
      </c>
      <c r="G94">
        <f>LoanPool!H94</f>
        <v>36338.913018861349</v>
      </c>
      <c r="H94">
        <f>Waterfall!X94</f>
        <v>61025123.32961835</v>
      </c>
      <c r="I94">
        <f>Waterfall!Y94</f>
        <v>45000000</v>
      </c>
      <c r="J94">
        <f>Waterfall!Z94</f>
        <v>9312405.0038563255</v>
      </c>
      <c r="K94">
        <f>Waterfall!AA94</f>
        <v>0</v>
      </c>
      <c r="L94">
        <f>Waterfall!AB94</f>
        <v>0</v>
      </c>
      <c r="M94">
        <f>Waterfall!AC94</f>
        <v>0</v>
      </c>
    </row>
    <row r="95" spans="1:13" x14ac:dyDescent="0.2">
      <c r="A95" t="str">
        <f>Inputs!B14</f>
        <v>Base</v>
      </c>
      <c r="B95">
        <f>LoanPool!A95</f>
        <v>94</v>
      </c>
      <c r="C95">
        <f>LoanPool!B95</f>
        <v>115337528.3334747</v>
      </c>
      <c r="D95">
        <f>LoanPool!J95</f>
        <v>114070357.61959787</v>
      </c>
      <c r="E95">
        <f>LoanPool!L95</f>
        <v>504601.68645895174</v>
      </c>
      <c r="F95">
        <f>LoanPool!M95</f>
        <v>1231231.0430388681</v>
      </c>
      <c r="G95">
        <f>LoanPool!H95</f>
        <v>35939.670837960082</v>
      </c>
      <c r="H95">
        <f>Waterfall!X95</f>
        <v>59793892.286579482</v>
      </c>
      <c r="I95">
        <f>Waterfall!Y95</f>
        <v>45000000</v>
      </c>
      <c r="J95">
        <f>Waterfall!Z95</f>
        <v>9276465.3330183662</v>
      </c>
      <c r="K95">
        <f>Waterfall!AA95</f>
        <v>0</v>
      </c>
      <c r="L95">
        <f>Waterfall!AB95</f>
        <v>0</v>
      </c>
      <c r="M95">
        <f>Waterfall!AC95</f>
        <v>0</v>
      </c>
    </row>
    <row r="96" spans="1:13" x14ac:dyDescent="0.2">
      <c r="A96" t="str">
        <f>Inputs!B14</f>
        <v>Base</v>
      </c>
      <c r="B96">
        <f>LoanPool!A96</f>
        <v>95</v>
      </c>
      <c r="C96">
        <f>LoanPool!B96</f>
        <v>114070357.61959787</v>
      </c>
      <c r="D96">
        <f>LoanPool!J96</f>
        <v>112814655.11225629</v>
      </c>
      <c r="E96">
        <f>LoanPool!L96</f>
        <v>499057.81458574068</v>
      </c>
      <c r="F96">
        <f>LoanPool!M96</f>
        <v>1220158.4654446214</v>
      </c>
      <c r="G96">
        <f>LoanPool!H96</f>
        <v>35544.041896962488</v>
      </c>
      <c r="H96">
        <f>Waterfall!X96</f>
        <v>58573733.821134858</v>
      </c>
      <c r="I96">
        <f>Waterfall!Y96</f>
        <v>45000000</v>
      </c>
      <c r="J96">
        <f>Waterfall!Z96</f>
        <v>9240921.2911214046</v>
      </c>
      <c r="K96">
        <f>Waterfall!AA96</f>
        <v>0</v>
      </c>
      <c r="L96">
        <f>Waterfall!AB96</f>
        <v>0</v>
      </c>
      <c r="M96">
        <f>Waterfall!AC96</f>
        <v>0</v>
      </c>
    </row>
    <row r="97" spans="1:13" x14ac:dyDescent="0.2">
      <c r="A97" t="str">
        <f>Inputs!B14</f>
        <v>Base</v>
      </c>
      <c r="B97">
        <f>LoanPool!A97</f>
        <v>96</v>
      </c>
      <c r="C97">
        <f>LoanPool!B97</f>
        <v>112814655.11225629</v>
      </c>
      <c r="D97">
        <f>LoanPool!J97</f>
        <v>111570323.26841812</v>
      </c>
      <c r="E97">
        <f>LoanPool!L97</f>
        <v>493564.11611612124</v>
      </c>
      <c r="F97">
        <f>LoanPool!M97</f>
        <v>1209179.8483747807</v>
      </c>
      <c r="G97">
        <f>LoanPool!H97</f>
        <v>35151.995463393207</v>
      </c>
      <c r="H97">
        <f>Waterfall!X97</f>
        <v>57364553.972760074</v>
      </c>
      <c r="I97">
        <f>Waterfall!Y97</f>
        <v>45000000</v>
      </c>
      <c r="J97">
        <f>Waterfall!Z97</f>
        <v>9205769.295658011</v>
      </c>
      <c r="K97">
        <f>Waterfall!AA97</f>
        <v>0</v>
      </c>
      <c r="L97">
        <f>Waterfall!AB97</f>
        <v>0</v>
      </c>
      <c r="M97">
        <f>Waterfall!AC97</f>
        <v>0</v>
      </c>
    </row>
    <row r="98" spans="1:13" x14ac:dyDescent="0.2">
      <c r="A98" t="str">
        <f>Inputs!B14</f>
        <v>Base</v>
      </c>
      <c r="B98">
        <f>LoanPool!A98</f>
        <v>97</v>
      </c>
      <c r="C98">
        <f>LoanPool!B98</f>
        <v>111570323.26841812</v>
      </c>
      <c r="D98">
        <f>LoanPool!J98</f>
        <v>110337265.35539788</v>
      </c>
      <c r="E98">
        <f>LoanPool!L98</f>
        <v>488120.16429932934</v>
      </c>
      <c r="F98">
        <f>LoanPool!M98</f>
        <v>1198294.4119601494</v>
      </c>
      <c r="G98">
        <f>LoanPool!H98</f>
        <v>34763.5010600893</v>
      </c>
      <c r="H98">
        <f>Waterfall!X98</f>
        <v>56166259.560799927</v>
      </c>
      <c r="I98">
        <f>Waterfall!Y98</f>
        <v>45000000</v>
      </c>
      <c r="J98">
        <f>Waterfall!Z98</f>
        <v>9171005.7945979219</v>
      </c>
      <c r="K98">
        <f>Waterfall!AA98</f>
        <v>0</v>
      </c>
      <c r="L98">
        <f>Waterfall!AB98</f>
        <v>0</v>
      </c>
      <c r="M98">
        <f>Waterfall!AC98</f>
        <v>0</v>
      </c>
    </row>
    <row r="99" spans="1:13" x14ac:dyDescent="0.2">
      <c r="A99" t="str">
        <f>Inputs!B14</f>
        <v>Base</v>
      </c>
      <c r="B99">
        <f>LoanPool!A99</f>
        <v>98</v>
      </c>
      <c r="C99">
        <f>LoanPool!B99</f>
        <v>110337265.35539788</v>
      </c>
      <c r="D99">
        <f>LoanPool!J99</f>
        <v>109115385.44418794</v>
      </c>
      <c r="E99">
        <f>LoanPool!L99</f>
        <v>482725.53592986579</v>
      </c>
      <c r="F99">
        <f>LoanPool!M99</f>
        <v>1187501.3827468413</v>
      </c>
      <c r="G99">
        <f>LoanPool!H99</f>
        <v>34378.528463099246</v>
      </c>
      <c r="H99">
        <f>Waterfall!X99</f>
        <v>54978758.178053088</v>
      </c>
      <c r="I99">
        <f>Waterfall!Y99</f>
        <v>45000000</v>
      </c>
      <c r="J99">
        <f>Waterfall!Z99</f>
        <v>9136627.2661348227</v>
      </c>
      <c r="K99">
        <f>Waterfall!AA99</f>
        <v>0</v>
      </c>
      <c r="L99">
        <f>Waterfall!AB99</f>
        <v>0</v>
      </c>
      <c r="M99">
        <f>Waterfall!AC99</f>
        <v>0</v>
      </c>
    </row>
    <row r="100" spans="1:13" x14ac:dyDescent="0.2">
      <c r="A100" t="str">
        <f>Inputs!B14</f>
        <v>Base</v>
      </c>
      <c r="B100">
        <f>LoanPool!A100</f>
        <v>99</v>
      </c>
      <c r="C100">
        <f>LoanPool!B100</f>
        <v>109115385.44418794</v>
      </c>
      <c r="D100">
        <f>LoanPool!J100</f>
        <v>107904588.40284464</v>
      </c>
      <c r="E100">
        <f>LoanPool!L100</f>
        <v>477379.8113183222</v>
      </c>
      <c r="F100">
        <f>LoanPool!M100</f>
        <v>1176799.9936436974</v>
      </c>
      <c r="G100">
        <f>LoanPool!H100</f>
        <v>33997.047699599141</v>
      </c>
      <c r="H100">
        <f>Waterfall!X100</f>
        <v>53801958.184409395</v>
      </c>
      <c r="I100">
        <f>Waterfall!Y100</f>
        <v>45000000</v>
      </c>
      <c r="J100">
        <f>Waterfall!Z100</f>
        <v>9102630.2184352241</v>
      </c>
      <c r="K100">
        <f>Waterfall!AA100</f>
        <v>0</v>
      </c>
      <c r="L100">
        <f>Waterfall!AB100</f>
        <v>0</v>
      </c>
      <c r="M100">
        <f>Waterfall!AC100</f>
        <v>0</v>
      </c>
    </row>
    <row r="101" spans="1:13" x14ac:dyDescent="0.2">
      <c r="A101" t="str">
        <f>Inputs!B14</f>
        <v>Base</v>
      </c>
      <c r="B101">
        <f>LoanPool!A101</f>
        <v>100</v>
      </c>
      <c r="C101">
        <f>LoanPool!B101</f>
        <v>107904588.40284464</v>
      </c>
      <c r="D101">
        <f>LoanPool!J101</f>
        <v>106704779.88992867</v>
      </c>
      <c r="E101">
        <f>LoanPool!L101</f>
        <v>472082.57426244533</v>
      </c>
      <c r="F101">
        <f>LoanPool!M101</f>
        <v>1166189.4838701426</v>
      </c>
      <c r="G101">
        <f>LoanPool!H101</f>
        <v>33619.029045825984</v>
      </c>
      <c r="H101">
        <f>Waterfall!X101</f>
        <v>52635768.700539254</v>
      </c>
      <c r="I101">
        <f>Waterfall!Y101</f>
        <v>45000000</v>
      </c>
      <c r="J101">
        <f>Waterfall!Z101</f>
        <v>9069011.1893893983</v>
      </c>
      <c r="K101">
        <f>Waterfall!AA101</f>
        <v>0</v>
      </c>
      <c r="L101">
        <f>Waterfall!AB101</f>
        <v>0</v>
      </c>
      <c r="M101">
        <f>Waterfall!AC101</f>
        <v>0</v>
      </c>
    </row>
    <row r="102" spans="1:13" x14ac:dyDescent="0.2">
      <c r="A102" t="str">
        <f>Inputs!B14</f>
        <v>Base</v>
      </c>
      <c r="B102">
        <f>LoanPool!A102</f>
        <v>101</v>
      </c>
      <c r="C102">
        <f>LoanPool!B102</f>
        <v>106704779.88992867</v>
      </c>
      <c r="D102">
        <f>LoanPool!J102</f>
        <v>105515866.34799919</v>
      </c>
      <c r="E102">
        <f>LoanPool!L102</f>
        <v>466833.41201843799</v>
      </c>
      <c r="F102">
        <f>LoanPool!M102</f>
        <v>1155669.0989044595</v>
      </c>
      <c r="G102">
        <f>LoanPool!H102</f>
        <v>33244.443025027904</v>
      </c>
      <c r="H102">
        <f>Waterfall!X102</f>
        <v>51480099.601634793</v>
      </c>
      <c r="I102">
        <f>Waterfall!Y102</f>
        <v>45000000</v>
      </c>
      <c r="J102">
        <f>Waterfall!Z102</f>
        <v>9035766.74636437</v>
      </c>
      <c r="K102">
        <f>Waterfall!AA102</f>
        <v>0</v>
      </c>
      <c r="L102">
        <f>Waterfall!AB102</f>
        <v>0</v>
      </c>
      <c r="M102">
        <f>Waterfall!AC102</f>
        <v>0</v>
      </c>
    </row>
    <row r="103" spans="1:13" x14ac:dyDescent="0.2">
      <c r="A103" t="str">
        <f>Inputs!B14</f>
        <v>Base</v>
      </c>
      <c r="B103">
        <f>LoanPool!A103</f>
        <v>102</v>
      </c>
      <c r="C103">
        <f>LoanPool!B103</f>
        <v>105515866.34799919</v>
      </c>
      <c r="D103">
        <f>LoanPool!J103</f>
        <v>104337754.99716127</v>
      </c>
      <c r="E103">
        <f>LoanPool!L103</f>
        <v>461631.91527249641</v>
      </c>
      <c r="F103">
        <f>LoanPool!M103</f>
        <v>1145238.0904324898</v>
      </c>
      <c r="G103">
        <f>LoanPool!H103</f>
        <v>32873.260405431167</v>
      </c>
      <c r="H103">
        <f>Waterfall!X103</f>
        <v>50334861.511202306</v>
      </c>
      <c r="I103">
        <f>Waterfall!Y103</f>
        <v>45000000</v>
      </c>
      <c r="J103">
        <f>Waterfall!Z103</f>
        <v>9002893.4859589394</v>
      </c>
      <c r="K103">
        <f>Waterfall!AA103</f>
        <v>0</v>
      </c>
      <c r="L103">
        <f>Waterfall!AB103</f>
        <v>0</v>
      </c>
      <c r="M103">
        <f>Waterfall!AC103</f>
        <v>0</v>
      </c>
    </row>
    <row r="104" spans="1:13" x14ac:dyDescent="0.2">
      <c r="A104" t="str">
        <f>Inputs!B14</f>
        <v>Base</v>
      </c>
      <c r="B104">
        <f>LoanPool!A104</f>
        <v>103</v>
      </c>
      <c r="C104">
        <f>LoanPool!B104</f>
        <v>104337754.99716127</v>
      </c>
      <c r="D104">
        <f>LoanPool!J104</f>
        <v>103170353.82866628</v>
      </c>
      <c r="E104">
        <f>LoanPool!L104</f>
        <v>456477.67811258056</v>
      </c>
      <c r="F104">
        <f>LoanPool!M104</f>
        <v>1134895.7162967583</v>
      </c>
      <c r="G104">
        <f>LoanPool!H104</f>
        <v>32505.452198223873</v>
      </c>
      <c r="H104">
        <f>Waterfall!X104</f>
        <v>49199965.794905551</v>
      </c>
      <c r="I104">
        <f>Waterfall!Y104</f>
        <v>45000000</v>
      </c>
      <c r="J104">
        <f>Waterfall!Z104</f>
        <v>8970388.0337607153</v>
      </c>
      <c r="K104">
        <f>Waterfall!AA104</f>
        <v>0</v>
      </c>
      <c r="L104">
        <f>Waterfall!AB104</f>
        <v>0</v>
      </c>
      <c r="M104">
        <f>Waterfall!AC104</f>
        <v>0</v>
      </c>
    </row>
    <row r="105" spans="1:13" x14ac:dyDescent="0.2">
      <c r="A105" t="str">
        <f>Inputs!B14</f>
        <v>Base</v>
      </c>
      <c r="B105">
        <f>LoanPool!A105</f>
        <v>104</v>
      </c>
      <c r="C105">
        <f>LoanPool!B105</f>
        <v>103170353.82866628</v>
      </c>
      <c r="D105">
        <f>LoanPool!J105</f>
        <v>102013571.59856473</v>
      </c>
      <c r="E105">
        <f>LoanPool!L105</f>
        <v>451370.29800041503</v>
      </c>
      <c r="F105">
        <f>LoanPool!M105</f>
        <v>1124641.2404460059</v>
      </c>
      <c r="G105">
        <f>LoanPool!H105</f>
        <v>32140.989655556179</v>
      </c>
      <c r="H105">
        <f>Waterfall!X105</f>
        <v>48075324.554459542</v>
      </c>
      <c r="I105">
        <f>Waterfall!Y105</f>
        <v>45000000</v>
      </c>
      <c r="J105">
        <f>Waterfall!Z105</f>
        <v>8938247.0441051591</v>
      </c>
      <c r="K105">
        <f>Waterfall!AA105</f>
        <v>0</v>
      </c>
      <c r="L105">
        <f>Waterfall!AB105</f>
        <v>0</v>
      </c>
      <c r="M105">
        <f>Waterfall!AC105</f>
        <v>0</v>
      </c>
    </row>
    <row r="106" spans="1:13" x14ac:dyDescent="0.2">
      <c r="A106" t="str">
        <f>Inputs!B14</f>
        <v>Base</v>
      </c>
      <c r="B106">
        <f>LoanPool!A106</f>
        <v>105</v>
      </c>
      <c r="C106">
        <f>LoanPool!B106</f>
        <v>102013571.59856473</v>
      </c>
      <c r="D106">
        <f>LoanPool!J106</f>
        <v>100867317.82141103</v>
      </c>
      <c r="E106">
        <f>LoanPool!L106</f>
        <v>446309.37574372074</v>
      </c>
      <c r="F106">
        <f>LoanPool!M106</f>
        <v>1114473.9328851432</v>
      </c>
      <c r="G106">
        <f>LoanPool!H106</f>
        <v>31779.844268556932</v>
      </c>
      <c r="H106">
        <f>Waterfall!X106</f>
        <v>46960850.621574402</v>
      </c>
      <c r="I106">
        <f>Waterfall!Y106</f>
        <v>45000000</v>
      </c>
      <c r="J106">
        <f>Waterfall!Z106</f>
        <v>8906467.1998366024</v>
      </c>
      <c r="K106">
        <f>Waterfall!AA106</f>
        <v>0</v>
      </c>
      <c r="L106">
        <f>Waterfall!AB106</f>
        <v>0</v>
      </c>
      <c r="M106">
        <f>Waterfall!AC106</f>
        <v>0</v>
      </c>
    </row>
    <row r="107" spans="1:13" x14ac:dyDescent="0.2">
      <c r="A107" t="str">
        <f>Inputs!B14</f>
        <v>Base</v>
      </c>
      <c r="B107">
        <f>LoanPool!A107</f>
        <v>106</v>
      </c>
      <c r="C107">
        <f>LoanPool!B107</f>
        <v>100867317.82141103</v>
      </c>
      <c r="D107">
        <f>LoanPool!J107</f>
        <v>99731502.764020056</v>
      </c>
      <c r="E107">
        <f>LoanPool!L107</f>
        <v>441294.51546867326</v>
      </c>
      <c r="F107">
        <f>LoanPool!M107</f>
        <v>1104393.0696256098</v>
      </c>
      <c r="G107">
        <f>LoanPool!H107</f>
        <v>31421.98776536651</v>
      </c>
      <c r="H107">
        <f>Waterfall!X107</f>
        <v>45856457.551948793</v>
      </c>
      <c r="I107">
        <f>Waterfall!Y107</f>
        <v>45000000</v>
      </c>
      <c r="J107">
        <f>Waterfall!Z107</f>
        <v>8875045.2120712362</v>
      </c>
      <c r="K107">
        <f>Waterfall!AA107</f>
        <v>0</v>
      </c>
      <c r="L107">
        <f>Waterfall!AB107</f>
        <v>0</v>
      </c>
      <c r="M107">
        <f>Waterfall!AC107</f>
        <v>0</v>
      </c>
    </row>
    <row r="108" spans="1:13" x14ac:dyDescent="0.2">
      <c r="A108" t="str">
        <f>Inputs!B14</f>
        <v>Base</v>
      </c>
      <c r="B108">
        <f>LoanPool!A108</f>
        <v>107</v>
      </c>
      <c r="C108">
        <f>LoanPool!B108</f>
        <v>99731502.764020056</v>
      </c>
      <c r="D108">
        <f>LoanPool!J108</f>
        <v>98606037.439274728</v>
      </c>
      <c r="E108">
        <f>LoanPool!L108</f>
        <v>436325.32459258777</v>
      </c>
      <c r="F108">
        <f>LoanPool!M108</f>
        <v>1094397.9326361381</v>
      </c>
      <c r="G108">
        <f>LoanPool!H108</f>
        <v>31067.392109185843</v>
      </c>
      <c r="H108">
        <f>Waterfall!X108</f>
        <v>44762059.619312659</v>
      </c>
      <c r="I108">
        <f>Waterfall!Y108</f>
        <v>45000000</v>
      </c>
      <c r="J108">
        <f>Waterfall!Z108</f>
        <v>8843977.8199620508</v>
      </c>
      <c r="K108">
        <f>Waterfall!AA108</f>
        <v>0</v>
      </c>
      <c r="L108">
        <f>Waterfall!AB108</f>
        <v>0</v>
      </c>
      <c r="M108">
        <f>Waterfall!AC108</f>
        <v>0</v>
      </c>
    </row>
    <row r="109" spans="1:13" x14ac:dyDescent="0.2">
      <c r="A109" t="str">
        <f>Inputs!B14</f>
        <v>Base</v>
      </c>
      <c r="B109">
        <f>LoanPool!A109</f>
        <v>108</v>
      </c>
      <c r="C109">
        <f>LoanPool!B109</f>
        <v>98606037.439274728</v>
      </c>
      <c r="D109">
        <f>LoanPool!J109</f>
        <v>97490833.599984467</v>
      </c>
      <c r="E109">
        <f>LoanPool!L109</f>
        <v>431401.41379682696</v>
      </c>
      <c r="F109">
        <f>LoanPool!M109</f>
        <v>1084487.8097939254</v>
      </c>
      <c r="G109">
        <f>LoanPool!H109</f>
        <v>30716.029496341398</v>
      </c>
      <c r="H109">
        <f>Waterfall!X109</f>
        <v>43677571.809518732</v>
      </c>
      <c r="I109">
        <f>Waterfall!Y109</f>
        <v>45000000</v>
      </c>
      <c r="J109">
        <f>Waterfall!Z109</f>
        <v>8813261.7904657088</v>
      </c>
      <c r="K109">
        <f>Waterfall!AA109</f>
        <v>0</v>
      </c>
      <c r="L109">
        <f>Waterfall!AB109</f>
        <v>0</v>
      </c>
      <c r="M109">
        <f>Waterfall!AC109</f>
        <v>0</v>
      </c>
    </row>
    <row r="110" spans="1:13" x14ac:dyDescent="0.2">
      <c r="A110" t="str">
        <f>Inputs!B14</f>
        <v>Base</v>
      </c>
      <c r="B110">
        <f>LoanPool!A110</f>
        <v>109</v>
      </c>
      <c r="C110">
        <f>LoanPool!B110</f>
        <v>97490833.599984467</v>
      </c>
      <c r="D110">
        <f>LoanPool!J110</f>
        <v>96385803.732793897</v>
      </c>
      <c r="E110">
        <f>LoanPool!L110</f>
        <v>426522.39699993207</v>
      </c>
      <c r="F110">
        <f>LoanPool!M110</f>
        <v>1074661.9948362007</v>
      </c>
      <c r="G110">
        <f>LoanPool!H110</f>
        <v>30367.872354366064</v>
      </c>
      <c r="H110">
        <f>Waterfall!X110</f>
        <v>42602909.814682528</v>
      </c>
      <c r="I110">
        <f>Waterfall!Y110</f>
        <v>45000000</v>
      </c>
      <c r="J110">
        <f>Waterfall!Z110</f>
        <v>8782893.9181113429</v>
      </c>
      <c r="K110">
        <f>Waterfall!AA110</f>
        <v>0</v>
      </c>
      <c r="L110">
        <f>Waterfall!AB110</f>
        <v>0</v>
      </c>
      <c r="M110">
        <f>Waterfall!AC110</f>
        <v>0</v>
      </c>
    </row>
    <row r="111" spans="1:13" x14ac:dyDescent="0.2">
      <c r="A111" t="str">
        <f>Inputs!B14</f>
        <v>Base</v>
      </c>
      <c r="B111">
        <f>LoanPool!A111</f>
        <v>110</v>
      </c>
      <c r="C111">
        <f>LoanPool!B111</f>
        <v>96385803.732793897</v>
      </c>
      <c r="D111">
        <f>LoanPool!J111</f>
        <v>95290861.052141607</v>
      </c>
      <c r="E111">
        <f>LoanPool!L111</f>
        <v>421687.89133097336</v>
      </c>
      <c r="F111">
        <f>LoanPool!M111</f>
        <v>1064919.7873121907</v>
      </c>
      <c r="G111">
        <f>LoanPool!H111</f>
        <v>30022.893340095699</v>
      </c>
      <c r="H111">
        <f>Waterfall!X111</f>
        <v>41537990.027370341</v>
      </c>
      <c r="I111">
        <f>Waterfall!Y111</f>
        <v>45000000</v>
      </c>
      <c r="J111">
        <f>Waterfall!Z111</f>
        <v>8752871.0247712471</v>
      </c>
      <c r="K111">
        <f>Waterfall!AA111</f>
        <v>0</v>
      </c>
      <c r="L111">
        <f>Waterfall!AB111</f>
        <v>0</v>
      </c>
      <c r="M111">
        <f>Waterfall!AC111</f>
        <v>0</v>
      </c>
    </row>
    <row r="112" spans="1:13" x14ac:dyDescent="0.2">
      <c r="A112" t="str">
        <f>Inputs!B14</f>
        <v>Base</v>
      </c>
      <c r="B112">
        <f>LoanPool!A112</f>
        <v>111</v>
      </c>
      <c r="C112">
        <f>LoanPool!B112</f>
        <v>95290861.052141607</v>
      </c>
      <c r="D112">
        <f>LoanPool!J112</f>
        <v>94205919.494268343</v>
      </c>
      <c r="E112">
        <f>LoanPool!L112</f>
        <v>416897.51710311952</v>
      </c>
      <c r="F112">
        <f>LoanPool!M112</f>
        <v>1055260.4925354763</v>
      </c>
      <c r="G112">
        <f>LoanPool!H112</f>
        <v>29681.065337781365</v>
      </c>
      <c r="H112">
        <f>Waterfall!X112</f>
        <v>40482729.534834862</v>
      </c>
      <c r="I112">
        <f>Waterfall!Y112</f>
        <v>45000000</v>
      </c>
      <c r="J112">
        <f>Waterfall!Z112</f>
        <v>8723189.9594334662</v>
      </c>
      <c r="K112">
        <f>Waterfall!AA112</f>
        <v>0</v>
      </c>
      <c r="L112">
        <f>Waterfall!AB112</f>
        <v>0</v>
      </c>
      <c r="M112">
        <f>Waterfall!AC112</f>
        <v>0</v>
      </c>
    </row>
    <row r="113" spans="1:13" x14ac:dyDescent="0.2">
      <c r="A113" t="str">
        <f>Inputs!B14</f>
        <v>Base</v>
      </c>
      <c r="B113">
        <f>LoanPool!A113</f>
        <v>112</v>
      </c>
      <c r="C113">
        <f>LoanPool!B113</f>
        <v>94205919.494268343</v>
      </c>
      <c r="D113">
        <f>LoanPool!J113</f>
        <v>93130893.711274385</v>
      </c>
      <c r="E113">
        <f>LoanPool!L113</f>
        <v>412150.89778742398</v>
      </c>
      <c r="F113">
        <f>LoanPool!M113</f>
        <v>1045683.4215367429</v>
      </c>
      <c r="G113">
        <f>LoanPool!H113</f>
        <v>29342.361457216997</v>
      </c>
      <c r="H113">
        <f>Waterfall!X113</f>
        <v>39437046.113298118</v>
      </c>
      <c r="I113">
        <f>Waterfall!Y113</f>
        <v>45000000</v>
      </c>
      <c r="J113">
        <f>Waterfall!Z113</f>
        <v>8693847.5979762487</v>
      </c>
      <c r="K113">
        <f>Waterfall!AA113</f>
        <v>0</v>
      </c>
      <c r="L113">
        <f>Waterfall!AB113</f>
        <v>0</v>
      </c>
      <c r="M113">
        <f>Waterfall!AC113</f>
        <v>0</v>
      </c>
    </row>
    <row r="114" spans="1:13" x14ac:dyDescent="0.2">
      <c r="A114" t="str">
        <f>Inputs!B14</f>
        <v>Base</v>
      </c>
      <c r="B114">
        <f>LoanPool!A114</f>
        <v>113</v>
      </c>
      <c r="C114">
        <f>LoanPool!B114</f>
        <v>93130893.711274385</v>
      </c>
      <c r="D114">
        <f>LoanPool!J114</f>
        <v>92065699.065225586</v>
      </c>
      <c r="E114">
        <f>LoanPool!L114</f>
        <v>407447.65998682549</v>
      </c>
      <c r="F114">
        <f>LoanPool!M114</f>
        <v>1036187.8910169128</v>
      </c>
      <c r="G114">
        <f>LoanPool!H114</f>
        <v>29006.755031882411</v>
      </c>
      <c r="H114">
        <f>Waterfall!X114</f>
        <v>38400858.222281203</v>
      </c>
      <c r="I114">
        <f>Waterfall!Y114</f>
        <v>45000000</v>
      </c>
      <c r="J114">
        <f>Waterfall!Z114</f>
        <v>8664840.8429443669</v>
      </c>
      <c r="K114">
        <f>Waterfall!AA114</f>
        <v>0</v>
      </c>
      <c r="L114">
        <f>Waterfall!AB114</f>
        <v>0</v>
      </c>
      <c r="M114">
        <f>Waterfall!AC114</f>
        <v>0</v>
      </c>
    </row>
    <row r="115" spans="1:13" x14ac:dyDescent="0.2">
      <c r="A115" t="str">
        <f>Inputs!B14</f>
        <v>Base</v>
      </c>
      <c r="B115">
        <f>LoanPool!A115</f>
        <v>114</v>
      </c>
      <c r="C115">
        <f>LoanPool!B115</f>
        <v>92065699.065225586</v>
      </c>
      <c r="D115">
        <f>LoanPool!J115</f>
        <v>91010251.622307822</v>
      </c>
      <c r="E115">
        <f>LoanPool!L115</f>
        <v>402787.43341036199</v>
      </c>
      <c r="F115">
        <f>LoanPool!M115</f>
        <v>1026773.2233006649</v>
      </c>
      <c r="G115">
        <f>LoanPool!H115</f>
        <v>28674.219617101571</v>
      </c>
      <c r="H115">
        <f>Waterfall!X115</f>
        <v>37374084.998980537</v>
      </c>
      <c r="I115">
        <f>Waterfall!Y115</f>
        <v>45000000</v>
      </c>
      <c r="J115">
        <f>Waterfall!Z115</f>
        <v>8636166.6233272646</v>
      </c>
      <c r="K115">
        <f>Waterfall!AA115</f>
        <v>0</v>
      </c>
      <c r="L115">
        <f>Waterfall!AB115</f>
        <v>0</v>
      </c>
      <c r="M115">
        <f>Waterfall!AC115</f>
        <v>0</v>
      </c>
    </row>
    <row r="116" spans="1:13" x14ac:dyDescent="0.2">
      <c r="A116" t="str">
        <f>Inputs!B14</f>
        <v>Base</v>
      </c>
      <c r="B116">
        <f>LoanPool!A116</f>
        <v>115</v>
      </c>
      <c r="C116">
        <f>LoanPool!B116</f>
        <v>91010251.622307822</v>
      </c>
      <c r="D116">
        <f>LoanPool!J116</f>
        <v>89964468.147029266</v>
      </c>
      <c r="E116">
        <f>LoanPool!L116</f>
        <v>398169.85084759671</v>
      </c>
      <c r="F116">
        <f>LoanPool!M116</f>
        <v>1017438.7462903335</v>
      </c>
      <c r="G116">
        <f>LoanPool!H116</f>
        <v>28344.728988215957</v>
      </c>
      <c r="H116">
        <f>Waterfall!X116</f>
        <v>36356646.252690203</v>
      </c>
      <c r="I116">
        <f>Waterfall!Y116</f>
        <v>45000000</v>
      </c>
      <c r="J116">
        <f>Waterfall!Z116</f>
        <v>8607821.8943390492</v>
      </c>
      <c r="K116">
        <f>Waterfall!AA116</f>
        <v>0</v>
      </c>
      <c r="L116">
        <f>Waterfall!AB116</f>
        <v>0</v>
      </c>
      <c r="M116">
        <f>Waterfall!AC116</f>
        <v>0</v>
      </c>
    </row>
    <row r="117" spans="1:13" x14ac:dyDescent="0.2">
      <c r="A117" t="str">
        <f>Inputs!B14</f>
        <v>Base</v>
      </c>
      <c r="B117">
        <f>LoanPool!A117</f>
        <v>116</v>
      </c>
      <c r="C117">
        <f>LoanPool!B117</f>
        <v>89964468.147029266</v>
      </c>
      <c r="D117">
        <f>LoanPool!J117</f>
        <v>88928266.096470311</v>
      </c>
      <c r="E117">
        <f>LoanPool!L117</f>
        <v>393594.54814325308</v>
      </c>
      <c r="F117">
        <f>LoanPool!M117</f>
        <v>1008183.7934201824</v>
      </c>
      <c r="G117">
        <f>LoanPool!H117</f>
        <v>28018.257138772831</v>
      </c>
      <c r="H117">
        <f>Waterfall!X117</f>
        <v>35348462.459270023</v>
      </c>
      <c r="I117">
        <f>Waterfall!Y117</f>
        <v>45000000</v>
      </c>
      <c r="J117">
        <f>Waterfall!Z117</f>
        <v>8579803.6372002773</v>
      </c>
      <c r="K117">
        <f>Waterfall!AA117</f>
        <v>0</v>
      </c>
      <c r="L117">
        <f>Waterfall!AB117</f>
        <v>0</v>
      </c>
      <c r="M117">
        <f>Waterfall!AC117</f>
        <v>0</v>
      </c>
    </row>
    <row r="118" spans="1:13" x14ac:dyDescent="0.2">
      <c r="A118" t="str">
        <f>Inputs!B14</f>
        <v>Base</v>
      </c>
      <c r="B118">
        <f>LoanPool!A118</f>
        <v>117</v>
      </c>
      <c r="C118">
        <f>LoanPool!B118</f>
        <v>88928266.096470311</v>
      </c>
      <c r="D118">
        <f>LoanPool!J118</f>
        <v>87901563.614580527</v>
      </c>
      <c r="E118">
        <f>LoanPool!L118</f>
        <v>389061.16417205759</v>
      </c>
      <c r="F118">
        <f>LoanPool!M118</f>
        <v>999007.7036110576</v>
      </c>
      <c r="G118">
        <f>LoanPool!H118</f>
        <v>27694.778278728514</v>
      </c>
      <c r="H118">
        <f>Waterfall!X118</f>
        <v>34349454.755658962</v>
      </c>
      <c r="I118">
        <f>Waterfall!Y118</f>
        <v>45000000</v>
      </c>
      <c r="J118">
        <f>Waterfall!Z118</f>
        <v>8552108.8589215484</v>
      </c>
      <c r="K118">
        <f>Waterfall!AA118</f>
        <v>0</v>
      </c>
      <c r="L118">
        <f>Waterfall!AB118</f>
        <v>0</v>
      </c>
      <c r="M118">
        <f>Waterfall!AC118</f>
        <v>0</v>
      </c>
    </row>
    <row r="119" spans="1:13" x14ac:dyDescent="0.2">
      <c r="A119" t="str">
        <f>Inputs!B14</f>
        <v>Base</v>
      </c>
      <c r="B119">
        <f>LoanPool!A119</f>
        <v>118</v>
      </c>
      <c r="C119">
        <f>LoanPool!B119</f>
        <v>87901563.614580527</v>
      </c>
      <c r="D119">
        <f>LoanPool!J119</f>
        <v>86884279.526522458</v>
      </c>
      <c r="E119">
        <f>LoanPool!L119</f>
        <v>384569.34081378987</v>
      </c>
      <c r="F119">
        <f>LoanPool!M119</f>
        <v>989909.82122540672</v>
      </c>
      <c r="G119">
        <f>LoanPool!H119</f>
        <v>27374.266832666206</v>
      </c>
      <c r="H119">
        <f>Waterfall!X119</f>
        <v>33359544.934433553</v>
      </c>
      <c r="I119">
        <f>Waterfall!Y119</f>
        <v>45000000</v>
      </c>
      <c r="J119">
        <f>Waterfall!Z119</f>
        <v>8524734.5920888819</v>
      </c>
      <c r="K119">
        <f>Waterfall!AA119</f>
        <v>0</v>
      </c>
      <c r="L119">
        <f>Waterfall!AB119</f>
        <v>0</v>
      </c>
      <c r="M119">
        <f>Waterfall!AC119</f>
        <v>0</v>
      </c>
    </row>
    <row r="120" spans="1:13" x14ac:dyDescent="0.2">
      <c r="A120" t="str">
        <f>Inputs!B14</f>
        <v>Base</v>
      </c>
      <c r="B120">
        <f>LoanPool!A120</f>
        <v>119</v>
      </c>
      <c r="C120">
        <f>LoanPool!B120</f>
        <v>86884279.526522458</v>
      </c>
      <c r="D120">
        <f>LoanPool!J120</f>
        <v>85876333.333061755</v>
      </c>
      <c r="E120">
        <f>LoanPool!L120</f>
        <v>380118.72292853578</v>
      </c>
      <c r="F120">
        <f>LoanPool!M120</f>
        <v>980889.49602266925</v>
      </c>
      <c r="G120">
        <f>LoanPool!H120</f>
        <v>27056.697438028594</v>
      </c>
      <c r="H120">
        <f>Waterfall!X120</f>
        <v>32378655.438410886</v>
      </c>
      <c r="I120">
        <f>Waterfall!Y120</f>
        <v>45000000</v>
      </c>
      <c r="J120">
        <f>Waterfall!Z120</f>
        <v>8497677.8946508542</v>
      </c>
      <c r="K120">
        <f>Waterfall!AA120</f>
        <v>0</v>
      </c>
      <c r="L120">
        <f>Waterfall!AB120</f>
        <v>0</v>
      </c>
      <c r="M120">
        <f>Waterfall!AC120</f>
        <v>0</v>
      </c>
    </row>
    <row r="121" spans="1:13" x14ac:dyDescent="0.2">
      <c r="A121" t="str">
        <f>Inputs!B14</f>
        <v>Base</v>
      </c>
      <c r="B121">
        <f>LoanPool!A121</f>
        <v>120</v>
      </c>
      <c r="C121">
        <f>LoanPool!B121</f>
        <v>85876333.333061755</v>
      </c>
      <c r="D121">
        <f>LoanPool!J121</f>
        <v>84877645.205003366</v>
      </c>
      <c r="E121">
        <f>LoanPool!L121</f>
        <v>375708.95833214524</v>
      </c>
      <c r="F121">
        <f>LoanPool!M121</f>
        <v>971946.08311503078</v>
      </c>
      <c r="G121">
        <f>LoanPool!H121</f>
        <v>26742.044943364803</v>
      </c>
      <c r="H121">
        <f>Waterfall!X121</f>
        <v>31406709.355295856</v>
      </c>
      <c r="I121">
        <f>Waterfall!Y121</f>
        <v>45000000</v>
      </c>
      <c r="J121">
        <f>Waterfall!Z121</f>
        <v>8470935.8497074898</v>
      </c>
      <c r="K121">
        <f>Waterfall!AA121</f>
        <v>0</v>
      </c>
      <c r="L121">
        <f>Waterfall!AB121</f>
        <v>0</v>
      </c>
      <c r="M121">
        <f>Waterfall!AC121</f>
        <v>0</v>
      </c>
    </row>
    <row r="122" spans="1:13" x14ac:dyDescent="0.2">
      <c r="A122" t="str">
        <f>Inputs!B14</f>
        <v>Base</v>
      </c>
      <c r="B122">
        <f>LoanPool!A122</f>
        <v>121</v>
      </c>
      <c r="C122">
        <f>LoanPool!B122</f>
        <v>84877645.205003366</v>
      </c>
      <c r="D122">
        <f>LoanPool!J122</f>
        <v>83888135.977673233</v>
      </c>
      <c r="E122">
        <f>LoanPool!L122</f>
        <v>371339.69777188974</v>
      </c>
      <c r="F122">
        <f>LoanPool!M122</f>
        <v>963078.94292353967</v>
      </c>
      <c r="G122">
        <f>LoanPool!H122</f>
        <v>26430.28440659184</v>
      </c>
      <c r="H122">
        <f>Waterfall!X122</f>
        <v>30443630.412372317</v>
      </c>
      <c r="I122">
        <f>Waterfall!Y122</f>
        <v>45000000</v>
      </c>
      <c r="J122">
        <f>Waterfall!Z122</f>
        <v>8444505.5653008986</v>
      </c>
      <c r="K122">
        <f>Waterfall!AA122</f>
        <v>0</v>
      </c>
      <c r="L122">
        <f>Waterfall!AB122</f>
        <v>0</v>
      </c>
      <c r="M122">
        <f>Waterfall!AC122</f>
        <v>0</v>
      </c>
    </row>
    <row r="123" spans="1:13" x14ac:dyDescent="0.2">
      <c r="A123" t="str">
        <f>Inputs!B14</f>
        <v>Base</v>
      </c>
      <c r="B123">
        <f>LoanPool!A123</f>
        <v>122</v>
      </c>
      <c r="C123">
        <f>LoanPool!B123</f>
        <v>83888135.977673233</v>
      </c>
      <c r="D123">
        <f>LoanPool!J123</f>
        <v>82907727.145445377</v>
      </c>
      <c r="E123">
        <f>LoanPool!L123</f>
        <v>367010.59490232042</v>
      </c>
      <c r="F123">
        <f>LoanPool!M123</f>
        <v>954287.44113458274</v>
      </c>
      <c r="G123">
        <f>LoanPool!H123</f>
        <v>26121.391093270235</v>
      </c>
      <c r="H123">
        <f>Waterfall!X123</f>
        <v>29489342.971237734</v>
      </c>
      <c r="I123">
        <f>Waterfall!Y123</f>
        <v>45000000</v>
      </c>
      <c r="J123">
        <f>Waterfall!Z123</f>
        <v>8418384.1742076278</v>
      </c>
      <c r="K123">
        <f>Waterfall!AA123</f>
        <v>0</v>
      </c>
      <c r="L123">
        <f>Waterfall!AB123</f>
        <v>0</v>
      </c>
      <c r="M123">
        <f>Waterfall!AC123</f>
        <v>0</v>
      </c>
    </row>
    <row r="124" spans="1:13" x14ac:dyDescent="0.2">
      <c r="A124" t="str">
        <f>Inputs!B14</f>
        <v>Base</v>
      </c>
      <c r="B124">
        <f>LoanPool!A124</f>
        <v>123</v>
      </c>
      <c r="C124">
        <f>LoanPool!B124</f>
        <v>82907727.145445377</v>
      </c>
      <c r="D124">
        <f>LoanPool!J124</f>
        <v>81936340.856313765</v>
      </c>
      <c r="E124">
        <f>LoanPool!L124</f>
        <v>362721.30626132351</v>
      </c>
      <c r="F124">
        <f>LoanPool!M124</f>
        <v>945570.94865671825</v>
      </c>
      <c r="G124">
        <f>LoanPool!H124</f>
        <v>25815.340474893816</v>
      </c>
      <c r="H124">
        <f>Waterfall!X124</f>
        <v>28543772.022581015</v>
      </c>
      <c r="I124">
        <f>Waterfall!Y124</f>
        <v>45000000</v>
      </c>
      <c r="J124">
        <f>Waterfall!Z124</f>
        <v>8392568.8337327335</v>
      </c>
      <c r="K124">
        <f>Waterfall!AA124</f>
        <v>0</v>
      </c>
      <c r="L124">
        <f>Waterfall!AB124</f>
        <v>0</v>
      </c>
      <c r="M124">
        <f>Waterfall!AC124</f>
        <v>0</v>
      </c>
    </row>
    <row r="125" spans="1:13" x14ac:dyDescent="0.2">
      <c r="A125" t="str">
        <f>Inputs!B14</f>
        <v>Base</v>
      </c>
      <c r="B125">
        <f>LoanPool!A125</f>
        <v>124</v>
      </c>
      <c r="C125">
        <f>LoanPool!B125</f>
        <v>81936340.856313765</v>
      </c>
      <c r="D125">
        <f>LoanPool!J125</f>
        <v>80973899.906508714</v>
      </c>
      <c r="E125">
        <f>LoanPool!L125</f>
        <v>358471.49124637275</v>
      </c>
      <c r="F125">
        <f>LoanPool!M125</f>
        <v>936928.84157785994</v>
      </c>
      <c r="G125">
        <f>LoanPool!H125</f>
        <v>25512.108227193519</v>
      </c>
      <c r="H125">
        <f>Waterfall!X125</f>
        <v>27606843.181003153</v>
      </c>
      <c r="I125">
        <f>Waterfall!Y125</f>
        <v>45000000</v>
      </c>
      <c r="J125">
        <f>Waterfall!Z125</f>
        <v>8367056.7255055401</v>
      </c>
      <c r="K125">
        <f>Waterfall!AA125</f>
        <v>0</v>
      </c>
      <c r="L125">
        <f>Waterfall!AB125</f>
        <v>0</v>
      </c>
      <c r="M125">
        <f>Waterfall!AC125</f>
        <v>0</v>
      </c>
    </row>
    <row r="126" spans="1:13" x14ac:dyDescent="0.2">
      <c r="A126" t="str">
        <f>Inputs!B14</f>
        <v>Base</v>
      </c>
      <c r="B126">
        <f>LoanPool!A126</f>
        <v>125</v>
      </c>
      <c r="C126">
        <f>LoanPool!B126</f>
        <v>80973899.906508714</v>
      </c>
      <c r="D126">
        <f>LoanPool!J126</f>
        <v>80020327.735157445</v>
      </c>
      <c r="E126">
        <f>LoanPool!L126</f>
        <v>354260.8120909757</v>
      </c>
      <c r="F126">
        <f>LoanPool!M126</f>
        <v>928360.50112281251</v>
      </c>
      <c r="G126">
        <f>LoanPool!H126</f>
        <v>25211.670228455136</v>
      </c>
      <c r="H126">
        <f>Waterfall!X126</f>
        <v>26678482.67988034</v>
      </c>
      <c r="I126">
        <f>Waterfall!Y126</f>
        <v>45000000</v>
      </c>
      <c r="J126">
        <f>Waterfall!Z126</f>
        <v>8341845.0552770849</v>
      </c>
      <c r="K126">
        <f>Waterfall!AA126</f>
        <v>0</v>
      </c>
      <c r="L126">
        <f>Waterfall!AB126</f>
        <v>0</v>
      </c>
      <c r="M126">
        <f>Waterfall!AC126</f>
        <v>0</v>
      </c>
    </row>
    <row r="127" spans="1:13" x14ac:dyDescent="0.2">
      <c r="A127" t="str">
        <f>Inputs!B14</f>
        <v>Base</v>
      </c>
      <c r="B127">
        <f>LoanPool!A127</f>
        <v>126</v>
      </c>
      <c r="C127">
        <f>LoanPool!B127</f>
        <v>80020327.735157445</v>
      </c>
      <c r="D127">
        <f>LoanPool!J127</f>
        <v>79075548.418988436</v>
      </c>
      <c r="E127">
        <f>LoanPool!L127</f>
        <v>350088.93384131382</v>
      </c>
      <c r="F127">
        <f>LoanPool!M127</f>
        <v>919865.31361115701</v>
      </c>
      <c r="G127">
        <f>LoanPool!H127</f>
        <v>24914.002557850821</v>
      </c>
      <c r="H127">
        <f>Waterfall!X127</f>
        <v>25758617.366269182</v>
      </c>
      <c r="I127">
        <f>Waterfall!Y127</f>
        <v>45000000</v>
      </c>
      <c r="J127">
        <f>Waterfall!Z127</f>
        <v>8316931.0527192345</v>
      </c>
      <c r="K127">
        <f>Waterfall!AA127</f>
        <v>0</v>
      </c>
      <c r="L127">
        <f>Waterfall!AB127</f>
        <v>0</v>
      </c>
      <c r="M127">
        <f>Waterfall!AC127</f>
        <v>0</v>
      </c>
    </row>
    <row r="128" spans="1:13" x14ac:dyDescent="0.2">
      <c r="A128" t="str">
        <f>Inputs!B14</f>
        <v>Base</v>
      </c>
      <c r="B128">
        <f>LoanPool!A128</f>
        <v>127</v>
      </c>
      <c r="C128">
        <f>LoanPool!B128</f>
        <v>79075548.418988436</v>
      </c>
      <c r="D128">
        <f>LoanPool!J128</f>
        <v>78139486.66707918</v>
      </c>
      <c r="E128">
        <f>LoanPool!L128</f>
        <v>345955.5243330744</v>
      </c>
      <c r="F128">
        <f>LoanPool!M128</f>
        <v>911442.67041547655</v>
      </c>
      <c r="G128">
        <f>LoanPool!H128</f>
        <v>24619.081493784273</v>
      </c>
      <c r="H128">
        <f>Waterfall!X128</f>
        <v>24847174.695853706</v>
      </c>
      <c r="I128">
        <f>Waterfall!Y128</f>
        <v>45000000</v>
      </c>
      <c r="J128">
        <f>Waterfall!Z128</f>
        <v>8292311.9712254498</v>
      </c>
      <c r="K128">
        <f>Waterfall!AA128</f>
        <v>0</v>
      </c>
      <c r="L128">
        <f>Waterfall!AB128</f>
        <v>0</v>
      </c>
      <c r="M128">
        <f>Waterfall!AC128</f>
        <v>0</v>
      </c>
    </row>
    <row r="129" spans="1:13" x14ac:dyDescent="0.2">
      <c r="A129" t="str">
        <f>Inputs!B14</f>
        <v>Base</v>
      </c>
      <c r="B129">
        <f>LoanPool!A129</f>
        <v>128</v>
      </c>
      <c r="C129">
        <f>LoanPool!B129</f>
        <v>78139486.66707918</v>
      </c>
      <c r="D129">
        <f>LoanPool!J129</f>
        <v>77212067.815647006</v>
      </c>
      <c r="E129">
        <f>LoanPool!L129</f>
        <v>341860.25416847144</v>
      </c>
      <c r="F129">
        <f>LoanPool!M129</f>
        <v>903091.96791992779</v>
      </c>
      <c r="G129">
        <f>LoanPool!H129</f>
        <v>24326.883512249547</v>
      </c>
      <c r="H129">
        <f>Waterfall!X129</f>
        <v>23944082.727933779</v>
      </c>
      <c r="I129">
        <f>Waterfall!Y129</f>
        <v>45000000</v>
      </c>
      <c r="J129">
        <f>Waterfall!Z129</f>
        <v>8267985.0877132006</v>
      </c>
      <c r="K129">
        <f>Waterfall!AA129</f>
        <v>0</v>
      </c>
      <c r="L129">
        <f>Waterfall!AB129</f>
        <v>0</v>
      </c>
      <c r="M129">
        <f>Waterfall!AC129</f>
        <v>0</v>
      </c>
    </row>
    <row r="130" spans="1:13" x14ac:dyDescent="0.2">
      <c r="A130" t="str">
        <f>Inputs!B14</f>
        <v>Base</v>
      </c>
      <c r="B130">
        <f>LoanPool!A130</f>
        <v>129</v>
      </c>
      <c r="C130">
        <f>LoanPool!B130</f>
        <v>77212067.815647006</v>
      </c>
      <c r="D130">
        <f>LoanPool!J130</f>
        <v>76293217.822882652</v>
      </c>
      <c r="E130">
        <f>LoanPool!L130</f>
        <v>337802.79669345566</v>
      </c>
      <c r="F130">
        <f>LoanPool!M130</f>
        <v>894812.60747914843</v>
      </c>
      <c r="G130">
        <f>LoanPool!H130</f>
        <v>24037.385285203229</v>
      </c>
      <c r="H130">
        <f>Waterfall!X130</f>
        <v>23049270.120454632</v>
      </c>
      <c r="I130">
        <f>Waterfall!Y130</f>
        <v>45000000</v>
      </c>
      <c r="J130">
        <f>Waterfall!Z130</f>
        <v>8243947.7024279973</v>
      </c>
      <c r="K130">
        <f>Waterfall!AA130</f>
        <v>0</v>
      </c>
      <c r="L130">
        <f>Waterfall!AB130</f>
        <v>0</v>
      </c>
      <c r="M130">
        <f>Waterfall!AC130</f>
        <v>0</v>
      </c>
    </row>
    <row r="131" spans="1:13" x14ac:dyDescent="0.2">
      <c r="A131" t="str">
        <f>Inputs!B14</f>
        <v>Base</v>
      </c>
      <c r="B131">
        <f>LoanPool!A131</f>
        <v>130</v>
      </c>
      <c r="C131">
        <f>LoanPool!B131</f>
        <v>76293217.822882652</v>
      </c>
      <c r="D131">
        <f>LoanPool!J131</f>
        <v>75382863.263826191</v>
      </c>
      <c r="E131">
        <f>LoanPool!L131</f>
        <v>333782.82797511166</v>
      </c>
      <c r="F131">
        <f>LoanPool!M131</f>
        <v>886603.99537750403</v>
      </c>
      <c r="G131">
        <f>LoanPool!H131</f>
        <v>23750.563678950068</v>
      </c>
      <c r="H131">
        <f>Waterfall!X131</f>
        <v>22162666.125077128</v>
      </c>
      <c r="I131">
        <f>Waterfall!Y131</f>
        <v>45000000</v>
      </c>
      <c r="J131">
        <f>Waterfall!Z131</f>
        <v>8220197.1387490472</v>
      </c>
      <c r="K131">
        <f>Waterfall!AA131</f>
        <v>0</v>
      </c>
      <c r="L131">
        <f>Waterfall!AB131</f>
        <v>0</v>
      </c>
      <c r="M131">
        <f>Waterfall!AC131</f>
        <v>0</v>
      </c>
    </row>
    <row r="132" spans="1:13" x14ac:dyDescent="0.2">
      <c r="A132" t="str">
        <f>Inputs!B14</f>
        <v>Base</v>
      </c>
      <c r="B132">
        <f>LoanPool!A132</f>
        <v>131</v>
      </c>
      <c r="C132">
        <f>LoanPool!B132</f>
        <v>75382863.263826191</v>
      </c>
      <c r="D132">
        <f>LoanPool!J132</f>
        <v>74480931.325284988</v>
      </c>
      <c r="E132">
        <f>LoanPool!L132</f>
        <v>329800.02677923965</v>
      </c>
      <c r="F132">
        <f>LoanPool!M132</f>
        <v>878465.54278866574</v>
      </c>
      <c r="G132">
        <f>LoanPool!H132</f>
        <v>23466.395752541772</v>
      </c>
      <c r="H132">
        <f>Waterfall!X132</f>
        <v>21284200.582288463</v>
      </c>
      <c r="I132">
        <f>Waterfall!Y132</f>
        <v>45000000</v>
      </c>
      <c r="J132">
        <f>Waterfall!Z132</f>
        <v>8196730.7429965055</v>
      </c>
      <c r="K132">
        <f>Waterfall!AA132</f>
        <v>0</v>
      </c>
      <c r="L132">
        <f>Waterfall!AB132</f>
        <v>0</v>
      </c>
      <c r="M132">
        <f>Waterfall!AC132</f>
        <v>0</v>
      </c>
    </row>
    <row r="133" spans="1:13" x14ac:dyDescent="0.2">
      <c r="A133" t="str">
        <f>Inputs!B14</f>
        <v>Base</v>
      </c>
      <c r="B133">
        <f>LoanPool!A133</f>
        <v>132</v>
      </c>
      <c r="C133">
        <f>LoanPool!B133</f>
        <v>74480931.325284988</v>
      </c>
      <c r="D133">
        <f>LoanPool!J133</f>
        <v>73587349.800793275</v>
      </c>
      <c r="E133">
        <f>LoanPool!L133</f>
        <v>325854.07454812183</v>
      </c>
      <c r="F133">
        <f>LoanPool!M133</f>
        <v>870396.66573552066</v>
      </c>
      <c r="G133">
        <f>LoanPool!H133</f>
        <v>23184.858756188944</v>
      </c>
      <c r="H133">
        <f>Waterfall!X133</f>
        <v>20413803.916552942</v>
      </c>
      <c r="I133">
        <f>Waterfall!Y133</f>
        <v>45000000</v>
      </c>
      <c r="J133">
        <f>Waterfall!Z133</f>
        <v>8173545.8842403162</v>
      </c>
      <c r="K133">
        <f>Waterfall!AA133</f>
        <v>0</v>
      </c>
      <c r="L133">
        <f>Waterfall!AB133</f>
        <v>0</v>
      </c>
      <c r="M133">
        <f>Waterfall!AC133</f>
        <v>0</v>
      </c>
    </row>
    <row r="134" spans="1:13" x14ac:dyDescent="0.2">
      <c r="A134" t="str">
        <f>Inputs!B14</f>
        <v>Base</v>
      </c>
      <c r="B134">
        <f>LoanPool!A134</f>
        <v>133</v>
      </c>
      <c r="C134">
        <f>LoanPool!B134</f>
        <v>73587349.800793275</v>
      </c>
      <c r="D134">
        <f>LoanPool!J134</f>
        <v>72702047.085613176</v>
      </c>
      <c r="E134">
        <f>LoanPool!L134</f>
        <v>321944.6553784706</v>
      </c>
      <c r="F134">
        <f>LoanPool!M134</f>
        <v>862396.7850504095</v>
      </c>
      <c r="G134">
        <f>LoanPool!H134</f>
        <v>22905.930129686072</v>
      </c>
      <c r="H134">
        <f>Waterfall!X134</f>
        <v>19551407.131502531</v>
      </c>
      <c r="I134">
        <f>Waterfall!Y134</f>
        <v>45000000</v>
      </c>
      <c r="J134">
        <f>Waterfall!Z134</f>
        <v>8150639.9541106299</v>
      </c>
      <c r="K134">
        <f>Waterfall!AA134</f>
        <v>0</v>
      </c>
      <c r="L134">
        <f>Waterfall!AB134</f>
        <v>0</v>
      </c>
      <c r="M134">
        <f>Waterfall!AC134</f>
        <v>0</v>
      </c>
    </row>
    <row r="135" spans="1:13" x14ac:dyDescent="0.2">
      <c r="A135" t="str">
        <f>Inputs!B14</f>
        <v>Base</v>
      </c>
      <c r="B135">
        <f>LoanPool!A135</f>
        <v>134</v>
      </c>
      <c r="C135">
        <f>LoanPool!B135</f>
        <v>72702047.085613176</v>
      </c>
      <c r="D135">
        <f>LoanPool!J135</f>
        <v>71824952.171776637</v>
      </c>
      <c r="E135">
        <f>LoanPool!L135</f>
        <v>318071.45599955769</v>
      </c>
      <c r="F135">
        <f>LoanPool!M135</f>
        <v>854465.32633568952</v>
      </c>
      <c r="G135">
        <f>LoanPool!H135</f>
        <v>22629.587500849448</v>
      </c>
      <c r="H135">
        <f>Waterfall!X135</f>
        <v>18696941.805166841</v>
      </c>
      <c r="I135">
        <f>Waterfall!Y135</f>
        <v>45000000</v>
      </c>
      <c r="J135">
        <f>Waterfall!Z135</f>
        <v>8128010.3666097801</v>
      </c>
      <c r="K135">
        <f>Waterfall!AA135</f>
        <v>0</v>
      </c>
      <c r="L135">
        <f>Waterfall!AB135</f>
        <v>0</v>
      </c>
      <c r="M135">
        <f>Waterfall!AC135</f>
        <v>0</v>
      </c>
    </row>
    <row r="136" spans="1:13" x14ac:dyDescent="0.2">
      <c r="A136" t="str">
        <f>Inputs!B14</f>
        <v>Base</v>
      </c>
      <c r="B136">
        <f>LoanPool!A136</f>
        <v>135</v>
      </c>
      <c r="C136">
        <f>LoanPool!B136</f>
        <v>71824952.171776637</v>
      </c>
      <c r="D136">
        <f>LoanPool!J136</f>
        <v>70955994.643168047</v>
      </c>
      <c r="E136">
        <f>LoanPool!L136</f>
        <v>314234.16575152276</v>
      </c>
      <c r="F136">
        <f>LoanPool!M136</f>
        <v>846601.7199246214</v>
      </c>
      <c r="G136">
        <f>LoanPool!H136</f>
        <v>22355.8086839678</v>
      </c>
      <c r="H136">
        <f>Waterfall!X136</f>
        <v>17850340.085242219</v>
      </c>
      <c r="I136">
        <f>Waterfall!Y136</f>
        <v>45000000</v>
      </c>
      <c r="J136">
        <f>Waterfall!Z136</f>
        <v>8105654.557925812</v>
      </c>
      <c r="K136">
        <f>Waterfall!AA136</f>
        <v>0</v>
      </c>
      <c r="L136">
        <f>Waterfall!AB136</f>
        <v>0</v>
      </c>
      <c r="M136">
        <f>Waterfall!AC136</f>
        <v>0</v>
      </c>
    </row>
    <row r="137" spans="1:13" x14ac:dyDescent="0.2">
      <c r="A137" t="str">
        <f>Inputs!B14</f>
        <v>Base</v>
      </c>
      <c r="B137">
        <f>LoanPool!A137</f>
        <v>136</v>
      </c>
      <c r="C137">
        <f>LoanPool!B137</f>
        <v>70955994.643168047</v>
      </c>
      <c r="D137">
        <f>LoanPool!J137</f>
        <v>70095104.670647204</v>
      </c>
      <c r="E137">
        <f>LoanPool!L137</f>
        <v>310432.47656386025</v>
      </c>
      <c r="F137">
        <f>LoanPool!M137</f>
        <v>838805.40084257408</v>
      </c>
      <c r="G137">
        <f>LoanPool!H137</f>
        <v>22084.571678265766</v>
      </c>
      <c r="H137">
        <f>Waterfall!X137</f>
        <v>17011534.684399646</v>
      </c>
      <c r="I137">
        <f>Waterfall!Y137</f>
        <v>45000000</v>
      </c>
      <c r="J137">
        <f>Waterfall!Z137</f>
        <v>8083569.986247546</v>
      </c>
      <c r="K137">
        <f>Waterfall!AA137</f>
        <v>0</v>
      </c>
      <c r="L137">
        <f>Waterfall!AB137</f>
        <v>0</v>
      </c>
      <c r="M137">
        <f>Waterfall!AC137</f>
        <v>0</v>
      </c>
    </row>
    <row r="138" spans="1:13" x14ac:dyDescent="0.2">
      <c r="A138" t="str">
        <f>Inputs!B14</f>
        <v>Base</v>
      </c>
      <c r="B138">
        <f>LoanPool!A138</f>
        <v>137</v>
      </c>
      <c r="C138">
        <f>LoanPool!B138</f>
        <v>70095104.670647204</v>
      </c>
      <c r="D138">
        <f>LoanPool!J138</f>
        <v>69242213.007212266</v>
      </c>
      <c r="E138">
        <f>LoanPool!L138</f>
        <v>306666.0829340815</v>
      </c>
      <c r="F138">
        <f>LoanPool!M138</f>
        <v>831075.80876855063</v>
      </c>
      <c r="G138">
        <f>LoanPool!H138</f>
        <v>21815.854666379892</v>
      </c>
      <c r="H138">
        <f>Waterfall!X138</f>
        <v>16180458.875631096</v>
      </c>
      <c r="I138">
        <f>Waterfall!Y138</f>
        <v>45000000</v>
      </c>
      <c r="J138">
        <f>Waterfall!Z138</f>
        <v>8061754.1315811658</v>
      </c>
      <c r="K138">
        <f>Waterfall!AA138</f>
        <v>0</v>
      </c>
      <c r="L138">
        <f>Waterfall!AB138</f>
        <v>0</v>
      </c>
      <c r="M138">
        <f>Waterfall!AC138</f>
        <v>0</v>
      </c>
    </row>
    <row r="139" spans="1:13" x14ac:dyDescent="0.2">
      <c r="A139" t="str">
        <f>Inputs!B14</f>
        <v>Base</v>
      </c>
      <c r="B139">
        <f>LoanPool!A139</f>
        <v>138</v>
      </c>
      <c r="C139">
        <f>LoanPool!B139</f>
        <v>69242213.007212266</v>
      </c>
      <c r="D139">
        <f>LoanPool!J139</f>
        <v>68397250.983202398</v>
      </c>
      <c r="E139">
        <f>LoanPool!L139</f>
        <v>302934.68190655368</v>
      </c>
      <c r="F139">
        <f>LoanPool!M139</f>
        <v>823412.38799702469</v>
      </c>
      <c r="G139">
        <f>LoanPool!H139</f>
        <v>21549.636012847117</v>
      </c>
      <c r="H139">
        <f>Waterfall!X139</f>
        <v>15357046.48763407</v>
      </c>
      <c r="I139">
        <f>Waterfall!Y139</f>
        <v>45000000</v>
      </c>
      <c r="J139">
        <f>Waterfall!Z139</f>
        <v>8040204.4955683183</v>
      </c>
      <c r="K139">
        <f>Waterfall!AA139</f>
        <v>0</v>
      </c>
      <c r="L139">
        <f>Waterfall!AB139</f>
        <v>0</v>
      </c>
      <c r="M139">
        <f>Waterfall!AC139</f>
        <v>0</v>
      </c>
    </row>
    <row r="140" spans="1:13" x14ac:dyDescent="0.2">
      <c r="A140" t="str">
        <f>Inputs!B14</f>
        <v>Base</v>
      </c>
      <c r="B140">
        <f>LoanPool!A140</f>
        <v>139</v>
      </c>
      <c r="C140">
        <f>LoanPool!B140</f>
        <v>68397250.983202398</v>
      </c>
      <c r="D140">
        <f>LoanPool!J140</f>
        <v>67560150.501539692</v>
      </c>
      <c r="E140">
        <f>LoanPool!L140</f>
        <v>299237.97305151046</v>
      </c>
      <c r="F140">
        <f>LoanPool!M140</f>
        <v>815814.58740009286</v>
      </c>
      <c r="G140">
        <f>LoanPool!H140</f>
        <v>21285.894262605711</v>
      </c>
      <c r="H140">
        <f>Waterfall!X140</f>
        <v>14541231.900233977</v>
      </c>
      <c r="I140">
        <f>Waterfall!Y140</f>
        <v>45000000</v>
      </c>
      <c r="J140">
        <f>Waterfall!Z140</f>
        <v>8018918.6013057129</v>
      </c>
      <c r="K140">
        <f>Waterfall!AA140</f>
        <v>0</v>
      </c>
      <c r="L140">
        <f>Waterfall!AB140</f>
        <v>0</v>
      </c>
      <c r="M140">
        <f>Waterfall!AC140</f>
        <v>0</v>
      </c>
    </row>
    <row r="141" spans="1:13" x14ac:dyDescent="0.2">
      <c r="A141" t="str">
        <f>Inputs!B14</f>
        <v>Base</v>
      </c>
      <c r="B141">
        <f>LoanPool!A141</f>
        <v>140</v>
      </c>
      <c r="C141">
        <f>LoanPool!B141</f>
        <v>67560150.501539692</v>
      </c>
      <c r="D141">
        <f>LoanPool!J141</f>
        <v>66730844.033010252</v>
      </c>
      <c r="E141">
        <f>LoanPool!L141</f>
        <v>295575.65844423615</v>
      </c>
      <c r="F141">
        <f>LoanPool!M141</f>
        <v>808281.86038993555</v>
      </c>
      <c r="G141">
        <f>LoanPool!H141</f>
        <v>21024.60813950848</v>
      </c>
      <c r="H141">
        <f>Waterfall!X141</f>
        <v>13732950.039844042</v>
      </c>
      <c r="I141">
        <f>Waterfall!Y141</f>
        <v>45000000</v>
      </c>
      <c r="J141">
        <f>Waterfall!Z141</f>
        <v>7997893.9931662045</v>
      </c>
      <c r="K141">
        <f>Waterfall!AA141</f>
        <v>0</v>
      </c>
      <c r="L141">
        <f>Waterfall!AB141</f>
        <v>0</v>
      </c>
      <c r="M141">
        <f>Waterfall!AC141</f>
        <v>0</v>
      </c>
    </row>
    <row r="142" spans="1:13" x14ac:dyDescent="0.2">
      <c r="A142" t="str">
        <f>Inputs!B14</f>
        <v>Base</v>
      </c>
      <c r="B142">
        <f>LoanPool!A142</f>
        <v>141</v>
      </c>
      <c r="C142">
        <f>LoanPool!B142</f>
        <v>66730844.033010252</v>
      </c>
      <c r="D142">
        <f>LoanPool!J142</f>
        <v>65909264.611583821</v>
      </c>
      <c r="E142">
        <f>LoanPool!L142</f>
        <v>291947.44264441985</v>
      </c>
      <c r="F142">
        <f>LoanPool!M142</f>
        <v>800813.6648815847</v>
      </c>
      <c r="G142">
        <f>LoanPool!H142</f>
        <v>20765.756544848147</v>
      </c>
      <c r="H142">
        <f>Waterfall!X142</f>
        <v>12932136.374962457</v>
      </c>
      <c r="I142">
        <f>Waterfall!Y142</f>
        <v>45000000</v>
      </c>
      <c r="J142">
        <f>Waterfall!Z142</f>
        <v>7977128.2366213566</v>
      </c>
      <c r="K142">
        <f>Waterfall!AA142</f>
        <v>0</v>
      </c>
      <c r="L142">
        <f>Waterfall!AB142</f>
        <v>0</v>
      </c>
      <c r="M142">
        <f>Waterfall!AC142</f>
        <v>0</v>
      </c>
    </row>
    <row r="143" spans="1:13" x14ac:dyDescent="0.2">
      <c r="A143" t="str">
        <f>Inputs!B14</f>
        <v>Base</v>
      </c>
      <c r="B143">
        <f>LoanPool!A143</f>
        <v>142</v>
      </c>
      <c r="C143">
        <f>LoanPool!B143</f>
        <v>65909264.611583821</v>
      </c>
      <c r="D143">
        <f>LoanPool!J143</f>
        <v>65095345.829771928</v>
      </c>
      <c r="E143">
        <f>LoanPool!L143</f>
        <v>288353.03267567925</v>
      </c>
      <c r="F143">
        <f>LoanPool!M143</f>
        <v>793409.463255996</v>
      </c>
      <c r="G143">
        <f>LoanPool!H143</f>
        <v>20509.318555894853</v>
      </c>
      <c r="H143">
        <f>Waterfall!X143</f>
        <v>12138726.911706461</v>
      </c>
      <c r="I143">
        <f>Waterfall!Y143</f>
        <v>45000000</v>
      </c>
      <c r="J143">
        <f>Waterfall!Z143</f>
        <v>7956618.9180654613</v>
      </c>
      <c r="K143">
        <f>Waterfall!AA143</f>
        <v>0</v>
      </c>
      <c r="L143">
        <f>Waterfall!AB143</f>
        <v>0</v>
      </c>
      <c r="M143">
        <f>Waterfall!AC143</f>
        <v>0</v>
      </c>
    </row>
    <row r="144" spans="1:13" x14ac:dyDescent="0.2">
      <c r="A144" t="str">
        <f>Inputs!B14</f>
        <v>Base</v>
      </c>
      <c r="B144">
        <f>LoanPool!A144</f>
        <v>143</v>
      </c>
      <c r="C144">
        <f>LoanPool!B144</f>
        <v>65095345.829771928</v>
      </c>
      <c r="D144">
        <f>LoanPool!J144</f>
        <v>64289021.834024057</v>
      </c>
      <c r="E144">
        <f>LoanPool!L144</f>
        <v>284792.13800525217</v>
      </c>
      <c r="F144">
        <f>LoanPool!M144</f>
        <v>786068.72232342535</v>
      </c>
      <c r="G144">
        <f>LoanPool!H144</f>
        <v>20255.273424445662</v>
      </c>
      <c r="H144">
        <f>Waterfall!X144</f>
        <v>11352658.189383036</v>
      </c>
      <c r="I144">
        <f>Waterfall!Y144</f>
        <v>45000000</v>
      </c>
      <c r="J144">
        <f>Waterfall!Z144</f>
        <v>7936363.6446410157</v>
      </c>
      <c r="K144">
        <f>Waterfall!AA144</f>
        <v>0</v>
      </c>
      <c r="L144">
        <f>Waterfall!AB144</f>
        <v>0</v>
      </c>
      <c r="M144">
        <f>Waterfall!AC144</f>
        <v>0</v>
      </c>
    </row>
    <row r="145" spans="1:13" x14ac:dyDescent="0.2">
      <c r="A145" t="str">
        <f>Inputs!B14</f>
        <v>Base</v>
      </c>
      <c r="B145">
        <f>LoanPool!A145</f>
        <v>144</v>
      </c>
      <c r="C145">
        <f>LoanPool!B145</f>
        <v>64289021.834024057</v>
      </c>
      <c r="D145">
        <f>LoanPool!J145</f>
        <v>63490227.320161566</v>
      </c>
      <c r="E145">
        <f>LoanPool!L145</f>
        <v>281264.4705238553</v>
      </c>
      <c r="F145">
        <f>LoanPool!M145</f>
        <v>778790.91328710364</v>
      </c>
      <c r="G145">
        <f>LoanPool!H145</f>
        <v>20003.600575385932</v>
      </c>
      <c r="H145">
        <f>Waterfall!X145</f>
        <v>10573867.276095932</v>
      </c>
      <c r="I145">
        <f>Waterfall!Y145</f>
        <v>45000000</v>
      </c>
      <c r="J145">
        <f>Waterfall!Z145</f>
        <v>7916360.0440656301</v>
      </c>
      <c r="K145">
        <f>Waterfall!AA145</f>
        <v>0</v>
      </c>
      <c r="L145">
        <f>Waterfall!AB145</f>
        <v>0</v>
      </c>
      <c r="M145">
        <f>Waterfall!AC145</f>
        <v>0</v>
      </c>
    </row>
    <row r="146" spans="1:13" x14ac:dyDescent="0.2">
      <c r="A146" t="str">
        <f>Inputs!B14</f>
        <v>Base</v>
      </c>
      <c r="B146">
        <f>LoanPool!A146</f>
        <v>145</v>
      </c>
      <c r="C146">
        <f>LoanPool!B146</f>
        <v>63490227.320161566</v>
      </c>
      <c r="D146">
        <f>LoanPool!J146</f>
        <v>62698897.528849095</v>
      </c>
      <c r="E146">
        <f>LoanPool!L146</f>
        <v>277769.74452570686</v>
      </c>
      <c r="F146">
        <f>LoanPool!M146</f>
        <v>771575.51170720812</v>
      </c>
      <c r="G146">
        <f>LoanPool!H146</f>
        <v>19754.279605262527</v>
      </c>
      <c r="H146">
        <f>Waterfall!X146</f>
        <v>9802291.7643887252</v>
      </c>
      <c r="I146">
        <f>Waterfall!Y146</f>
        <v>45000000</v>
      </c>
      <c r="J146">
        <f>Waterfall!Z146</f>
        <v>7896605.7644603672</v>
      </c>
      <c r="K146">
        <f>Waterfall!AA146</f>
        <v>0</v>
      </c>
      <c r="L146">
        <f>Waterfall!AB146</f>
        <v>0</v>
      </c>
      <c r="M146">
        <f>Waterfall!AC146</f>
        <v>0</v>
      </c>
    </row>
    <row r="147" spans="1:13" x14ac:dyDescent="0.2">
      <c r="A147" t="str">
        <f>Inputs!B14</f>
        <v>Base</v>
      </c>
      <c r="B147">
        <f>LoanPool!A147</f>
        <v>146</v>
      </c>
      <c r="C147">
        <f>LoanPool!B147</f>
        <v>62698897.528849095</v>
      </c>
      <c r="D147">
        <f>LoanPool!J147</f>
        <v>61914968.241103098</v>
      </c>
      <c r="E147">
        <f>LoanPool!L147</f>
        <v>274307.67668871477</v>
      </c>
      <c r="F147">
        <f>LoanPool!M147</f>
        <v>764421.99746512959</v>
      </c>
      <c r="G147">
        <f>LoanPool!H147</f>
        <v>19507.290280868692</v>
      </c>
      <c r="H147">
        <f>Waterfall!X147</f>
        <v>9037869.7669235952</v>
      </c>
      <c r="I147">
        <f>Waterfall!Y147</f>
        <v>45000000</v>
      </c>
      <c r="J147">
        <f>Waterfall!Z147</f>
        <v>7877098.4741794989</v>
      </c>
      <c r="K147">
        <f>Waterfall!AA147</f>
        <v>0</v>
      </c>
      <c r="L147">
        <f>Waterfall!AB147</f>
        <v>0</v>
      </c>
      <c r="M147">
        <f>Waterfall!AC147</f>
        <v>0</v>
      </c>
    </row>
    <row r="148" spans="1:13" x14ac:dyDescent="0.2">
      <c r="A148" t="str">
        <f>Inputs!B14</f>
        <v>Base</v>
      </c>
      <c r="B148">
        <f>LoanPool!A148</f>
        <v>147</v>
      </c>
      <c r="C148">
        <f>LoanPool!B148</f>
        <v>61914968.241103098</v>
      </c>
      <c r="D148">
        <f>LoanPool!J148</f>
        <v>61138375.773837224</v>
      </c>
      <c r="E148">
        <f>LoanPool!L148</f>
        <v>270877.98605482606</v>
      </c>
      <c r="F148">
        <f>LoanPool!M148</f>
        <v>757329.85472803295</v>
      </c>
      <c r="G148">
        <f>LoanPool!H148</f>
        <v>19262.612537840563</v>
      </c>
      <c r="H148">
        <f>Waterfall!X148</f>
        <v>8280539.9121955624</v>
      </c>
      <c r="I148">
        <f>Waterfall!Y148</f>
        <v>45000000</v>
      </c>
      <c r="J148">
        <f>Waterfall!Z148</f>
        <v>7857835.8616416585</v>
      </c>
      <c r="K148">
        <f>Waterfall!AA148</f>
        <v>0</v>
      </c>
      <c r="L148">
        <f>Waterfall!AB148</f>
        <v>0</v>
      </c>
      <c r="M148">
        <f>Waterfall!AC148</f>
        <v>0</v>
      </c>
    </row>
    <row r="149" spans="1:13" x14ac:dyDescent="0.2">
      <c r="A149" t="str">
        <f>Inputs!B14</f>
        <v>Base</v>
      </c>
      <c r="B149">
        <f>LoanPool!A149</f>
        <v>148</v>
      </c>
      <c r="C149">
        <f>LoanPool!B149</f>
        <v>61138375.773837224</v>
      </c>
      <c r="D149">
        <f>LoanPool!J149</f>
        <v>60369056.97544425</v>
      </c>
      <c r="E149">
        <f>LoanPool!L149</f>
        <v>267480.39401053789</v>
      </c>
      <c r="F149">
        <f>LoanPool!M149</f>
        <v>750298.57191370707</v>
      </c>
      <c r="G149">
        <f>LoanPool!H149</f>
        <v>19020.226479265184</v>
      </c>
      <c r="H149">
        <f>Waterfall!X149</f>
        <v>7530241.3402818553</v>
      </c>
      <c r="I149">
        <f>Waterfall!Y149</f>
        <v>45000000</v>
      </c>
      <c r="J149">
        <f>Waterfall!Z149</f>
        <v>7838815.6351623936</v>
      </c>
      <c r="K149">
        <f>Waterfall!AA149</f>
        <v>0</v>
      </c>
      <c r="L149">
        <f>Waterfall!AB149</f>
        <v>0</v>
      </c>
      <c r="M149">
        <f>Waterfall!AC149</f>
        <v>0</v>
      </c>
    </row>
    <row r="150" spans="1:13" x14ac:dyDescent="0.2">
      <c r="A150" t="str">
        <f>Inputs!B14</f>
        <v>Base</v>
      </c>
      <c r="B150">
        <f>LoanPool!A150</f>
        <v>149</v>
      </c>
      <c r="C150">
        <f>LoanPool!B150</f>
        <v>60369056.97544425</v>
      </c>
      <c r="D150">
        <f>LoanPool!J150</f>
        <v>59606949.221414253</v>
      </c>
      <c r="E150">
        <f>LoanPool!L150</f>
        <v>264114.62426756864</v>
      </c>
      <c r="F150">
        <f>LoanPool!M150</f>
        <v>743327.6416557004</v>
      </c>
      <c r="G150">
        <f>LoanPool!H150</f>
        <v>18780.112374299937</v>
      </c>
      <c r="H150">
        <f>Waterfall!X150</f>
        <v>6786913.698626155</v>
      </c>
      <c r="I150">
        <f>Waterfall!Y150</f>
        <v>45000000</v>
      </c>
      <c r="J150">
        <f>Waterfall!Z150</f>
        <v>7820035.5227880934</v>
      </c>
      <c r="K150">
        <f>Waterfall!AA150</f>
        <v>0</v>
      </c>
      <c r="L150">
        <f>Waterfall!AB150</f>
        <v>0</v>
      </c>
      <c r="M150">
        <f>Waterfall!AC150</f>
        <v>0</v>
      </c>
    </row>
    <row r="151" spans="1:13" x14ac:dyDescent="0.2">
      <c r="A151" t="str">
        <f>Inputs!B14</f>
        <v>Base</v>
      </c>
      <c r="B151">
        <f>LoanPool!A151</f>
        <v>150</v>
      </c>
      <c r="C151">
        <f>LoanPool!B151</f>
        <v>59606949.221414253</v>
      </c>
      <c r="D151">
        <f>LoanPool!J151</f>
        <v>58851990.409988701</v>
      </c>
      <c r="E151">
        <f>LoanPool!L151</f>
        <v>260780.40284368733</v>
      </c>
      <c r="F151">
        <f>LoanPool!M151</f>
        <v>736416.56076874654</v>
      </c>
      <c r="G151">
        <f>LoanPool!H151</f>
        <v>18542.250656803313</v>
      </c>
      <c r="H151">
        <f>Waterfall!X151</f>
        <v>6050497.1378574083</v>
      </c>
      <c r="I151">
        <f>Waterfall!Y151</f>
        <v>45000000</v>
      </c>
      <c r="J151">
        <f>Waterfall!Z151</f>
        <v>7801493.2721312903</v>
      </c>
      <c r="K151">
        <f>Waterfall!AA151</f>
        <v>0</v>
      </c>
      <c r="L151">
        <f>Waterfall!AB151</f>
        <v>0</v>
      </c>
      <c r="M151">
        <f>Waterfall!AC151</f>
        <v>0</v>
      </c>
    </row>
    <row r="152" spans="1:13" x14ac:dyDescent="0.2">
      <c r="A152" t="str">
        <f>Inputs!B14</f>
        <v>Base</v>
      </c>
      <c r="B152">
        <f>LoanPool!A152</f>
        <v>151</v>
      </c>
      <c r="C152">
        <f>LoanPool!B152</f>
        <v>58851990.409988701</v>
      </c>
      <c r="D152">
        <f>LoanPool!J152</f>
        <v>58104118.957850255</v>
      </c>
      <c r="E152">
        <f>LoanPool!L152</f>
        <v>257477.45804370061</v>
      </c>
      <c r="F152">
        <f>LoanPool!M152</f>
        <v>729564.8302144683</v>
      </c>
      <c r="G152">
        <f>LoanPool!H152</f>
        <v>18306.621923976887</v>
      </c>
      <c r="H152">
        <f>Waterfall!X152</f>
        <v>5320932.3076429404</v>
      </c>
      <c r="I152">
        <f>Waterfall!Y152</f>
        <v>45000000</v>
      </c>
      <c r="J152">
        <f>Waterfall!Z152</f>
        <v>7783186.6502073137</v>
      </c>
      <c r="K152">
        <f>Waterfall!AA152</f>
        <v>0</v>
      </c>
      <c r="L152">
        <f>Waterfall!AB152</f>
        <v>0</v>
      </c>
      <c r="M152">
        <f>Waterfall!AC152</f>
        <v>0</v>
      </c>
    </row>
    <row r="153" spans="1:13" x14ac:dyDescent="0.2">
      <c r="A153" t="str">
        <f>Inputs!B14</f>
        <v>Base</v>
      </c>
      <c r="B153">
        <f>LoanPool!A153</f>
        <v>152</v>
      </c>
      <c r="C153">
        <f>LoanPool!B153</f>
        <v>58104118.957850255</v>
      </c>
      <c r="D153">
        <f>LoanPool!J153</f>
        <v>57363273.79584787</v>
      </c>
      <c r="E153">
        <f>LoanPool!L153</f>
        <v>254205.52044059488</v>
      </c>
      <c r="F153">
        <f>LoanPool!M153</f>
        <v>722771.95506736485</v>
      </c>
      <c r="G153">
        <f>LoanPool!H153</f>
        <v>18073.206935018472</v>
      </c>
      <c r="H153">
        <f>Waterfall!X153</f>
        <v>4598160.3525755759</v>
      </c>
      <c r="I153">
        <f>Waterfall!Y153</f>
        <v>45000000</v>
      </c>
      <c r="J153">
        <f>Waterfall!Z153</f>
        <v>7765113.4432722954</v>
      </c>
      <c r="K153">
        <f>Waterfall!AA153</f>
        <v>0</v>
      </c>
      <c r="L153">
        <f>Waterfall!AB153</f>
        <v>0</v>
      </c>
      <c r="M153">
        <f>Waterfall!AC153</f>
        <v>0</v>
      </c>
    </row>
    <row r="154" spans="1:13" x14ac:dyDescent="0.2">
      <c r="A154" t="str">
        <f>Inputs!B14</f>
        <v>Base</v>
      </c>
      <c r="B154">
        <f>LoanPool!A154</f>
        <v>153</v>
      </c>
      <c r="C154">
        <f>LoanPool!B154</f>
        <v>57363273.79584787</v>
      </c>
      <c r="D154">
        <f>LoanPool!J154</f>
        <v>56629394.364757009</v>
      </c>
      <c r="E154">
        <f>LoanPool!L154</f>
        <v>250964.32285683442</v>
      </c>
      <c r="F154">
        <f>LoanPool!M154</f>
        <v>716037.44448107667</v>
      </c>
      <c r="G154">
        <f>LoanPool!H154</f>
        <v>17841.986609786287</v>
      </c>
      <c r="H154">
        <f>Waterfall!X154</f>
        <v>3882122.9080944993</v>
      </c>
      <c r="I154">
        <f>Waterfall!Y154</f>
        <v>45000000</v>
      </c>
      <c r="J154">
        <f>Waterfall!Z154</f>
        <v>7747271.4566625087</v>
      </c>
      <c r="K154">
        <f>Waterfall!AA154</f>
        <v>0</v>
      </c>
      <c r="L154">
        <f>Waterfall!AB154</f>
        <v>0</v>
      </c>
      <c r="M154">
        <f>Waterfall!AC154</f>
        <v>0</v>
      </c>
    </row>
    <row r="155" spans="1:13" x14ac:dyDescent="0.2">
      <c r="A155" t="str">
        <f>Inputs!B14</f>
        <v>Base</v>
      </c>
      <c r="B155">
        <f>LoanPool!A155</f>
        <v>154</v>
      </c>
      <c r="C155">
        <f>LoanPool!B155</f>
        <v>56629394.364757009</v>
      </c>
      <c r="D155">
        <f>LoanPool!J155</f>
        <v>55902420.611074604</v>
      </c>
      <c r="E155">
        <f>LoanPool!L155</f>
        <v>247753.60034581192</v>
      </c>
      <c r="F155">
        <f>LoanPool!M155</f>
        <v>709360.81165492709</v>
      </c>
      <c r="G155">
        <f>LoanPool!H155</f>
        <v>17612.942027474106</v>
      </c>
      <c r="H155">
        <f>Waterfall!X155</f>
        <v>3172762.0964395721</v>
      </c>
      <c r="I155">
        <f>Waterfall!Y155</f>
        <v>45000000</v>
      </c>
      <c r="J155">
        <f>Waterfall!Z155</f>
        <v>7729658.5146350348</v>
      </c>
      <c r="K155">
        <f>Waterfall!AA155</f>
        <v>0</v>
      </c>
      <c r="L155">
        <f>Waterfall!AB155</f>
        <v>0</v>
      </c>
      <c r="M155">
        <f>Waterfall!AC155</f>
        <v>0</v>
      </c>
    </row>
    <row r="156" spans="1:13" x14ac:dyDescent="0.2">
      <c r="A156" t="str">
        <f>Inputs!B14</f>
        <v>Base</v>
      </c>
      <c r="B156">
        <f>LoanPool!A156</f>
        <v>155</v>
      </c>
      <c r="C156">
        <f>LoanPool!B156</f>
        <v>55902420.611074604</v>
      </c>
      <c r="D156">
        <f>LoanPool!J156</f>
        <v>55182292.98284857</v>
      </c>
      <c r="E156">
        <f>LoanPool!L156</f>
        <v>244573.09017345143</v>
      </c>
      <c r="F156">
        <f>LoanPool!M156</f>
        <v>702741.57380073739</v>
      </c>
      <c r="G156">
        <f>LoanPool!H156</f>
        <v>17386.054425297272</v>
      </c>
      <c r="H156">
        <f>Waterfall!X156</f>
        <v>2470020.5226388345</v>
      </c>
      <c r="I156">
        <f>Waterfall!Y156</f>
        <v>45000000</v>
      </c>
      <c r="J156">
        <f>Waterfall!Z156</f>
        <v>7712272.4602097375</v>
      </c>
      <c r="K156">
        <f>Waterfall!AA156</f>
        <v>0</v>
      </c>
      <c r="L156">
        <f>Waterfall!AB156</f>
        <v>0</v>
      </c>
      <c r="M156">
        <f>Waterfall!AC156</f>
        <v>0</v>
      </c>
    </row>
    <row r="157" spans="1:13" x14ac:dyDescent="0.2">
      <c r="A157" t="str">
        <f>Inputs!B14</f>
        <v>Base</v>
      </c>
      <c r="B157">
        <f>LoanPool!A157</f>
        <v>156</v>
      </c>
      <c r="C157">
        <f>LoanPool!B157</f>
        <v>55182292.98284857</v>
      </c>
      <c r="D157">
        <f>LoanPool!J157</f>
        <v>54468952.425541468</v>
      </c>
      <c r="E157">
        <f>LoanPool!L157</f>
        <v>241422.53179996248</v>
      </c>
      <c r="F157">
        <f>LoanPool!M157</f>
        <v>696179.25210991316</v>
      </c>
      <c r="G157">
        <f>LoanPool!H157</f>
        <v>17161.305197189478</v>
      </c>
      <c r="H157">
        <f>Waterfall!X157</f>
        <v>1773841.2705289214</v>
      </c>
      <c r="I157">
        <f>Waterfall!Y157</f>
        <v>45000000</v>
      </c>
      <c r="J157">
        <f>Waterfall!Z157</f>
        <v>7695111.155012548</v>
      </c>
      <c r="K157">
        <f>Waterfall!AA157</f>
        <v>0</v>
      </c>
      <c r="L157">
        <f>Waterfall!AB157</f>
        <v>0</v>
      </c>
      <c r="M157">
        <f>Waterfall!AC157</f>
        <v>0</v>
      </c>
    </row>
    <row r="158" spans="1:13" x14ac:dyDescent="0.2">
      <c r="A158" t="str">
        <f>Inputs!B14</f>
        <v>Base</v>
      </c>
      <c r="B158">
        <f>LoanPool!A158</f>
        <v>157</v>
      </c>
      <c r="C158">
        <f>LoanPool!B158</f>
        <v>54468952.425541468</v>
      </c>
      <c r="D158">
        <f>LoanPool!J158</f>
        <v>53762340.377928153</v>
      </c>
      <c r="E158">
        <f>LoanPool!L158</f>
        <v>238301.66686174393</v>
      </c>
      <c r="F158">
        <f>LoanPool!M158</f>
        <v>689673.37172080134</v>
      </c>
      <c r="G158">
        <f>LoanPool!H158</f>
        <v>16938.675892510277</v>
      </c>
      <c r="H158">
        <f>Waterfall!X158</f>
        <v>1084167.8988081201</v>
      </c>
      <c r="I158">
        <f>Waterfall!Y158</f>
        <v>45000000</v>
      </c>
      <c r="J158">
        <f>Waterfall!Z158</f>
        <v>7678172.4791200375</v>
      </c>
      <c r="K158">
        <f>Waterfall!AA158</f>
        <v>0</v>
      </c>
      <c r="L158">
        <f>Waterfall!AB158</f>
        <v>0</v>
      </c>
      <c r="M158">
        <f>Waterfall!AC158</f>
        <v>0</v>
      </c>
    </row>
    <row r="159" spans="1:13" x14ac:dyDescent="0.2">
      <c r="A159" t="str">
        <f>Inputs!B14</f>
        <v>Base</v>
      </c>
      <c r="B159">
        <f>LoanPool!A159</f>
        <v>158</v>
      </c>
      <c r="C159">
        <f>LoanPool!B159</f>
        <v>53762340.377928153</v>
      </c>
      <c r="D159">
        <f>LoanPool!J159</f>
        <v>53062398.768027075</v>
      </c>
      <c r="E159">
        <f>LoanPool!L159</f>
        <v>235210.23915343569</v>
      </c>
      <c r="F159">
        <f>LoanPool!M159</f>
        <v>683223.46168631245</v>
      </c>
      <c r="G159">
        <f>LoanPool!H159</f>
        <v>16718.148214763129</v>
      </c>
      <c r="H159">
        <f>Waterfall!X159</f>
        <v>400944.4371218076</v>
      </c>
      <c r="I159">
        <f>Waterfall!Y159</f>
        <v>45000000</v>
      </c>
      <c r="J159">
        <f>Waterfall!Z159</f>
        <v>7661454.3309052745</v>
      </c>
      <c r="K159">
        <f>Waterfall!AA159</f>
        <v>0</v>
      </c>
      <c r="L159">
        <f>Waterfall!AB159</f>
        <v>0</v>
      </c>
      <c r="M159">
        <f>Waterfall!AC159</f>
        <v>0</v>
      </c>
    </row>
    <row r="160" spans="1:13" x14ac:dyDescent="0.2">
      <c r="A160" t="str">
        <f>Inputs!B14</f>
        <v>Base</v>
      </c>
      <c r="B160">
        <f>LoanPool!A160</f>
        <v>159</v>
      </c>
      <c r="C160">
        <f>LoanPool!B160</f>
        <v>53062398.768027075</v>
      </c>
      <c r="D160">
        <f>LoanPool!J160</f>
        <v>52369070.009064943</v>
      </c>
      <c r="E160">
        <f>LoanPool!L160</f>
        <v>232147.99461011848</v>
      </c>
      <c r="F160">
        <f>LoanPool!M160</f>
        <v>676829.05494181009</v>
      </c>
      <c r="G160">
        <f>LoanPool!H160</f>
        <v>16499.70402032405</v>
      </c>
      <c r="H160">
        <f>Waterfall!X160</f>
        <v>0</v>
      </c>
      <c r="I160">
        <f>Waterfall!Y160</f>
        <v>44724115.382179998</v>
      </c>
      <c r="J160">
        <f>Waterfall!Z160</f>
        <v>7644954.6268849503</v>
      </c>
      <c r="K160">
        <f>Waterfall!AA160</f>
        <v>0</v>
      </c>
      <c r="L160">
        <f>Waterfall!AB160</f>
        <v>0</v>
      </c>
      <c r="M160">
        <f>Waterfall!AC160</f>
        <v>0</v>
      </c>
    </row>
    <row r="161" spans="1:13" x14ac:dyDescent="0.2">
      <c r="A161" t="str">
        <f>Inputs!B14</f>
        <v>Base</v>
      </c>
      <c r="B161">
        <f>LoanPool!A161</f>
        <v>160</v>
      </c>
      <c r="C161">
        <f>LoanPool!B161</f>
        <v>52369070.009064943</v>
      </c>
      <c r="D161">
        <f>LoanPool!J161</f>
        <v>51682296.995474502</v>
      </c>
      <c r="E161">
        <f>LoanPool!L161</f>
        <v>229114.68128965911</v>
      </c>
      <c r="F161">
        <f>LoanPool!M161</f>
        <v>670489.68827326235</v>
      </c>
      <c r="G161">
        <f>LoanPool!H161</f>
        <v>16283.325317180632</v>
      </c>
      <c r="H161">
        <f>Waterfall!X161</f>
        <v>0</v>
      </c>
      <c r="I161">
        <f>Waterfall!Y161</f>
        <v>44053625.693906732</v>
      </c>
      <c r="J161">
        <f>Waterfall!Z161</f>
        <v>7628671.3015677696</v>
      </c>
      <c r="K161">
        <f>Waterfall!AA161</f>
        <v>0</v>
      </c>
      <c r="L161">
        <f>Waterfall!AB161</f>
        <v>0</v>
      </c>
      <c r="M161">
        <f>Waterfall!AC161</f>
        <v>0</v>
      </c>
    </row>
    <row r="162" spans="1:13" x14ac:dyDescent="0.2">
      <c r="A162" t="str">
        <f>Inputs!B14</f>
        <v>Base</v>
      </c>
      <c r="B162">
        <f>LoanPool!A162</f>
        <v>161</v>
      </c>
      <c r="C162">
        <f>LoanPool!B162</f>
        <v>51682296.995474502</v>
      </c>
      <c r="D162">
        <f>LoanPool!J162</f>
        <v>51002023.098925166</v>
      </c>
      <c r="E162">
        <f>LoanPool!L162</f>
        <v>226110.04935520096</v>
      </c>
      <c r="F162">
        <f>LoanPool!M162</f>
        <v>664204.90228565282</v>
      </c>
      <c r="G162">
        <f>LoanPool!H162</f>
        <v>16068.994263681428</v>
      </c>
      <c r="H162">
        <f>Waterfall!X162</f>
        <v>0</v>
      </c>
      <c r="I162">
        <f>Waterfall!Y162</f>
        <v>43389420.791621082</v>
      </c>
      <c r="J162">
        <f>Waterfall!Z162</f>
        <v>7612602.307304088</v>
      </c>
      <c r="K162">
        <f>Waterfall!AA162</f>
        <v>0</v>
      </c>
      <c r="L162">
        <f>Waterfall!AB162</f>
        <v>0</v>
      </c>
      <c r="M162">
        <f>Waterfall!AC162</f>
        <v>0</v>
      </c>
    </row>
    <row r="163" spans="1:13" x14ac:dyDescent="0.2">
      <c r="A163" t="str">
        <f>Inputs!B14</f>
        <v>Base</v>
      </c>
      <c r="B163">
        <f>LoanPool!A163</f>
        <v>162</v>
      </c>
      <c r="C163">
        <f>LoanPool!B163</f>
        <v>51002023.098925166</v>
      </c>
      <c r="D163">
        <f>LoanPool!J163</f>
        <v>50328192.16438622</v>
      </c>
      <c r="E163">
        <f>LoanPool!L163</f>
        <v>223133.85105779761</v>
      </c>
      <c r="F163">
        <f>LoanPool!M163</f>
        <v>657974.24137165234</v>
      </c>
      <c r="G163">
        <f>LoanPool!H163</f>
        <v>15856.693167295593</v>
      </c>
      <c r="H163">
        <f>Waterfall!X163</f>
        <v>0</v>
      </c>
      <c r="I163">
        <f>Waterfall!Y163</f>
        <v>42731446.550249428</v>
      </c>
      <c r="J163">
        <f>Waterfall!Z163</f>
        <v>7596745.6141367927</v>
      </c>
      <c r="K163">
        <f>Waterfall!AA163</f>
        <v>0</v>
      </c>
      <c r="L163">
        <f>Waterfall!AB163</f>
        <v>0</v>
      </c>
      <c r="M163">
        <f>Waterfall!AC163</f>
        <v>0</v>
      </c>
    </row>
    <row r="164" spans="1:13" x14ac:dyDescent="0.2">
      <c r="A164" t="str">
        <f>Inputs!B14</f>
        <v>Base</v>
      </c>
      <c r="B164">
        <f>LoanPool!A164</f>
        <v>163</v>
      </c>
      <c r="C164">
        <f>LoanPool!B164</f>
        <v>50328192.16438622</v>
      </c>
      <c r="D164">
        <f>LoanPool!J164</f>
        <v>49660748.506222293</v>
      </c>
      <c r="E164">
        <f>LoanPool!L164</f>
        <v>220185.84071918976</v>
      </c>
      <c r="F164">
        <f>LoanPool!M164</f>
        <v>651797.25368054584</v>
      </c>
      <c r="G164">
        <f>LoanPool!H164</f>
        <v>15646.404483382727</v>
      </c>
      <c r="H164">
        <f>Waterfall!X164</f>
        <v>0</v>
      </c>
      <c r="I164">
        <f>Waterfall!Y164</f>
        <v>42079649.296568885</v>
      </c>
      <c r="J164">
        <f>Waterfall!Z164</f>
        <v>7581099.2096534101</v>
      </c>
      <c r="K164">
        <f>Waterfall!AA164</f>
        <v>0</v>
      </c>
      <c r="L164">
        <f>Waterfall!AB164</f>
        <v>0</v>
      </c>
      <c r="M164">
        <f>Waterfall!AC164</f>
        <v>0</v>
      </c>
    </row>
    <row r="165" spans="1:13" x14ac:dyDescent="0.2">
      <c r="A165" t="str">
        <f>Inputs!B14</f>
        <v>Base</v>
      </c>
      <c r="B165">
        <f>LoanPool!A165</f>
        <v>164</v>
      </c>
      <c r="C165">
        <f>LoanPool!B165</f>
        <v>49660748.506222293</v>
      </c>
      <c r="D165">
        <f>LoanPool!J165</f>
        <v>48999636.904320903</v>
      </c>
      <c r="E165">
        <f>LoanPool!L165</f>
        <v>217265.77471472253</v>
      </c>
      <c r="F165">
        <f>LoanPool!M165</f>
        <v>645673.49108741386</v>
      </c>
      <c r="G165">
        <f>LoanPool!H165</f>
        <v>15438.110813972766</v>
      </c>
      <c r="H165">
        <f>Waterfall!X165</f>
        <v>0</v>
      </c>
      <c r="I165">
        <f>Waterfall!Y165</f>
        <v>41433975.805481471</v>
      </c>
      <c r="J165">
        <f>Waterfall!Z165</f>
        <v>7565661.0988394376</v>
      </c>
      <c r="K165">
        <f>Waterfall!AA165</f>
        <v>0</v>
      </c>
      <c r="L165">
        <f>Waterfall!AB165</f>
        <v>0</v>
      </c>
      <c r="M165">
        <f>Waterfall!AC165</f>
        <v>0</v>
      </c>
    </row>
    <row r="166" spans="1:13" x14ac:dyDescent="0.2">
      <c r="A166" t="str">
        <f>Inputs!B14</f>
        <v>Base</v>
      </c>
      <c r="B166">
        <f>LoanPool!A166</f>
        <v>165</v>
      </c>
      <c r="C166">
        <f>LoanPool!B166</f>
        <v>48999636.904320903</v>
      </c>
      <c r="D166">
        <f>LoanPool!J166</f>
        <v>48344802.600251779</v>
      </c>
      <c r="E166">
        <f>LoanPool!L166</f>
        <v>214373.41145640396</v>
      </c>
      <c r="F166">
        <f>LoanPool!M166</f>
        <v>639602.50916256593</v>
      </c>
      <c r="G166">
        <f>LoanPool!H166</f>
        <v>15231.794906555942</v>
      </c>
      <c r="H166">
        <f>Waterfall!X166</f>
        <v>0</v>
      </c>
      <c r="I166">
        <f>Waterfall!Y166</f>
        <v>40794373.296318904</v>
      </c>
      <c r="J166">
        <f>Waterfall!Z166</f>
        <v>7550429.3039328819</v>
      </c>
      <c r="K166">
        <f>Waterfall!AA166</f>
        <v>0</v>
      </c>
      <c r="L166">
        <f>Waterfall!AB166</f>
        <v>0</v>
      </c>
      <c r="M166">
        <f>Waterfall!AC166</f>
        <v>0</v>
      </c>
    </row>
    <row r="167" spans="1:13" x14ac:dyDescent="0.2">
      <c r="A167" t="str">
        <f>Inputs!B14</f>
        <v>Base</v>
      </c>
      <c r="B167">
        <f>LoanPool!A167</f>
        <v>166</v>
      </c>
      <c r="C167">
        <f>LoanPool!B167</f>
        <v>48344802.600251779</v>
      </c>
      <c r="D167">
        <f>LoanPool!J167</f>
        <v>47696191.293457672</v>
      </c>
      <c r="E167">
        <f>LoanPool!L167</f>
        <v>211508.51137610152</v>
      </c>
      <c r="F167">
        <f>LoanPool!M167</f>
        <v>633583.86714122596</v>
      </c>
      <c r="G167">
        <f>LoanPool!H167</f>
        <v>15027.43965288262</v>
      </c>
      <c r="H167">
        <f>Waterfall!X167</f>
        <v>0</v>
      </c>
      <c r="I167">
        <f>Waterfall!Y167</f>
        <v>40160789.429177679</v>
      </c>
      <c r="J167">
        <f>Waterfall!Z167</f>
        <v>7535401.8642799994</v>
      </c>
      <c r="K167">
        <f>Waterfall!AA167</f>
        <v>0</v>
      </c>
      <c r="L167">
        <f>Waterfall!AB167</f>
        <v>0</v>
      </c>
      <c r="M167">
        <f>Waterfall!AC167</f>
        <v>0</v>
      </c>
    </row>
    <row r="168" spans="1:13" x14ac:dyDescent="0.2">
      <c r="A168" t="str">
        <f>Inputs!B14</f>
        <v>Base</v>
      </c>
      <c r="B168">
        <f>LoanPool!A168</f>
        <v>167</v>
      </c>
      <c r="C168">
        <f>LoanPool!B168</f>
        <v>47696191.293457672</v>
      </c>
      <c r="D168">
        <f>LoanPool!J168</f>
        <v>47053749.137476437</v>
      </c>
      <c r="E168">
        <f>LoanPool!L168</f>
        <v>208670.83690887733</v>
      </c>
      <c r="F168">
        <f>LoanPool!M168</f>
        <v>627617.12789346266</v>
      </c>
      <c r="G168">
        <f>LoanPool!H168</f>
        <v>14825.028087773015</v>
      </c>
      <c r="H168">
        <f>Waterfall!X168</f>
        <v>0</v>
      </c>
      <c r="I168">
        <f>Waterfall!Y168</f>
        <v>39533172.301284216</v>
      </c>
      <c r="J168">
        <f>Waterfall!Z168</f>
        <v>7520576.836192226</v>
      </c>
      <c r="K168">
        <f>Waterfall!AA168</f>
        <v>0</v>
      </c>
      <c r="L168">
        <f>Waterfall!AB168</f>
        <v>0</v>
      </c>
      <c r="M168">
        <f>Waterfall!AC168</f>
        <v>0</v>
      </c>
    </row>
    <row r="169" spans="1:13" x14ac:dyDescent="0.2">
      <c r="A169" t="str">
        <f>Inputs!B14</f>
        <v>Base</v>
      </c>
      <c r="B169">
        <f>LoanPool!A169</f>
        <v>168</v>
      </c>
      <c r="C169">
        <f>LoanPool!B169</f>
        <v>47053749.137476437</v>
      </c>
      <c r="D169">
        <f>LoanPool!J169</f>
        <v>46417422.736194134</v>
      </c>
      <c r="E169">
        <f>LoanPool!L169</f>
        <v>205860.15247645939</v>
      </c>
      <c r="F169">
        <f>LoanPool!M169</f>
        <v>621701.85789436975</v>
      </c>
      <c r="G169">
        <f>LoanPool!H169</f>
        <v>14624.543387936668</v>
      </c>
      <c r="H169">
        <f>Waterfall!X169</f>
        <v>0</v>
      </c>
      <c r="I169">
        <f>Waterfall!Y169</f>
        <v>38911470.443389848</v>
      </c>
      <c r="J169">
        <f>Waterfall!Z169</f>
        <v>7505952.2928042896</v>
      </c>
      <c r="K169">
        <f>Waterfall!AA169</f>
        <v>0</v>
      </c>
      <c r="L169">
        <f>Waterfall!AB169</f>
        <v>0</v>
      </c>
      <c r="M169">
        <f>Waterfall!AC169</f>
        <v>0</v>
      </c>
    </row>
    <row r="170" spans="1:13" x14ac:dyDescent="0.2">
      <c r="A170" t="str">
        <f>Inputs!B14</f>
        <v>Base</v>
      </c>
      <c r="B170">
        <f>LoanPool!A170</f>
        <v>169</v>
      </c>
      <c r="C170">
        <f>LoanPool!B170</f>
        <v>46417422.736194134</v>
      </c>
      <c r="D170">
        <f>LoanPool!J170</f>
        <v>45787159.140128843</v>
      </c>
      <c r="E170">
        <f>LoanPool!L170</f>
        <v>203076.22447084935</v>
      </c>
      <c r="F170">
        <f>LoanPool!M170</f>
        <v>615837.62719448726</v>
      </c>
      <c r="G170">
        <f>LoanPool!H170</f>
        <v>14425.968870801609</v>
      </c>
      <c r="H170">
        <f>Waterfall!X170</f>
        <v>0</v>
      </c>
      <c r="I170">
        <f>Waterfall!Y170</f>
        <v>38295632.816195361</v>
      </c>
      <c r="J170">
        <f>Waterfall!Z170</f>
        <v>7491526.3239334878</v>
      </c>
      <c r="K170">
        <f>Waterfall!AA170</f>
        <v>0</v>
      </c>
      <c r="L170">
        <f>Waterfall!AB170</f>
        <v>0</v>
      </c>
      <c r="M170">
        <f>Waterfall!AC170</f>
        <v>0</v>
      </c>
    </row>
    <row r="171" spans="1:13" x14ac:dyDescent="0.2">
      <c r="A171" t="str">
        <f>Inputs!B14</f>
        <v>Base</v>
      </c>
      <c r="B171">
        <f>LoanPool!A171</f>
        <v>170</v>
      </c>
      <c r="C171">
        <f>LoanPool!B171</f>
        <v>45787159.140128843</v>
      </c>
      <c r="D171">
        <f>LoanPool!J171</f>
        <v>45162905.842745021</v>
      </c>
      <c r="E171">
        <f>LoanPool!L171</f>
        <v>200318.82123806368</v>
      </c>
      <c r="F171">
        <f>LoanPool!M171</f>
        <v>610024.00939046661</v>
      </c>
      <c r="G171">
        <f>LoanPool!H171</f>
        <v>14229.287993353119</v>
      </c>
      <c r="H171">
        <f>Waterfall!X171</f>
        <v>0</v>
      </c>
      <c r="I171">
        <f>Waterfall!Y171</f>
        <v>37685608.806804895</v>
      </c>
      <c r="J171">
        <f>Waterfall!Z171</f>
        <v>7477297.0359401349</v>
      </c>
      <c r="K171">
        <f>Waterfall!AA171</f>
        <v>0</v>
      </c>
      <c r="L171">
        <f>Waterfall!AB171</f>
        <v>0</v>
      </c>
      <c r="M171">
        <f>Waterfall!AC171</f>
        <v>0</v>
      </c>
    </row>
    <row r="172" spans="1:13" x14ac:dyDescent="0.2">
      <c r="A172" t="str">
        <f>Inputs!B14</f>
        <v>Base</v>
      </c>
      <c r="B172">
        <f>LoanPool!A172</f>
        <v>171</v>
      </c>
      <c r="C172">
        <f>LoanPool!B172</f>
        <v>45162905.842745021</v>
      </c>
      <c r="D172">
        <f>LoanPool!J172</f>
        <v>44544610.776798062</v>
      </c>
      <c r="E172">
        <f>LoanPool!L172</f>
        <v>197587.71306200945</v>
      </c>
      <c r="F172">
        <f>LoanPool!M172</f>
        <v>604260.58159597567</v>
      </c>
      <c r="G172">
        <f>LoanPool!H172</f>
        <v>14034.484350982042</v>
      </c>
      <c r="H172">
        <f>Waterfall!X172</f>
        <v>0</v>
      </c>
      <c r="I172">
        <f>Waterfall!Y172</f>
        <v>37081348.225208923</v>
      </c>
      <c r="J172">
        <f>Waterfall!Z172</f>
        <v>7463262.5515891528</v>
      </c>
      <c r="K172">
        <f>Waterfall!AA172</f>
        <v>0</v>
      </c>
      <c r="L172">
        <f>Waterfall!AB172</f>
        <v>0</v>
      </c>
      <c r="M172">
        <f>Waterfall!AC172</f>
        <v>0</v>
      </c>
    </row>
    <row r="173" spans="1:13" x14ac:dyDescent="0.2">
      <c r="A173" t="str">
        <f>Inputs!B14</f>
        <v>Base</v>
      </c>
      <c r="B173">
        <f>LoanPool!A173</f>
        <v>172</v>
      </c>
      <c r="C173">
        <f>LoanPool!B173</f>
        <v>44544610.776798062</v>
      </c>
      <c r="D173">
        <f>LoanPool!J173</f>
        <v>43932222.31070888</v>
      </c>
      <c r="E173">
        <f>LoanPool!L173</f>
        <v>194882.67214849152</v>
      </c>
      <c r="F173">
        <f>LoanPool!M173</f>
        <v>598546.92441284179</v>
      </c>
      <c r="G173">
        <f>LoanPool!H173</f>
        <v>13841.541676342553</v>
      </c>
      <c r="H173">
        <f>Waterfall!X173</f>
        <v>0</v>
      </c>
      <c r="I173">
        <f>Waterfall!Y173</f>
        <v>36482801.300796084</v>
      </c>
      <c r="J173">
        <f>Waterfall!Z173</f>
        <v>7449421.0099128103</v>
      </c>
      <c r="K173">
        <f>Waterfall!AA173</f>
        <v>0</v>
      </c>
      <c r="L173">
        <f>Waterfall!AB173</f>
        <v>0</v>
      </c>
      <c r="M173">
        <f>Waterfall!AC173</f>
        <v>0</v>
      </c>
    </row>
    <row r="174" spans="1:13" x14ac:dyDescent="0.2">
      <c r="A174" t="str">
        <f>Inputs!B14</f>
        <v>Base</v>
      </c>
      <c r="B174">
        <f>LoanPool!A174</f>
        <v>173</v>
      </c>
      <c r="C174">
        <f>LoanPool!B174</f>
        <v>43932222.31070888</v>
      </c>
      <c r="D174">
        <f>LoanPool!J174</f>
        <v>43325689.244968228</v>
      </c>
      <c r="E174">
        <f>LoanPool!L174</f>
        <v>192203.47260935136</v>
      </c>
      <c r="F174">
        <f>LoanPool!M174</f>
        <v>592882.62190243148</v>
      </c>
      <c r="G174">
        <f>LoanPool!H174</f>
        <v>13650.443838219242</v>
      </c>
      <c r="H174">
        <f>Waterfall!X174</f>
        <v>0</v>
      </c>
      <c r="I174">
        <f>Waterfall!Y174</f>
        <v>35889918.678893656</v>
      </c>
      <c r="J174">
        <f>Waterfall!Z174</f>
        <v>7435770.5660745911</v>
      </c>
      <c r="K174">
        <f>Waterfall!AA174</f>
        <v>0</v>
      </c>
      <c r="L174">
        <f>Waterfall!AB174</f>
        <v>0</v>
      </c>
      <c r="M174">
        <f>Waterfall!AC174</f>
        <v>0</v>
      </c>
    </row>
    <row r="175" spans="1:13" x14ac:dyDescent="0.2">
      <c r="A175" t="str">
        <f>Inputs!B14</f>
        <v>Base</v>
      </c>
      <c r="B175">
        <f>LoanPool!A175</f>
        <v>174</v>
      </c>
      <c r="C175">
        <f>LoanPool!B175</f>
        <v>43325689.244968228</v>
      </c>
      <c r="D175">
        <f>LoanPool!J175</f>
        <v>42724960.808570564</v>
      </c>
      <c r="E175">
        <f>LoanPool!L175</f>
        <v>189549.89044673601</v>
      </c>
      <c r="F175">
        <f>LoanPool!M175</f>
        <v>587267.26155726286</v>
      </c>
      <c r="G175">
        <f>LoanPool!H175</f>
        <v>13461.174840403588</v>
      </c>
      <c r="H175">
        <f>Waterfall!X175</f>
        <v>0</v>
      </c>
      <c r="I175">
        <f>Waterfall!Y175</f>
        <v>35302651.417336389</v>
      </c>
      <c r="J175">
        <f>Waterfall!Z175</f>
        <v>7422309.3912341874</v>
      </c>
      <c r="K175">
        <f>Waterfall!AA175</f>
        <v>0</v>
      </c>
      <c r="L175">
        <f>Waterfall!AB175</f>
        <v>0</v>
      </c>
      <c r="M175">
        <f>Waterfall!AC175</f>
        <v>0</v>
      </c>
    </row>
    <row r="176" spans="1:13" x14ac:dyDescent="0.2">
      <c r="A176" t="str">
        <f>Inputs!B14</f>
        <v>Base</v>
      </c>
      <c r="B176">
        <f>LoanPool!A176</f>
        <v>175</v>
      </c>
      <c r="C176">
        <f>LoanPool!B176</f>
        <v>42724960.808570564</v>
      </c>
      <c r="D176">
        <f>LoanPool!J176</f>
        <v>42129986.655477129</v>
      </c>
      <c r="E176">
        <f>LoanPool!L176</f>
        <v>186921.70353749624</v>
      </c>
      <c r="F176">
        <f>LoanPool!M176</f>
        <v>581700.43427285366</v>
      </c>
      <c r="G176">
        <f>LoanPool!H176</f>
        <v>13273.718820579574</v>
      </c>
      <c r="H176">
        <f>Waterfall!X176</f>
        <v>0</v>
      </c>
      <c r="I176">
        <f>Waterfall!Y176</f>
        <v>34720950.983063534</v>
      </c>
      <c r="J176">
        <f>Waterfall!Z176</f>
        <v>7409035.6724136081</v>
      </c>
      <c r="K176">
        <f>Waterfall!AA176</f>
        <v>0</v>
      </c>
      <c r="L176">
        <f>Waterfall!AB176</f>
        <v>0</v>
      </c>
      <c r="M176">
        <f>Waterfall!AC176</f>
        <v>0</v>
      </c>
    </row>
    <row r="177" spans="1:13" x14ac:dyDescent="0.2">
      <c r="A177" t="str">
        <f>Inputs!B14</f>
        <v>Base</v>
      </c>
      <c r="B177">
        <f>LoanPool!A177</f>
        <v>176</v>
      </c>
      <c r="C177">
        <f>LoanPool!B177</f>
        <v>42129986.655477129</v>
      </c>
      <c r="D177">
        <f>LoanPool!J177</f>
        <v>41540716.861108117</v>
      </c>
      <c r="E177">
        <f>LoanPool!L177</f>
        <v>184318.69161771247</v>
      </c>
      <c r="F177">
        <f>LoanPool!M177</f>
        <v>576181.73431979527</v>
      </c>
      <c r="G177">
        <f>LoanPool!H177</f>
        <v>13088.06004921848</v>
      </c>
      <c r="H177">
        <f>Waterfall!X177</f>
        <v>0</v>
      </c>
      <c r="I177">
        <f>Waterfall!Y177</f>
        <v>34144769.248743735</v>
      </c>
      <c r="J177">
        <f>Waterfall!Z177</f>
        <v>7395947.6123643899</v>
      </c>
      <c r="K177">
        <f>Waterfall!AA177</f>
        <v>0</v>
      </c>
      <c r="L177">
        <f>Waterfall!AB177</f>
        <v>0</v>
      </c>
      <c r="M177">
        <f>Waterfall!AC177</f>
        <v>0</v>
      </c>
    </row>
    <row r="178" spans="1:13" x14ac:dyDescent="0.2">
      <c r="A178" t="str">
        <f>Inputs!B14</f>
        <v>Base</v>
      </c>
      <c r="B178">
        <f>LoanPool!A178</f>
        <v>177</v>
      </c>
      <c r="C178">
        <f>LoanPool!B178</f>
        <v>41540716.861108117</v>
      </c>
      <c r="D178">
        <f>LoanPool!J178</f>
        <v>40957101.918863572</v>
      </c>
      <c r="E178">
        <f>LoanPool!L178</f>
        <v>181740.63626734802</v>
      </c>
      <c r="F178">
        <f>LoanPool!M178</f>
        <v>570710.75931606069</v>
      </c>
      <c r="G178">
        <f>LoanPool!H178</f>
        <v>12904.182928482775</v>
      </c>
      <c r="H178">
        <f>Waterfall!X178</f>
        <v>0</v>
      </c>
      <c r="I178">
        <f>Waterfall!Y178</f>
        <v>33574058.489427671</v>
      </c>
      <c r="J178">
        <f>Waterfall!Z178</f>
        <v>7383043.4294359069</v>
      </c>
      <c r="K178">
        <f>Waterfall!AA178</f>
        <v>0</v>
      </c>
      <c r="L178">
        <f>Waterfall!AB178</f>
        <v>0</v>
      </c>
      <c r="M178">
        <f>Waterfall!AC178</f>
        <v>0</v>
      </c>
    </row>
    <row r="179" spans="1:13" x14ac:dyDescent="0.2">
      <c r="A179" t="str">
        <f>Inputs!B14</f>
        <v>Base</v>
      </c>
      <c r="B179">
        <f>LoanPool!A179</f>
        <v>178</v>
      </c>
      <c r="C179">
        <f>LoanPool!B179</f>
        <v>40957101.918863572</v>
      </c>
      <c r="D179">
        <f>LoanPool!J179</f>
        <v>40379092.736672901</v>
      </c>
      <c r="E179">
        <f>LoanPool!L179</f>
        <v>179187.3208950281</v>
      </c>
      <c r="F179">
        <f>LoanPool!M179</f>
        <v>565287.11019953468</v>
      </c>
      <c r="G179">
        <f>LoanPool!H179</f>
        <v>12722.071991138941</v>
      </c>
      <c r="H179">
        <f>Waterfall!X179</f>
        <v>0</v>
      </c>
      <c r="I179">
        <f>Waterfall!Y179</f>
        <v>33008771.379228137</v>
      </c>
      <c r="J179">
        <f>Waterfall!Z179</f>
        <v>7370321.3574447678</v>
      </c>
      <c r="K179">
        <f>Waterfall!AA179</f>
        <v>0</v>
      </c>
      <c r="L179">
        <f>Waterfall!AB179</f>
        <v>0</v>
      </c>
      <c r="M179">
        <f>Waterfall!AC179</f>
        <v>0</v>
      </c>
    </row>
    <row r="180" spans="1:13" x14ac:dyDescent="0.2">
      <c r="A180" t="str">
        <f>Inputs!B14</f>
        <v>Base</v>
      </c>
      <c r="B180">
        <f>LoanPool!A180</f>
        <v>179</v>
      </c>
      <c r="C180">
        <f>LoanPool!B180</f>
        <v>40379092.736672901</v>
      </c>
      <c r="D180">
        <f>LoanPool!J180</f>
        <v>39806640.633572653</v>
      </c>
      <c r="E180">
        <f>LoanPool!L180</f>
        <v>176658.53072294395</v>
      </c>
      <c r="F180">
        <f>LoanPool!M180</f>
        <v>559910.39120077039</v>
      </c>
      <c r="G180">
        <f>LoanPool!H180</f>
        <v>12541.71189947928</v>
      </c>
      <c r="H180">
        <f>Waterfall!X180</f>
        <v>0</v>
      </c>
      <c r="I180">
        <f>Waterfall!Y180</f>
        <v>32448860.988027368</v>
      </c>
      <c r="J180">
        <f>Waterfall!Z180</f>
        <v>7357779.6455452889</v>
      </c>
      <c r="K180">
        <f>Waterfall!AA180</f>
        <v>0</v>
      </c>
      <c r="L180">
        <f>Waterfall!AB180</f>
        <v>0</v>
      </c>
      <c r="M180">
        <f>Waterfall!AC180</f>
        <v>0</v>
      </c>
    </row>
    <row r="181" spans="1:13" x14ac:dyDescent="0.2">
      <c r="A181" t="str">
        <f>Inputs!B14</f>
        <v>Base</v>
      </c>
      <c r="B181">
        <f>LoanPool!A181</f>
        <v>180</v>
      </c>
      <c r="C181">
        <f>LoanPool!B181</f>
        <v>39806640.633572653</v>
      </c>
      <c r="D181">
        <f>LoanPool!J181</f>
        <v>39239697.336312428</v>
      </c>
      <c r="E181">
        <f>LoanPool!L181</f>
        <v>174154.05277188038</v>
      </c>
      <c r="F181">
        <f>LoanPool!M181</f>
        <v>554580.20981597074</v>
      </c>
      <c r="G181">
        <f>LoanPool!H181</f>
        <v>12363.087444252542</v>
      </c>
      <c r="H181">
        <f>Waterfall!X181</f>
        <v>0</v>
      </c>
      <c r="I181">
        <f>Waterfall!Y181</f>
        <v>31894280.778211396</v>
      </c>
      <c r="J181">
        <f>Waterfall!Z181</f>
        <v>7345416.5581010366</v>
      </c>
      <c r="K181">
        <f>Waterfall!AA181</f>
        <v>0</v>
      </c>
      <c r="L181">
        <f>Waterfall!AB181</f>
        <v>0</v>
      </c>
      <c r="M181">
        <f>Waterfall!AC181</f>
        <v>0</v>
      </c>
    </row>
    <row r="182" spans="1:13" x14ac:dyDescent="0.2">
      <c r="A182" t="str">
        <f>Inputs!B14</f>
        <v>Base</v>
      </c>
      <c r="B182">
        <f>LoanPool!A182</f>
        <v>181</v>
      </c>
      <c r="C182">
        <f>LoanPool!B182</f>
        <v>39239697.336312428</v>
      </c>
      <c r="D182">
        <f>LoanPool!J182</f>
        <v>38678214.975988634</v>
      </c>
      <c r="E182">
        <f>LoanPool!L182</f>
        <v>171673.67584636691</v>
      </c>
      <c r="F182">
        <f>LoanPool!M182</f>
        <v>549296.17678018881</v>
      </c>
      <c r="G182">
        <f>LoanPool!H182</f>
        <v>12186.183543603323</v>
      </c>
      <c r="H182">
        <f>Waterfall!X182</f>
        <v>0</v>
      </c>
      <c r="I182">
        <f>Waterfall!Y182</f>
        <v>31344984.601431206</v>
      </c>
      <c r="J182">
        <f>Waterfall!Z182</f>
        <v>7333230.3745574336</v>
      </c>
      <c r="K182">
        <f>Waterfall!AA182</f>
        <v>0</v>
      </c>
      <c r="L182">
        <f>Waterfall!AB182</f>
        <v>0</v>
      </c>
      <c r="M182">
        <f>Waterfall!AC182</f>
        <v>0</v>
      </c>
    </row>
    <row r="183" spans="1:13" x14ac:dyDescent="0.2">
      <c r="A183" t="str">
        <f>Inputs!B14</f>
        <v>Base</v>
      </c>
      <c r="B183">
        <f>LoanPool!A183</f>
        <v>182</v>
      </c>
      <c r="C183">
        <f>LoanPool!B183</f>
        <v>38678214.975988634</v>
      </c>
      <c r="D183">
        <f>LoanPool!J183</f>
        <v>38122146.084705867</v>
      </c>
      <c r="E183">
        <f>LoanPool!L183</f>
        <v>169217.19051995029</v>
      </c>
      <c r="F183">
        <f>LoanPool!M183</f>
        <v>544057.9060407473</v>
      </c>
      <c r="G183">
        <f>LoanPool!H183</f>
        <v>12010.985242020208</v>
      </c>
      <c r="H183">
        <f>Waterfall!X183</f>
        <v>0</v>
      </c>
      <c r="I183">
        <f>Waterfall!Y183</f>
        <v>30800926.695390459</v>
      </c>
      <c r="J183">
        <f>Waterfall!Z183</f>
        <v>7321219.3893154133</v>
      </c>
      <c r="K183">
        <f>Waterfall!AA183</f>
        <v>0</v>
      </c>
      <c r="L183">
        <f>Waterfall!AB183</f>
        <v>0</v>
      </c>
      <c r="M183">
        <f>Waterfall!AC183</f>
        <v>0</v>
      </c>
    </row>
    <row r="184" spans="1:13" x14ac:dyDescent="0.2">
      <c r="A184" t="str">
        <f>Inputs!B14</f>
        <v>Base</v>
      </c>
      <c r="B184">
        <f>LoanPool!A184</f>
        <v>183</v>
      </c>
      <c r="C184">
        <f>LoanPool!B184</f>
        <v>38122146.084705867</v>
      </c>
      <c r="D184">
        <f>LoanPool!J184</f>
        <v>37571443.592265695</v>
      </c>
      <c r="E184">
        <f>LoanPool!L184</f>
        <v>166784.3891205882</v>
      </c>
      <c r="F184">
        <f>LoanPool!M184</f>
        <v>538865.01473087864</v>
      </c>
      <c r="G184">
        <f>LoanPool!H184</f>
        <v>11837.477709292498</v>
      </c>
      <c r="H184">
        <f>Waterfall!X184</f>
        <v>0</v>
      </c>
      <c r="I184">
        <f>Waterfall!Y184</f>
        <v>30262061.680659581</v>
      </c>
      <c r="J184">
        <f>Waterfall!Z184</f>
        <v>7309381.9116061209</v>
      </c>
      <c r="K184">
        <f>Waterfall!AA184</f>
        <v>0</v>
      </c>
      <c r="L184">
        <f>Waterfall!AB184</f>
        <v>0</v>
      </c>
      <c r="M184">
        <f>Waterfall!AC184</f>
        <v>0</v>
      </c>
    </row>
    <row r="185" spans="1:13" x14ac:dyDescent="0.2">
      <c r="A185" t="str">
        <f>Inputs!B14</f>
        <v>Base</v>
      </c>
      <c r="B185">
        <f>LoanPool!A185</f>
        <v>184</v>
      </c>
      <c r="C185">
        <f>LoanPool!B185</f>
        <v>37571443.592265695</v>
      </c>
      <c r="D185">
        <f>LoanPool!J185</f>
        <v>37026060.822882645</v>
      </c>
      <c r="E185">
        <f>LoanPool!L185</f>
        <v>164375.06571616241</v>
      </c>
      <c r="F185">
        <f>LoanPool!M185</f>
        <v>533717.12314357772</v>
      </c>
      <c r="G185">
        <f>LoanPool!H185</f>
        <v>11665.646239475538</v>
      </c>
      <c r="H185">
        <f>Waterfall!X185</f>
        <v>0</v>
      </c>
      <c r="I185">
        <f>Waterfall!Y185</f>
        <v>29728344.557516005</v>
      </c>
      <c r="J185">
        <f>Waterfall!Z185</f>
        <v>7297716.2653666455</v>
      </c>
      <c r="K185">
        <f>Waterfall!AA185</f>
        <v>0</v>
      </c>
      <c r="L185">
        <f>Waterfall!AB185</f>
        <v>0</v>
      </c>
      <c r="M185">
        <f>Waterfall!AC185</f>
        <v>0</v>
      </c>
    </row>
    <row r="186" spans="1:13" x14ac:dyDescent="0.2">
      <c r="A186" t="str">
        <f>Inputs!B14</f>
        <v>Base</v>
      </c>
      <c r="B186">
        <f>LoanPool!A186</f>
        <v>185</v>
      </c>
      <c r="C186">
        <f>LoanPool!B186</f>
        <v>37026060.822882645</v>
      </c>
      <c r="D186">
        <f>LoanPool!J186</f>
        <v>36485951.49192711</v>
      </c>
      <c r="E186">
        <f>LoanPool!L186</f>
        <v>161989.01610011159</v>
      </c>
      <c r="F186">
        <f>LoanPool!M186</f>
        <v>528613.85470566968</v>
      </c>
      <c r="G186">
        <f>LoanPool!H186</f>
        <v>11495.476249864512</v>
      </c>
      <c r="H186">
        <f>Waterfall!X186</f>
        <v>0</v>
      </c>
      <c r="I186">
        <f>Waterfall!Y186</f>
        <v>29199730.702810336</v>
      </c>
      <c r="J186">
        <f>Waterfall!Z186</f>
        <v>7286220.7891167812</v>
      </c>
      <c r="K186">
        <f>Waterfall!AA186</f>
        <v>0</v>
      </c>
      <c r="L186">
        <f>Waterfall!AB186</f>
        <v>0</v>
      </c>
      <c r="M186">
        <f>Waterfall!AC186</f>
        <v>0</v>
      </c>
    </row>
    <row r="187" spans="1:13" x14ac:dyDescent="0.2">
      <c r="A187" t="str">
        <f>Inputs!B14</f>
        <v>Base</v>
      </c>
      <c r="B187">
        <f>LoanPool!A187</f>
        <v>186</v>
      </c>
      <c r="C187">
        <f>LoanPool!B187</f>
        <v>36485951.49192711</v>
      </c>
      <c r="D187">
        <f>LoanPool!J187</f>
        <v>35951069.702695042</v>
      </c>
      <c r="E187">
        <f>LoanPool!L187</f>
        <v>159626.0377771811</v>
      </c>
      <c r="F187">
        <f>LoanPool!M187</f>
        <v>523554.83595209225</v>
      </c>
      <c r="G187">
        <f>LoanPool!H187</f>
        <v>11326.953279976698</v>
      </c>
      <c r="H187">
        <f>Waterfall!X187</f>
        <v>0</v>
      </c>
      <c r="I187">
        <f>Waterfall!Y187</f>
        <v>28676175.866858244</v>
      </c>
      <c r="J187">
        <f>Waterfall!Z187</f>
        <v>7274893.8358368045</v>
      </c>
      <c r="K187">
        <f>Waterfall!AA187</f>
        <v>0</v>
      </c>
      <c r="L187">
        <f>Waterfall!AB187</f>
        <v>0</v>
      </c>
      <c r="M187">
        <f>Waterfall!AC187</f>
        <v>0</v>
      </c>
    </row>
    <row r="188" spans="1:13" x14ac:dyDescent="0.2">
      <c r="A188" t="str">
        <f>Inputs!B14</f>
        <v>Base</v>
      </c>
      <c r="B188">
        <f>LoanPool!A188</f>
        <v>187</v>
      </c>
      <c r="C188">
        <f>LoanPool!B188</f>
        <v>35951069.702695042</v>
      </c>
      <c r="D188">
        <f>LoanPool!J188</f>
        <v>35421369.94320412</v>
      </c>
      <c r="E188">
        <f>LoanPool!L188</f>
        <v>157285.92994929082</v>
      </c>
      <c r="F188">
        <f>LoanPool!M188</f>
        <v>518539.69650038378</v>
      </c>
      <c r="G188">
        <f>LoanPool!H188</f>
        <v>11160.062990542034</v>
      </c>
      <c r="H188">
        <f>Waterfall!X188</f>
        <v>0</v>
      </c>
      <c r="I188">
        <f>Waterfall!Y188</f>
        <v>28157636.170357861</v>
      </c>
      <c r="J188">
        <f>Waterfall!Z188</f>
        <v>7263733.7728462629</v>
      </c>
      <c r="K188">
        <f>Waterfall!AA188</f>
        <v>0</v>
      </c>
      <c r="L188">
        <f>Waterfall!AB188</f>
        <v>0</v>
      </c>
      <c r="M188">
        <f>Waterfall!AC188</f>
        <v>0</v>
      </c>
    </row>
    <row r="189" spans="1:13" x14ac:dyDescent="0.2">
      <c r="A189" t="str">
        <f>Inputs!B14</f>
        <v>Base</v>
      </c>
      <c r="B189">
        <f>LoanPool!A189</f>
        <v>188</v>
      </c>
      <c r="C189">
        <f>LoanPool!B189</f>
        <v>35421369.94320412</v>
      </c>
      <c r="D189">
        <f>LoanPool!J189</f>
        <v>34896807.083016232</v>
      </c>
      <c r="E189">
        <f>LoanPool!L189</f>
        <v>154968.49350151804</v>
      </c>
      <c r="F189">
        <f>LoanPool!M189</f>
        <v>513568.06902538647</v>
      </c>
      <c r="G189">
        <f>LoanPool!H189</f>
        <v>10994.791162501997</v>
      </c>
      <c r="H189">
        <f>Waterfall!X189</f>
        <v>0</v>
      </c>
      <c r="I189">
        <f>Waterfall!Y189</f>
        <v>27644068.101332474</v>
      </c>
      <c r="J189">
        <f>Waterfall!Z189</f>
        <v>7252738.9816837609</v>
      </c>
      <c r="K189">
        <f>Waterfall!AA189</f>
        <v>0</v>
      </c>
      <c r="L189">
        <f>Waterfall!AB189</f>
        <v>0</v>
      </c>
      <c r="M189">
        <f>Waterfall!AC189</f>
        <v>0</v>
      </c>
    </row>
    <row r="190" spans="1:13" x14ac:dyDescent="0.2">
      <c r="A190" t="str">
        <f>Inputs!B14</f>
        <v>Base</v>
      </c>
      <c r="B190">
        <f>LoanPool!A190</f>
        <v>189</v>
      </c>
      <c r="C190">
        <f>LoanPool!B190</f>
        <v>34896807.083016232</v>
      </c>
      <c r="D190">
        <f>LoanPool!J190</f>
        <v>34377336.370086066</v>
      </c>
      <c r="E190">
        <f>LoanPool!L190</f>
        <v>152673.53098819603</v>
      </c>
      <c r="F190">
        <f>LoanPool!M190</f>
        <v>508639.58923415048</v>
      </c>
      <c r="G190">
        <f>LoanPool!H190</f>
        <v>10831.123696016708</v>
      </c>
      <c r="H190">
        <f>Waterfall!X190</f>
        <v>0</v>
      </c>
      <c r="I190">
        <f>Waterfall!Y190</f>
        <v>27135428.512098324</v>
      </c>
      <c r="J190">
        <f>Waterfall!Z190</f>
        <v>7241907.8579877438</v>
      </c>
      <c r="K190">
        <f>Waterfall!AA190</f>
        <v>0</v>
      </c>
      <c r="L190">
        <f>Waterfall!AB190</f>
        <v>0</v>
      </c>
      <c r="M190">
        <f>Waterfall!AC190</f>
        <v>0</v>
      </c>
    </row>
    <row r="191" spans="1:13" x14ac:dyDescent="0.2">
      <c r="A191" t="str">
        <f>Inputs!B14</f>
        <v>Base</v>
      </c>
      <c r="B191">
        <f>LoanPool!A191</f>
        <v>190</v>
      </c>
      <c r="C191">
        <f>LoanPool!B191</f>
        <v>34377336.370086066</v>
      </c>
      <c r="D191">
        <f>LoanPool!J191</f>
        <v>33862913.427635536</v>
      </c>
      <c r="E191">
        <f>LoanPool!L191</f>
        <v>150400.84661912653</v>
      </c>
      <c r="F191">
        <f>LoanPool!M191</f>
        <v>503753.89584104839</v>
      </c>
      <c r="G191">
        <f>LoanPool!H191</f>
        <v>10669.046609480156</v>
      </c>
      <c r="H191">
        <f>Waterfall!X191</f>
        <v>0</v>
      </c>
      <c r="I191">
        <f>Waterfall!Y191</f>
        <v>26631674.616257276</v>
      </c>
      <c r="J191">
        <f>Waterfall!Z191</f>
        <v>7231238.8113782639</v>
      </c>
      <c r="K191">
        <f>Waterfall!AA191</f>
        <v>0</v>
      </c>
      <c r="L191">
        <f>Waterfall!AB191</f>
        <v>0</v>
      </c>
      <c r="M191">
        <f>Waterfall!AC191</f>
        <v>0</v>
      </c>
    </row>
    <row r="192" spans="1:13" x14ac:dyDescent="0.2">
      <c r="A192" t="str">
        <f>Inputs!B14</f>
        <v>Base</v>
      </c>
      <c r="B192">
        <f>LoanPool!A192</f>
        <v>191</v>
      </c>
      <c r="C192">
        <f>LoanPool!B192</f>
        <v>33862913.427635536</v>
      </c>
      <c r="D192">
        <f>LoanPool!J192</f>
        <v>33353494.251053903</v>
      </c>
      <c r="E192">
        <f>LoanPool!L192</f>
        <v>148150.24624590547</v>
      </c>
      <c r="F192">
        <f>LoanPool!M192</f>
        <v>498910.63054309011</v>
      </c>
      <c r="G192">
        <f>LoanPool!H192</f>
        <v>10508.546038543549</v>
      </c>
      <c r="H192">
        <f>Waterfall!X192</f>
        <v>0</v>
      </c>
      <c r="I192">
        <f>Waterfall!Y192</f>
        <v>26132763.985714186</v>
      </c>
      <c r="J192">
        <f>Waterfall!Z192</f>
        <v>7220730.2653397201</v>
      </c>
      <c r="K192">
        <f>Waterfall!AA192</f>
        <v>0</v>
      </c>
      <c r="L192">
        <f>Waterfall!AB192</f>
        <v>0</v>
      </c>
      <c r="M192">
        <f>Waterfall!AC192</f>
        <v>0</v>
      </c>
    </row>
    <row r="193" spans="1:13" x14ac:dyDescent="0.2">
      <c r="A193" t="str">
        <f>Inputs!B14</f>
        <v>Base</v>
      </c>
      <c r="B193">
        <f>LoanPool!A193</f>
        <v>192</v>
      </c>
      <c r="C193">
        <f>LoanPool!B193</f>
        <v>33353494.251053903</v>
      </c>
      <c r="D193">
        <f>LoanPool!J193</f>
        <v>32849035.204823315</v>
      </c>
      <c r="E193">
        <f>LoanPool!L193</f>
        <v>145921.53734836084</v>
      </c>
      <c r="F193">
        <f>LoanPool!M193</f>
        <v>494109.43799544277</v>
      </c>
      <c r="G193">
        <f>LoanPool!H193</f>
        <v>10349.608235146639</v>
      </c>
      <c r="H193">
        <f>Waterfall!X193</f>
        <v>0</v>
      </c>
      <c r="I193">
        <f>Waterfall!Y193</f>
        <v>25638654.547718745</v>
      </c>
      <c r="J193">
        <f>Waterfall!Z193</f>
        <v>7210380.6571045732</v>
      </c>
      <c r="K193">
        <f>Waterfall!AA193</f>
        <v>0</v>
      </c>
      <c r="L193">
        <f>Waterfall!AB193</f>
        <v>0</v>
      </c>
      <c r="M193">
        <f>Waterfall!AC193</f>
        <v>0</v>
      </c>
    </row>
    <row r="194" spans="1:13" x14ac:dyDescent="0.2">
      <c r="A194" t="str">
        <f>Inputs!B14</f>
        <v>Base</v>
      </c>
      <c r="B194">
        <f>LoanPool!A194</f>
        <v>193</v>
      </c>
      <c r="C194">
        <f>LoanPool!B194</f>
        <v>32849035.204823315</v>
      </c>
      <c r="D194">
        <f>LoanPool!J194</f>
        <v>32349493.019469611</v>
      </c>
      <c r="E194">
        <f>LoanPool!L194</f>
        <v>143714.529021102</v>
      </c>
      <c r="F194">
        <f>LoanPool!M194</f>
        <v>489349.9657871481</v>
      </c>
      <c r="G194">
        <f>LoanPool!H194</f>
        <v>10192.219566557047</v>
      </c>
      <c r="H194">
        <f>Waterfall!X194</f>
        <v>0</v>
      </c>
      <c r="I194">
        <f>Waterfall!Y194</f>
        <v>25149304.581931598</v>
      </c>
      <c r="J194">
        <f>Waterfall!Z194</f>
        <v>7200188.4375380166</v>
      </c>
      <c r="K194">
        <f>Waterfall!AA194</f>
        <v>0</v>
      </c>
      <c r="L194">
        <f>Waterfall!AB194</f>
        <v>0</v>
      </c>
      <c r="M194">
        <f>Waterfall!AC194</f>
        <v>0</v>
      </c>
    </row>
    <row r="195" spans="1:13" x14ac:dyDescent="0.2">
      <c r="A195" t="str">
        <f>Inputs!B14</f>
        <v>Base</v>
      </c>
      <c r="B195">
        <f>LoanPool!A195</f>
        <v>194</v>
      </c>
      <c r="C195">
        <f>LoanPool!B195</f>
        <v>32349493.019469611</v>
      </c>
      <c r="D195">
        <f>LoanPool!J195</f>
        <v>31854824.788538154</v>
      </c>
      <c r="E195">
        <f>LoanPool!L195</f>
        <v>141529.03196017956</v>
      </c>
      <c r="F195">
        <f>LoanPool!M195</f>
        <v>484631.86441704113</v>
      </c>
      <c r="G195">
        <f>LoanPool!H195</f>
        <v>10036.366514417425</v>
      </c>
      <c r="H195">
        <f>Waterfall!X195</f>
        <v>0</v>
      </c>
      <c r="I195">
        <f>Waterfall!Y195</f>
        <v>24664672.717514556</v>
      </c>
      <c r="J195">
        <f>Waterfall!Z195</f>
        <v>7190152.0710235992</v>
      </c>
      <c r="K195">
        <f>Waterfall!AA195</f>
        <v>0</v>
      </c>
      <c r="L195">
        <f>Waterfall!AB195</f>
        <v>0</v>
      </c>
      <c r="M195">
        <f>Waterfall!AC195</f>
        <v>0</v>
      </c>
    </row>
    <row r="196" spans="1:13" x14ac:dyDescent="0.2">
      <c r="A196" t="str">
        <f>Inputs!B14</f>
        <v>Base</v>
      </c>
      <c r="B196">
        <f>LoanPool!A196</f>
        <v>195</v>
      </c>
      <c r="C196">
        <f>LoanPool!B196</f>
        <v>31854824.788538154</v>
      </c>
      <c r="D196">
        <f>LoanPool!J196</f>
        <v>31364987.965594489</v>
      </c>
      <c r="E196">
        <f>LoanPool!L196</f>
        <v>139364.85844985445</v>
      </c>
      <c r="F196">
        <f>LoanPool!M196</f>
        <v>479954.7872698647</v>
      </c>
      <c r="G196">
        <f>LoanPool!H196</f>
        <v>9882.0356738004848</v>
      </c>
      <c r="H196">
        <f>Waterfall!X196</f>
        <v>0</v>
      </c>
      <c r="I196">
        <f>Waterfall!Y196</f>
        <v>24184717.930244692</v>
      </c>
      <c r="J196">
        <f>Waterfall!Z196</f>
        <v>7180270.0353497984</v>
      </c>
      <c r="K196">
        <f>Waterfall!AA196</f>
        <v>0</v>
      </c>
      <c r="L196">
        <f>Waterfall!AB196</f>
        <v>0</v>
      </c>
      <c r="M196">
        <f>Waterfall!AC196</f>
        <v>0</v>
      </c>
    </row>
    <row r="197" spans="1:13" x14ac:dyDescent="0.2">
      <c r="A197" t="str">
        <f>Inputs!B14</f>
        <v>Base</v>
      </c>
      <c r="B197">
        <f>LoanPool!A197</f>
        <v>196</v>
      </c>
      <c r="C197">
        <f>LoanPool!B197</f>
        <v>31364987.965594489</v>
      </c>
      <c r="D197">
        <f>LoanPool!J197</f>
        <v>30879940.361249637</v>
      </c>
      <c r="E197">
        <f>LoanPool!L197</f>
        <v>137221.8223494759</v>
      </c>
      <c r="F197">
        <f>LoanPool!M197</f>
        <v>475318.39059257996</v>
      </c>
      <c r="G197">
        <f>LoanPool!H197</f>
        <v>9729.2137522717676</v>
      </c>
      <c r="H197">
        <f>Waterfall!X197</f>
        <v>0</v>
      </c>
      <c r="I197">
        <f>Waterfall!Y197</f>
        <v>23709399.539652113</v>
      </c>
      <c r="J197">
        <f>Waterfall!Z197</f>
        <v>7170540.8215975268</v>
      </c>
      <c r="K197">
        <f>Waterfall!AA197</f>
        <v>0</v>
      </c>
      <c r="L197">
        <f>Waterfall!AB197</f>
        <v>0</v>
      </c>
      <c r="M197">
        <f>Waterfall!AC197</f>
        <v>0</v>
      </c>
    </row>
    <row r="198" spans="1:13" x14ac:dyDescent="0.2">
      <c r="A198" t="str">
        <f>Inputs!B14</f>
        <v>Base</v>
      </c>
      <c r="B198">
        <f>LoanPool!A198</f>
        <v>197</v>
      </c>
      <c r="C198">
        <f>LoanPool!B198</f>
        <v>30879940.361249637</v>
      </c>
      <c r="D198">
        <f>LoanPool!J198</f>
        <v>30399640.140209805</v>
      </c>
      <c r="E198">
        <f>LoanPool!L198</f>
        <v>135099.73908046717</v>
      </c>
      <c r="F198">
        <f>LoanPool!M198</f>
        <v>470722.33347087115</v>
      </c>
      <c r="G198">
        <f>LoanPool!H198</f>
        <v>9577.8875689600955</v>
      </c>
      <c r="H198">
        <f>Waterfall!X198</f>
        <v>0</v>
      </c>
      <c r="I198">
        <f>Waterfall!Y198</f>
        <v>23238677.206181243</v>
      </c>
      <c r="J198">
        <f>Waterfall!Z198</f>
        <v>7160962.9340285668</v>
      </c>
      <c r="K198">
        <f>Waterfall!AA198</f>
        <v>0</v>
      </c>
      <c r="L198">
        <f>Waterfall!AB198</f>
        <v>0</v>
      </c>
      <c r="M198">
        <f>Waterfall!AC198</f>
        <v>0</v>
      </c>
    </row>
    <row r="199" spans="1:13" x14ac:dyDescent="0.2">
      <c r="A199" t="str">
        <f>Inputs!B14</f>
        <v>Base</v>
      </c>
      <c r="B199">
        <f>LoanPool!A199</f>
        <v>198</v>
      </c>
      <c r="C199">
        <f>LoanPool!B199</f>
        <v>30399640.140209805</v>
      </c>
      <c r="D199">
        <f>LoanPool!J199</f>
        <v>29924045.818350326</v>
      </c>
      <c r="E199">
        <f>LoanPool!L199</f>
        <v>132998.4256134179</v>
      </c>
      <c r="F199">
        <f>LoanPool!M199</f>
        <v>466166.2778058417</v>
      </c>
      <c r="G199">
        <f>LoanPool!H199</f>
        <v>9428.0440536356928</v>
      </c>
      <c r="H199">
        <f>Waterfall!X199</f>
        <v>0</v>
      </c>
      <c r="I199">
        <f>Waterfall!Y199</f>
        <v>22772510.928375401</v>
      </c>
      <c r="J199">
        <f>Waterfall!Z199</f>
        <v>7151534.8899749313</v>
      </c>
      <c r="K199">
        <f>Waterfall!AA199</f>
        <v>0</v>
      </c>
      <c r="L199">
        <f>Waterfall!AB199</f>
        <v>0</v>
      </c>
      <c r="M199">
        <f>Waterfall!AC199</f>
        <v>0</v>
      </c>
    </row>
    <row r="200" spans="1:13" x14ac:dyDescent="0.2">
      <c r="A200" t="str">
        <f>Inputs!B14</f>
        <v>Base</v>
      </c>
      <c r="B200">
        <f>LoanPool!A200</f>
        <v>199</v>
      </c>
      <c r="C200">
        <f>LoanPool!B200</f>
        <v>29924045.818350326</v>
      </c>
      <c r="D200">
        <f>LoanPool!J200</f>
        <v>29453116.259813629</v>
      </c>
      <c r="E200">
        <f>LoanPool!L200</f>
        <v>130917.70045528268</v>
      </c>
      <c r="F200">
        <f>LoanPool!M200</f>
        <v>461649.88829090289</v>
      </c>
      <c r="G200">
        <f>LoanPool!H200</f>
        <v>9279.6702457958272</v>
      </c>
      <c r="H200">
        <f>Waterfall!X200</f>
        <v>0</v>
      </c>
      <c r="I200">
        <f>Waterfall!Y200</f>
        <v>22310861.040084496</v>
      </c>
      <c r="J200">
        <f>Waterfall!Z200</f>
        <v>7142255.2197291357</v>
      </c>
      <c r="K200">
        <f>Waterfall!AA200</f>
        <v>0</v>
      </c>
      <c r="L200">
        <f>Waterfall!AB200</f>
        <v>0</v>
      </c>
      <c r="M200">
        <f>Waterfall!AC200</f>
        <v>0</v>
      </c>
    </row>
    <row r="201" spans="1:13" x14ac:dyDescent="0.2">
      <c r="A201" t="str">
        <f>Inputs!B14</f>
        <v>Base</v>
      </c>
      <c r="B201">
        <f>LoanPool!A201</f>
        <v>200</v>
      </c>
      <c r="C201">
        <f>LoanPool!B201</f>
        <v>29453116.259813629</v>
      </c>
      <c r="D201">
        <f>LoanPool!J201</f>
        <v>28986810.674131021</v>
      </c>
      <c r="E201">
        <f>LoanPool!L201</f>
        <v>128857.38363668462</v>
      </c>
      <c r="F201">
        <f>LoanPool!M201</f>
        <v>457172.83238884987</v>
      </c>
      <c r="G201">
        <f>LoanPool!H201</f>
        <v>9132.7532937580108</v>
      </c>
      <c r="H201">
        <f>Waterfall!X201</f>
        <v>0</v>
      </c>
      <c r="I201">
        <f>Waterfall!Y201</f>
        <v>21853688.207695648</v>
      </c>
      <c r="J201">
        <f>Waterfall!Z201</f>
        <v>7133122.4664353775</v>
      </c>
      <c r="K201">
        <f>Waterfall!AA201</f>
        <v>0</v>
      </c>
      <c r="L201">
        <f>Waterfall!AB201</f>
        <v>0</v>
      </c>
      <c r="M201">
        <f>Waterfall!AC201</f>
        <v>0</v>
      </c>
    </row>
    <row r="202" spans="1:13" x14ac:dyDescent="0.2">
      <c r="A202" t="str">
        <f>Inputs!B14</f>
        <v>Base</v>
      </c>
      <c r="B202">
        <f>LoanPool!A202</f>
        <v>201</v>
      </c>
      <c r="C202">
        <f>LoanPool!B202</f>
        <v>28986810.674131021</v>
      </c>
      <c r="D202">
        <f>LoanPool!J202</f>
        <v>28525088.613368131</v>
      </c>
      <c r="E202">
        <f>LoanPool!L202</f>
        <v>126817.29669932323</v>
      </c>
      <c r="F202">
        <f>LoanPool!M202</f>
        <v>452734.78030912735</v>
      </c>
      <c r="G202">
        <f>LoanPool!H202</f>
        <v>8987.2804537606025</v>
      </c>
      <c r="H202">
        <f>Waterfall!X202</f>
        <v>0</v>
      </c>
      <c r="I202">
        <f>Waterfall!Y202</f>
        <v>21400953.427386522</v>
      </c>
      <c r="J202">
        <f>Waterfall!Z202</f>
        <v>7124135.1859816173</v>
      </c>
      <c r="K202">
        <f>Waterfall!AA202</f>
        <v>0</v>
      </c>
      <c r="L202">
        <f>Waterfall!AB202</f>
        <v>0</v>
      </c>
      <c r="M202">
        <f>Waterfall!AC202</f>
        <v>0</v>
      </c>
    </row>
    <row r="203" spans="1:13" x14ac:dyDescent="0.2">
      <c r="A203" t="str">
        <f>Inputs!B14</f>
        <v>Base</v>
      </c>
      <c r="B203">
        <f>LoanPool!A203</f>
        <v>202</v>
      </c>
      <c r="C203">
        <f>LoanPool!B203</f>
        <v>28525088.613368131</v>
      </c>
      <c r="D203">
        <f>LoanPool!J203</f>
        <v>28067909.969293781</v>
      </c>
      <c r="E203">
        <f>LoanPool!L203</f>
        <v>124797.26268348558</v>
      </c>
      <c r="F203">
        <f>LoanPool!M203</f>
        <v>448335.40498527949</v>
      </c>
      <c r="G203">
        <f>LoanPool!H203</f>
        <v>8843.2390890708321</v>
      </c>
      <c r="H203">
        <f>Waterfall!X203</f>
        <v>0</v>
      </c>
      <c r="I203">
        <f>Waterfall!Y203</f>
        <v>20952618.022401243</v>
      </c>
      <c r="J203">
        <f>Waterfall!Z203</f>
        <v>7115291.9468925465</v>
      </c>
      <c r="K203">
        <f>Waterfall!AA203</f>
        <v>0</v>
      </c>
      <c r="L203">
        <f>Waterfall!AB203</f>
        <v>0</v>
      </c>
      <c r="M203">
        <f>Waterfall!AC203</f>
        <v>0</v>
      </c>
    </row>
    <row r="204" spans="1:13" x14ac:dyDescent="0.2">
      <c r="A204" t="str">
        <f>Inputs!B14</f>
        <v>Base</v>
      </c>
      <c r="B204">
        <f>LoanPool!A204</f>
        <v>203</v>
      </c>
      <c r="C204">
        <f>LoanPool!B204</f>
        <v>28067909.969293781</v>
      </c>
      <c r="D204">
        <f>LoanPool!J204</f>
        <v>27615234.970572095</v>
      </c>
      <c r="E204">
        <f>LoanPool!L204</f>
        <v>122797.10611566031</v>
      </c>
      <c r="F204">
        <f>LoanPool!M204</f>
        <v>443974.38205258595</v>
      </c>
      <c r="G204">
        <f>LoanPool!H204</f>
        <v>8700.6166691001217</v>
      </c>
      <c r="H204">
        <f>Waterfall!X204</f>
        <v>0</v>
      </c>
      <c r="I204">
        <f>Waterfall!Y204</f>
        <v>20508643.640348658</v>
      </c>
      <c r="J204">
        <f>Waterfall!Z204</f>
        <v>7106591.3302234467</v>
      </c>
      <c r="K204">
        <f>Waterfall!AA204</f>
        <v>0</v>
      </c>
      <c r="L204">
        <f>Waterfall!AB204</f>
        <v>0</v>
      </c>
      <c r="M204">
        <f>Waterfall!AC204</f>
        <v>0</v>
      </c>
    </row>
    <row r="205" spans="1:13" x14ac:dyDescent="0.2">
      <c r="A205" t="str">
        <f>Inputs!B14</f>
        <v>Base</v>
      </c>
      <c r="B205">
        <f>LoanPool!A205</f>
        <v>204</v>
      </c>
      <c r="C205">
        <f>LoanPool!B205</f>
        <v>27615234.970572095</v>
      </c>
      <c r="D205">
        <f>LoanPool!J205</f>
        <v>27167024.179977689</v>
      </c>
      <c r="E205">
        <f>LoanPool!L205</f>
        <v>120816.65299625293</v>
      </c>
      <c r="F205">
        <f>LoanPool!M205</f>
        <v>439651.38982588018</v>
      </c>
      <c r="G205">
        <f>LoanPool!H205</f>
        <v>8559.4007685266915</v>
      </c>
      <c r="H205">
        <f>Waterfall!X205</f>
        <v>0</v>
      </c>
      <c r="I205">
        <f>Waterfall!Y205</f>
        <v>20068992.250522777</v>
      </c>
      <c r="J205">
        <f>Waterfall!Z205</f>
        <v>7098031.9294549199</v>
      </c>
      <c r="K205">
        <f>Waterfall!AA205</f>
        <v>0</v>
      </c>
      <c r="L205">
        <f>Waterfall!AB205</f>
        <v>0</v>
      </c>
      <c r="M205">
        <f>Waterfall!AC205</f>
        <v>0</v>
      </c>
    </row>
    <row r="206" spans="1:13" x14ac:dyDescent="0.2">
      <c r="A206" t="str">
        <f>Inputs!B14</f>
        <v>Base</v>
      </c>
      <c r="B206">
        <f>LoanPool!A206</f>
        <v>205</v>
      </c>
      <c r="C206">
        <f>LoanPool!B206</f>
        <v>27167024.179977689</v>
      </c>
      <c r="D206">
        <f>LoanPool!J206</f>
        <v>26723238.491633713</v>
      </c>
      <c r="E206">
        <f>LoanPool!L206</f>
        <v>118855.73078740238</v>
      </c>
      <c r="F206">
        <f>LoanPool!M206</f>
        <v>435366.1092775506</v>
      </c>
      <c r="G206">
        <f>LoanPool!H206</f>
        <v>8419.5790664253564</v>
      </c>
      <c r="H206">
        <f>Waterfall!X206</f>
        <v>0</v>
      </c>
      <c r="I206">
        <f>Waterfall!Y206</f>
        <v>19633626.141245227</v>
      </c>
      <c r="J206">
        <f>Waterfall!Z206</f>
        <v>7089612.3503884943</v>
      </c>
      <c r="K206">
        <f>Waterfall!AA206</f>
        <v>0</v>
      </c>
      <c r="L206">
        <f>Waterfall!AB206</f>
        <v>0</v>
      </c>
      <c r="M206">
        <f>Waterfall!AC206</f>
        <v>0</v>
      </c>
    </row>
    <row r="207" spans="1:13" x14ac:dyDescent="0.2">
      <c r="A207" t="str">
        <f>Inputs!B14</f>
        <v>Base</v>
      </c>
      <c r="B207">
        <f>LoanPool!A207</f>
        <v>206</v>
      </c>
      <c r="C207">
        <f>LoanPool!B207</f>
        <v>26723238.491633713</v>
      </c>
      <c r="D207">
        <f>LoanPool!J207</f>
        <v>26283839.128272589</v>
      </c>
      <c r="E207">
        <f>LoanPool!L207</f>
        <v>116914.1684008975</v>
      </c>
      <c r="F207">
        <f>LoanPool!M207</f>
        <v>431118.22401571949</v>
      </c>
      <c r="G207">
        <f>LoanPool!H207</f>
        <v>8281.1393454044864</v>
      </c>
      <c r="H207">
        <f>Waterfall!X207</f>
        <v>0</v>
      </c>
      <c r="I207">
        <f>Waterfall!Y207</f>
        <v>19202507.917229507</v>
      </c>
      <c r="J207">
        <f>Waterfall!Z207</f>
        <v>7081331.2110430896</v>
      </c>
      <c r="K207">
        <f>Waterfall!AA207</f>
        <v>0</v>
      </c>
      <c r="L207">
        <f>Waterfall!AB207</f>
        <v>0</v>
      </c>
      <c r="M207">
        <f>Waterfall!AC207</f>
        <v>0</v>
      </c>
    </row>
    <row r="208" spans="1:13" x14ac:dyDescent="0.2">
      <c r="A208" t="str">
        <f>Inputs!B14</f>
        <v>Base</v>
      </c>
      <c r="B208">
        <f>LoanPool!A208</f>
        <v>207</v>
      </c>
      <c r="C208">
        <f>LoanPool!B208</f>
        <v>26283839.128272589</v>
      </c>
      <c r="D208">
        <f>LoanPool!J208</f>
        <v>25848787.638519235</v>
      </c>
      <c r="E208">
        <f>LoanPool!L208</f>
        <v>114991.79618619259</v>
      </c>
      <c r="F208">
        <f>LoanPool!M208</f>
        <v>426907.42026260373</v>
      </c>
      <c r="G208">
        <f>LoanPool!H208</f>
        <v>8144.0694907500347</v>
      </c>
      <c r="H208">
        <f>Waterfall!X208</f>
        <v>0</v>
      </c>
      <c r="I208">
        <f>Waterfall!Y208</f>
        <v>18775600.496966902</v>
      </c>
      <c r="J208">
        <f>Waterfall!Z208</f>
        <v>7073187.1415523393</v>
      </c>
      <c r="K208">
        <f>Waterfall!AA208</f>
        <v>0</v>
      </c>
      <c r="L208">
        <f>Waterfall!AB208</f>
        <v>0</v>
      </c>
      <c r="M208">
        <f>Waterfall!AC208</f>
        <v>0</v>
      </c>
    </row>
    <row r="209" spans="1:13" x14ac:dyDescent="0.2">
      <c r="A209" t="str">
        <f>Inputs!B14</f>
        <v>Base</v>
      </c>
      <c r="B209">
        <f>LoanPool!A209</f>
        <v>208</v>
      </c>
      <c r="C209">
        <f>LoanPool!B209</f>
        <v>25848787.638519235</v>
      </c>
      <c r="D209">
        <f>LoanPool!J209</f>
        <v>25418045.894196607</v>
      </c>
      <c r="E209">
        <f>LoanPool!L209</f>
        <v>113088.44591852165</v>
      </c>
      <c r="F209">
        <f>LoanPool!M209</f>
        <v>422733.38683305011</v>
      </c>
      <c r="G209">
        <f>LoanPool!H209</f>
        <v>8008.3574895766078</v>
      </c>
      <c r="H209">
        <f>Waterfall!X209</f>
        <v>0</v>
      </c>
      <c r="I209">
        <f>Waterfall!Y209</f>
        <v>18352867.110133853</v>
      </c>
      <c r="J209">
        <f>Waterfall!Z209</f>
        <v>7065178.7840627627</v>
      </c>
      <c r="K209">
        <f>Waterfall!AA209</f>
        <v>0</v>
      </c>
      <c r="L209">
        <f>Waterfall!AB209</f>
        <v>0</v>
      </c>
      <c r="M209">
        <f>Waterfall!AC209</f>
        <v>0</v>
      </c>
    </row>
    <row r="210" spans="1:13" x14ac:dyDescent="0.2">
      <c r="A210" t="str">
        <f>Inputs!B14</f>
        <v>Base</v>
      </c>
      <c r="B210">
        <f>LoanPool!A210</f>
        <v>209</v>
      </c>
      <c r="C210">
        <f>LoanPool!B210</f>
        <v>25418045.894196607</v>
      </c>
      <c r="D210">
        <f>LoanPool!J210</f>
        <v>24991576.087653372</v>
      </c>
      <c r="E210">
        <f>LoanPool!L210</f>
        <v>111203.95078711017</v>
      </c>
      <c r="F210">
        <f>LoanPool!M210</f>
        <v>418595.81511324813</v>
      </c>
      <c r="G210">
        <f>LoanPool!H210</f>
        <v>7873.9914299855145</v>
      </c>
      <c r="H210">
        <f>Waterfall!X210</f>
        <v>0</v>
      </c>
      <c r="I210">
        <f>Waterfall!Y210</f>
        <v>17934271.295020606</v>
      </c>
      <c r="J210">
        <f>Waterfall!Z210</f>
        <v>7057304.7926327772</v>
      </c>
      <c r="K210">
        <f>Waterfall!AA210</f>
        <v>0</v>
      </c>
      <c r="L210">
        <f>Waterfall!AB210</f>
        <v>0</v>
      </c>
      <c r="M210">
        <f>Waterfall!AC210</f>
        <v>0</v>
      </c>
    </row>
    <row r="211" spans="1:13" x14ac:dyDescent="0.2">
      <c r="A211" t="str">
        <f>Inputs!B14</f>
        <v>Base</v>
      </c>
      <c r="B211">
        <f>LoanPool!A211</f>
        <v>210</v>
      </c>
      <c r="C211">
        <f>LoanPool!B211</f>
        <v>24991576.087653372</v>
      </c>
      <c r="D211">
        <f>LoanPool!J211</f>
        <v>24569340.729113527</v>
      </c>
      <c r="E211">
        <f>LoanPool!L211</f>
        <v>109338.14538348351</v>
      </c>
      <c r="F211">
        <f>LoanPool!M211</f>
        <v>414494.39903961634</v>
      </c>
      <c r="G211">
        <f>LoanPool!H211</f>
        <v>7740.9595002297074</v>
      </c>
      <c r="H211">
        <f>Waterfall!X211</f>
        <v>0</v>
      </c>
      <c r="I211">
        <f>Waterfall!Y211</f>
        <v>17519776.895980991</v>
      </c>
      <c r="J211">
        <f>Waterfall!Z211</f>
        <v>7049563.8331325473</v>
      </c>
      <c r="K211">
        <f>Waterfall!AA211</f>
        <v>0</v>
      </c>
      <c r="L211">
        <f>Waterfall!AB211</f>
        <v>0</v>
      </c>
      <c r="M211">
        <f>Waterfall!AC211</f>
        <v>0</v>
      </c>
    </row>
    <row r="212" spans="1:13" x14ac:dyDescent="0.2">
      <c r="A212" t="str">
        <f>Inputs!B14</f>
        <v>Base</v>
      </c>
      <c r="B212">
        <f>LoanPool!A212</f>
        <v>211</v>
      </c>
      <c r="C212">
        <f>LoanPool!B212</f>
        <v>24569340.729113527</v>
      </c>
      <c r="D212">
        <f>LoanPool!J212</f>
        <v>24151302.644047782</v>
      </c>
      <c r="E212">
        <f>LoanPool!L212</f>
        <v>107490.86568987169</v>
      </c>
      <c r="F212">
        <f>LoanPool!M212</f>
        <v>410428.83507786103</v>
      </c>
      <c r="G212">
        <f>LoanPool!H212</f>
        <v>7609.2499878856088</v>
      </c>
      <c r="H212">
        <f>Waterfall!X212</f>
        <v>0</v>
      </c>
      <c r="I212">
        <f>Waterfall!Y212</f>
        <v>17109348.060903132</v>
      </c>
      <c r="J212">
        <f>Waterfall!Z212</f>
        <v>7041954.583144662</v>
      </c>
      <c r="K212">
        <f>Waterfall!AA212</f>
        <v>0</v>
      </c>
      <c r="L212">
        <f>Waterfall!AB212</f>
        <v>0</v>
      </c>
      <c r="M212">
        <f>Waterfall!AC212</f>
        <v>0</v>
      </c>
    </row>
    <row r="213" spans="1:13" x14ac:dyDescent="0.2">
      <c r="A213" t="str">
        <f>Inputs!B14</f>
        <v>Base</v>
      </c>
      <c r="B213">
        <f>LoanPool!A213</f>
        <v>212</v>
      </c>
      <c r="C213">
        <f>LoanPool!B213</f>
        <v>24151302.644047782</v>
      </c>
      <c r="D213">
        <f>LoanPool!J213</f>
        <v>23737424.970566541</v>
      </c>
      <c r="E213">
        <f>LoanPool!L213</f>
        <v>105661.94906770904</v>
      </c>
      <c r="F213">
        <f>LoanPool!M213</f>
        <v>406398.82220220845</v>
      </c>
      <c r="G213">
        <f>LoanPool!H213</f>
        <v>7478.8512790317236</v>
      </c>
      <c r="H213">
        <f>Waterfall!X213</f>
        <v>0</v>
      </c>
      <c r="I213">
        <f>Waterfall!Y213</f>
        <v>16702949.238700923</v>
      </c>
      <c r="J213">
        <f>Waterfall!Z213</f>
        <v>7034475.7318656305</v>
      </c>
      <c r="K213">
        <f>Waterfall!AA213</f>
        <v>0</v>
      </c>
      <c r="L213">
        <f>Waterfall!AB213</f>
        <v>0</v>
      </c>
      <c r="M213">
        <f>Waterfall!AC213</f>
        <v>0</v>
      </c>
    </row>
    <row r="214" spans="1:13" x14ac:dyDescent="0.2">
      <c r="A214" t="str">
        <f>Inputs!B14</f>
        <v>Base</v>
      </c>
      <c r="B214">
        <f>LoanPool!A214</f>
        <v>213</v>
      </c>
      <c r="C214">
        <f>LoanPool!B214</f>
        <v>23737424.970566541</v>
      </c>
      <c r="D214">
        <f>LoanPool!J214</f>
        <v>23327671.156834301</v>
      </c>
      <c r="E214">
        <f>LoanPool!L214</f>
        <v>103851.23424622863</v>
      </c>
      <c r="F214">
        <f>LoanPool!M214</f>
        <v>402404.06187480479</v>
      </c>
      <c r="G214">
        <f>LoanPool!H214</f>
        <v>7349.7518574340011</v>
      </c>
      <c r="H214">
        <f>Waterfall!X214</f>
        <v>0</v>
      </c>
      <c r="I214">
        <f>Waterfall!Y214</f>
        <v>16300545.176826118</v>
      </c>
      <c r="J214">
        <f>Waterfall!Z214</f>
        <v>7027125.9800081961</v>
      </c>
      <c r="K214">
        <f>Waterfall!AA214</f>
        <v>0</v>
      </c>
      <c r="L214">
        <f>Waterfall!AB214</f>
        <v>0</v>
      </c>
      <c r="M214">
        <f>Waterfall!AC214</f>
        <v>0</v>
      </c>
    </row>
    <row r="215" spans="1:13" x14ac:dyDescent="0.2">
      <c r="A215" t="str">
        <f>Inputs!B14</f>
        <v>Base</v>
      </c>
      <c r="B215">
        <f>LoanPool!A215</f>
        <v>214</v>
      </c>
      <c r="C215">
        <f>LoanPool!B215</f>
        <v>23327671.156834301</v>
      </c>
      <c r="D215">
        <f>LoanPool!J215</f>
        <v>22922004.958505277</v>
      </c>
      <c r="E215">
        <f>LoanPool!L215</f>
        <v>102058.56131115006</v>
      </c>
      <c r="F215">
        <f>LoanPool!M215</f>
        <v>398444.2580252862</v>
      </c>
      <c r="G215">
        <f>LoanPool!H215</f>
        <v>7221.9403037378897</v>
      </c>
      <c r="H215">
        <f>Waterfall!X215</f>
        <v>0</v>
      </c>
      <c r="I215">
        <f>Waterfall!Y215</f>
        <v>15902100.918800831</v>
      </c>
      <c r="J215">
        <f>Waterfall!Z215</f>
        <v>7019904.0397044579</v>
      </c>
      <c r="K215">
        <f>Waterfall!AA215</f>
        <v>0</v>
      </c>
      <c r="L215">
        <f>Waterfall!AB215</f>
        <v>0</v>
      </c>
      <c r="M215">
        <f>Waterfall!AC215</f>
        <v>0</v>
      </c>
    </row>
    <row r="216" spans="1:13" x14ac:dyDescent="0.2">
      <c r="A216" t="str">
        <f>Inputs!B14</f>
        <v>Base</v>
      </c>
      <c r="B216">
        <f>LoanPool!A216</f>
        <v>215</v>
      </c>
      <c r="C216">
        <f>LoanPool!B216</f>
        <v>22922004.958505277</v>
      </c>
      <c r="D216">
        <f>LoanPool!J216</f>
        <v>22520390.436180092</v>
      </c>
      <c r="E216">
        <f>LoanPool!L216</f>
        <v>100283.77169346059</v>
      </c>
      <c r="F216">
        <f>LoanPool!M216</f>
        <v>394519.11703051563</v>
      </c>
      <c r="G216">
        <f>LoanPool!H216</f>
        <v>7095.4052946670336</v>
      </c>
      <c r="H216">
        <f>Waterfall!X216</f>
        <v>0</v>
      </c>
      <c r="I216">
        <f>Waterfall!Y216</f>
        <v>15507581.801770315</v>
      </c>
      <c r="J216">
        <f>Waterfall!Z216</f>
        <v>7012808.6344097909</v>
      </c>
      <c r="K216">
        <f>Waterfall!AA216</f>
        <v>0</v>
      </c>
      <c r="L216">
        <f>Waterfall!AB216</f>
        <v>0</v>
      </c>
      <c r="M216">
        <f>Waterfall!AC216</f>
        <v>0</v>
      </c>
    </row>
    <row r="217" spans="1:13" x14ac:dyDescent="0.2">
      <c r="A217" t="str">
        <f>Inputs!B14</f>
        <v>Base</v>
      </c>
      <c r="B217">
        <f>LoanPool!A217</f>
        <v>216</v>
      </c>
      <c r="C217">
        <f>LoanPool!B217</f>
        <v>22520390.436180092</v>
      </c>
      <c r="D217">
        <f>LoanPool!J217</f>
        <v>22122791.952883378</v>
      </c>
      <c r="E217">
        <f>LoanPool!L217</f>
        <v>98526.708158287904</v>
      </c>
      <c r="F217">
        <f>LoanPool!M217</f>
        <v>390628.3476944865</v>
      </c>
      <c r="G217">
        <f>LoanPool!H217</f>
        <v>6970.135602228539</v>
      </c>
      <c r="H217">
        <f>Waterfall!X217</f>
        <v>0</v>
      </c>
      <c r="I217">
        <f>Waterfall!Y217</f>
        <v>15116953.454075828</v>
      </c>
      <c r="J217">
        <f>Waterfall!Z217</f>
        <v>7005838.4988075625</v>
      </c>
      <c r="K217">
        <f>Waterfall!AA217</f>
        <v>0</v>
      </c>
      <c r="L217">
        <f>Waterfall!AB217</f>
        <v>0</v>
      </c>
      <c r="M217">
        <f>Waterfall!AC217</f>
        <v>0</v>
      </c>
    </row>
    <row r="218" spans="1:13" x14ac:dyDescent="0.2">
      <c r="A218" t="str">
        <f>Inputs!B14</f>
        <v>Base</v>
      </c>
      <c r="B218">
        <f>LoanPool!A218</f>
        <v>217</v>
      </c>
      <c r="C218">
        <f>LoanPool!B218</f>
        <v>22122791.952883378</v>
      </c>
      <c r="D218">
        <f>LoanPool!J218</f>
        <v>21729174.171562064</v>
      </c>
      <c r="E218">
        <f>LoanPool!L218</f>
        <v>96787.214793864783</v>
      </c>
      <c r="F218">
        <f>LoanPool!M218</f>
        <v>386771.66122838913</v>
      </c>
      <c r="G218">
        <f>LoanPool!H218</f>
        <v>6846.1200929247816</v>
      </c>
      <c r="H218">
        <f>Waterfall!X218</f>
        <v>0</v>
      </c>
      <c r="I218">
        <f>Waterfall!Y218</f>
        <v>14730181.79284744</v>
      </c>
      <c r="J218">
        <f>Waterfall!Z218</f>
        <v>6998992.3787146378</v>
      </c>
      <c r="K218">
        <f>Waterfall!AA218</f>
        <v>0</v>
      </c>
      <c r="L218">
        <f>Waterfall!AB218</f>
        <v>0</v>
      </c>
      <c r="M218">
        <f>Waterfall!AC218</f>
        <v>0</v>
      </c>
    </row>
    <row r="219" spans="1:13" x14ac:dyDescent="0.2">
      <c r="A219" t="str">
        <f>Inputs!B14</f>
        <v>Base</v>
      </c>
      <c r="B219">
        <f>LoanPool!A219</f>
        <v>218</v>
      </c>
      <c r="C219">
        <f>LoanPool!B219</f>
        <v>21729174.171562064</v>
      </c>
      <c r="D219">
        <f>LoanPool!J219</f>
        <v>21339502.052604251</v>
      </c>
      <c r="E219">
        <f>LoanPool!L219</f>
        <v>95065.137000584029</v>
      </c>
      <c r="F219">
        <f>LoanPool!M219</f>
        <v>382948.77123084263</v>
      </c>
      <c r="G219">
        <f>LoanPool!H219</f>
        <v>6723.3477269716823</v>
      </c>
      <c r="H219">
        <f>Waterfall!X219</f>
        <v>0</v>
      </c>
      <c r="I219">
        <f>Waterfall!Y219</f>
        <v>14347233.021616597</v>
      </c>
      <c r="J219">
        <f>Waterfall!Z219</f>
        <v>6992269.030987666</v>
      </c>
      <c r="K219">
        <f>Waterfall!AA219</f>
        <v>0</v>
      </c>
      <c r="L219">
        <f>Waterfall!AB219</f>
        <v>0</v>
      </c>
      <c r="M219">
        <f>Waterfall!AC219</f>
        <v>0</v>
      </c>
    </row>
    <row r="220" spans="1:13" x14ac:dyDescent="0.2">
      <c r="A220" t="str">
        <f>Inputs!B14</f>
        <v>Base</v>
      </c>
      <c r="B220">
        <f>LoanPool!A220</f>
        <v>219</v>
      </c>
      <c r="C220">
        <f>LoanPool!B220</f>
        <v>21339502.052604251</v>
      </c>
      <c r="D220">
        <f>LoanPool!J220</f>
        <v>20953740.851378441</v>
      </c>
      <c r="E220">
        <f>LoanPool!L220</f>
        <v>93360.321480143612</v>
      </c>
      <c r="F220">
        <f>LoanPool!M220</f>
        <v>379159.39366828691</v>
      </c>
      <c r="G220">
        <f>LoanPool!H220</f>
        <v>6601.8075575234034</v>
      </c>
      <c r="H220">
        <f>Waterfall!X220</f>
        <v>0</v>
      </c>
      <c r="I220">
        <f>Waterfall!Y220</f>
        <v>13968073.62794831</v>
      </c>
      <c r="J220">
        <f>Waterfall!Z220</f>
        <v>6985667.2234301427</v>
      </c>
      <c r="K220">
        <f>Waterfall!AA220</f>
        <v>0</v>
      </c>
      <c r="L220">
        <f>Waterfall!AB220</f>
        <v>0</v>
      </c>
      <c r="M220">
        <f>Waterfall!AC220</f>
        <v>0</v>
      </c>
    </row>
    <row r="221" spans="1:13" x14ac:dyDescent="0.2">
      <c r="A221" t="str">
        <f>Inputs!B14</f>
        <v>Base</v>
      </c>
      <c r="B221">
        <f>LoanPool!A221</f>
        <v>220</v>
      </c>
      <c r="C221">
        <f>LoanPool!B221</f>
        <v>20953740.851378441</v>
      </c>
      <c r="D221">
        <f>LoanPool!J221</f>
        <v>20571856.115793001</v>
      </c>
      <c r="E221">
        <f>LoanPool!L221</f>
        <v>91672.616224780679</v>
      </c>
      <c r="F221">
        <f>LoanPool!M221</f>
        <v>375403.24685553653</v>
      </c>
      <c r="G221">
        <f>LoanPool!H221</f>
        <v>6481.4887299034208</v>
      </c>
      <c r="H221">
        <f>Waterfall!X221</f>
        <v>0</v>
      </c>
      <c r="I221">
        <f>Waterfall!Y221</f>
        <v>13592670.381092774</v>
      </c>
      <c r="J221">
        <f>Waterfall!Z221</f>
        <v>6979185.7347002393</v>
      </c>
      <c r="K221">
        <f>Waterfall!AA221</f>
        <v>0</v>
      </c>
      <c r="L221">
        <f>Waterfall!AB221</f>
        <v>0</v>
      </c>
      <c r="M221">
        <f>Waterfall!AC221</f>
        <v>0</v>
      </c>
    </row>
    <row r="222" spans="1:13" x14ac:dyDescent="0.2">
      <c r="A222" t="str">
        <f>Inputs!B14</f>
        <v>Base</v>
      </c>
      <c r="B222">
        <f>LoanPool!A222</f>
        <v>221</v>
      </c>
      <c r="C222">
        <f>LoanPool!B222</f>
        <v>20571856.115793001</v>
      </c>
      <c r="D222">
        <f>LoanPool!J222</f>
        <v>20193813.683875665</v>
      </c>
      <c r="E222">
        <f>LoanPool!L222</f>
        <v>90001.870506594394</v>
      </c>
      <c r="F222">
        <f>LoanPool!M222</f>
        <v>371680.051436493</v>
      </c>
      <c r="G222">
        <f>LoanPool!H222</f>
        <v>6362.3804808419072</v>
      </c>
      <c r="H222">
        <f>Waterfall!X222</f>
        <v>0</v>
      </c>
      <c r="I222">
        <f>Waterfall!Y222</f>
        <v>13220990.329656281</v>
      </c>
      <c r="J222">
        <f>Waterfall!Z222</f>
        <v>6972823.3542193975</v>
      </c>
      <c r="K222">
        <f>Waterfall!AA222</f>
        <v>0</v>
      </c>
      <c r="L222">
        <f>Waterfall!AB222</f>
        <v>0</v>
      </c>
      <c r="M222">
        <f>Waterfall!AC222</f>
        <v>0</v>
      </c>
    </row>
    <row r="223" spans="1:13" x14ac:dyDescent="0.2">
      <c r="A223" t="str">
        <f>Inputs!B14</f>
        <v>Base</v>
      </c>
      <c r="B223">
        <f>LoanPool!A223</f>
        <v>222</v>
      </c>
      <c r="C223">
        <f>LoanPool!B223</f>
        <v>20193813.683875665</v>
      </c>
      <c r="D223">
        <f>LoanPool!J223</f>
        <v>19819579.681372929</v>
      </c>
      <c r="E223">
        <f>LoanPool!L223</f>
        <v>88347.934866956042</v>
      </c>
      <c r="F223">
        <f>LoanPool!M223</f>
        <v>367989.53036501521</v>
      </c>
      <c r="G223">
        <f>LoanPool!H223</f>
        <v>6244.4721377193828</v>
      </c>
      <c r="H223">
        <f>Waterfall!X223</f>
        <v>0</v>
      </c>
      <c r="I223">
        <f>Waterfall!Y223</f>
        <v>12853000.799291266</v>
      </c>
      <c r="J223">
        <f>Waterfall!Z223</f>
        <v>6966578.8820816781</v>
      </c>
      <c r="K223">
        <f>Waterfall!AA223</f>
        <v>0</v>
      </c>
      <c r="L223">
        <f>Waterfall!AB223</f>
        <v>0</v>
      </c>
      <c r="M223">
        <f>Waterfall!AC223</f>
        <v>0</v>
      </c>
    </row>
    <row r="224" spans="1:13" x14ac:dyDescent="0.2">
      <c r="A224" t="str">
        <f>Inputs!B14</f>
        <v>Base</v>
      </c>
      <c r="B224">
        <f>LoanPool!A224</f>
        <v>223</v>
      </c>
      <c r="C224">
        <f>LoanPool!B224</f>
        <v>19819579.681372929</v>
      </c>
      <c r="D224">
        <f>LoanPool!J224</f>
        <v>19449120.519369166</v>
      </c>
      <c r="E224">
        <f>LoanPool!L224</f>
        <v>86710.661106006562</v>
      </c>
      <c r="F224">
        <f>LoanPool!M224</f>
        <v>364331.40888594737</v>
      </c>
      <c r="G224">
        <f>LoanPool!H224</f>
        <v>6127.7531178165791</v>
      </c>
      <c r="H224">
        <f>Waterfall!X224</f>
        <v>0</v>
      </c>
      <c r="I224">
        <f>Waterfall!Y224</f>
        <v>12488669.39040532</v>
      </c>
      <c r="J224">
        <f>Waterfall!Z224</f>
        <v>6960451.1289638616</v>
      </c>
      <c r="K224">
        <f>Waterfall!AA224</f>
        <v>0</v>
      </c>
      <c r="L224">
        <f>Waterfall!AB224</f>
        <v>0</v>
      </c>
      <c r="M224">
        <f>Waterfall!AC224</f>
        <v>0</v>
      </c>
    </row>
    <row r="225" spans="1:13" x14ac:dyDescent="0.2">
      <c r="A225" t="str">
        <f>Inputs!B14</f>
        <v>Base</v>
      </c>
      <c r="B225">
        <f>LoanPool!A225</f>
        <v>224</v>
      </c>
      <c r="C225">
        <f>LoanPool!B225</f>
        <v>19449120.519369166</v>
      </c>
      <c r="D225">
        <f>LoanPool!J225</f>
        <v>19082402.891925294</v>
      </c>
      <c r="E225">
        <f>LoanPool!L225</f>
        <v>85089.902272240113</v>
      </c>
      <c r="F225">
        <f>LoanPool!M225</f>
        <v>360705.41451630078</v>
      </c>
      <c r="G225">
        <f>LoanPool!H225</f>
        <v>6012.2129275704665</v>
      </c>
      <c r="H225">
        <f>Waterfall!X225</f>
        <v>0</v>
      </c>
      <c r="I225">
        <f>Waterfall!Y225</f>
        <v>12127963.97588902</v>
      </c>
      <c r="J225">
        <f>Waterfall!Z225</f>
        <v>6954438.916036291</v>
      </c>
      <c r="K225">
        <f>Waterfall!AA225</f>
        <v>0</v>
      </c>
      <c r="L225">
        <f>Waterfall!AB225</f>
        <v>0</v>
      </c>
      <c r="M225">
        <f>Waterfall!AC225</f>
        <v>0</v>
      </c>
    </row>
    <row r="226" spans="1:13" x14ac:dyDescent="0.2">
      <c r="A226" t="str">
        <f>Inputs!B14</f>
        <v>Base</v>
      </c>
      <c r="B226">
        <f>LoanPool!A226</f>
        <v>225</v>
      </c>
      <c r="C226">
        <f>LoanPool!B226</f>
        <v>19082402.891925294</v>
      </c>
      <c r="D226">
        <f>LoanPool!J226</f>
        <v>18719393.773736868</v>
      </c>
      <c r="E226">
        <f>LoanPool!L226</f>
        <v>83485.512652173158</v>
      </c>
      <c r="F226">
        <f>LoanPool!M226</f>
        <v>357111.27702659118</v>
      </c>
      <c r="G226">
        <f>LoanPool!H226</f>
        <v>5897.8411618363962</v>
      </c>
      <c r="H226">
        <f>Waterfall!X226</f>
        <v>0</v>
      </c>
      <c r="I226">
        <f>Waterfall!Y226</f>
        <v>11770852.698862428</v>
      </c>
      <c r="J226">
        <f>Waterfall!Z226</f>
        <v>6948541.0748744551</v>
      </c>
      <c r="K226">
        <f>Waterfall!AA226</f>
        <v>0</v>
      </c>
      <c r="L226">
        <f>Waterfall!AB226</f>
        <v>0</v>
      </c>
      <c r="M226">
        <f>Waterfall!AC226</f>
        <v>0</v>
      </c>
    </row>
    <row r="227" spans="1:13" x14ac:dyDescent="0.2">
      <c r="A227" t="str">
        <f>Inputs!B14</f>
        <v>Base</v>
      </c>
      <c r="B227">
        <f>LoanPool!A227</f>
        <v>226</v>
      </c>
      <c r="C227">
        <f>LoanPool!B227</f>
        <v>18719393.773736868</v>
      </c>
      <c r="D227">
        <f>LoanPool!J227</f>
        <v>18360060.417811383</v>
      </c>
      <c r="E227">
        <f>LoanPool!L227</f>
        <v>81897.347760098797</v>
      </c>
      <c r="F227">
        <f>LoanPool!M227</f>
        <v>353548.72842232842</v>
      </c>
      <c r="G227">
        <f>LoanPool!H227</f>
        <v>5784.6275031563027</v>
      </c>
      <c r="H227">
        <f>Waterfall!X227</f>
        <v>0</v>
      </c>
      <c r="I227">
        <f>Waterfall!Y227</f>
        <v>11417303.970440099</v>
      </c>
      <c r="J227">
        <f>Waterfall!Z227</f>
        <v>6942756.4473712984</v>
      </c>
      <c r="K227">
        <f>Waterfall!AA227</f>
        <v>0</v>
      </c>
      <c r="L227">
        <f>Waterfall!AB227</f>
        <v>0</v>
      </c>
      <c r="M227">
        <f>Waterfall!AC227</f>
        <v>0</v>
      </c>
    </row>
    <row r="228" spans="1:13" x14ac:dyDescent="0.2">
      <c r="A228" t="str">
        <f>Inputs!B14</f>
        <v>Base</v>
      </c>
      <c r="B228">
        <f>LoanPool!A228</f>
        <v>227</v>
      </c>
      <c r="C228">
        <f>LoanPool!B228</f>
        <v>18360060.417811383</v>
      </c>
      <c r="D228">
        <f>LoanPool!J228</f>
        <v>18004370.353164691</v>
      </c>
      <c r="E228">
        <f>LoanPool!L228</f>
        <v>80325.2643279248</v>
      </c>
      <c r="F228">
        <f>LoanPool!M228</f>
        <v>350017.50292565738</v>
      </c>
      <c r="G228">
        <f>LoanPool!H228</f>
        <v>5672.5617210329146</v>
      </c>
      <c r="H228">
        <f>Waterfall!X228</f>
        <v>0</v>
      </c>
      <c r="I228">
        <f>Waterfall!Y228</f>
        <v>11067286.467514442</v>
      </c>
      <c r="J228">
        <f>Waterfall!Z228</f>
        <v>6937083.885650266</v>
      </c>
      <c r="K228">
        <f>Waterfall!AA228</f>
        <v>0</v>
      </c>
      <c r="L228">
        <f>Waterfall!AB228</f>
        <v>0</v>
      </c>
      <c r="M228">
        <f>Waterfall!AC228</f>
        <v>0</v>
      </c>
    </row>
    <row r="229" spans="1:13" x14ac:dyDescent="0.2">
      <c r="A229" t="str">
        <f>Inputs!B14</f>
        <v>Base</v>
      </c>
      <c r="B229">
        <f>LoanPool!A229</f>
        <v>228</v>
      </c>
      <c r="C229">
        <f>LoanPool!B229</f>
        <v>18004370.353164691</v>
      </c>
      <c r="D229">
        <f>LoanPool!J229</f>
        <v>17652291.382536333</v>
      </c>
      <c r="E229">
        <f>LoanPool!L229</f>
        <v>78769.120295095519</v>
      </c>
      <c r="F229">
        <f>LoanPool!M229</f>
        <v>346517.33695714973</v>
      </c>
      <c r="G229">
        <f>LoanPool!H229</f>
        <v>5561.633671209941</v>
      </c>
      <c r="H229">
        <f>Waterfall!X229</f>
        <v>0</v>
      </c>
      <c r="I229">
        <f>Waterfall!Y229</f>
        <v>10720769.130557293</v>
      </c>
      <c r="J229">
        <f>Waterfall!Z229</f>
        <v>6931522.2519790558</v>
      </c>
      <c r="K229">
        <f>Waterfall!AA229</f>
        <v>0</v>
      </c>
      <c r="L229">
        <f>Waterfall!AB229</f>
        <v>0</v>
      </c>
      <c r="M229">
        <f>Waterfall!AC229</f>
        <v>0</v>
      </c>
    </row>
    <row r="230" spans="1:13" x14ac:dyDescent="0.2">
      <c r="A230" t="str">
        <f>Inputs!B14</f>
        <v>Base</v>
      </c>
      <c r="B230">
        <f>LoanPool!A230</f>
        <v>229</v>
      </c>
      <c r="C230">
        <f>LoanPool!B230</f>
        <v>17652291.382536333</v>
      </c>
      <c r="D230">
        <f>LoanPool!J230</f>
        <v>17303791.580123629</v>
      </c>
      <c r="E230">
        <f>LoanPool!L230</f>
        <v>77228.774798596467</v>
      </c>
      <c r="F230">
        <f>LoanPool!M230</f>
        <v>343047.96911774506</v>
      </c>
      <c r="G230">
        <f>LoanPool!H230</f>
        <v>5451.8332949581636</v>
      </c>
      <c r="H230">
        <f>Waterfall!X230</f>
        <v>0</v>
      </c>
      <c r="I230">
        <f>Waterfall!Y230</f>
        <v>10377721.161439547</v>
      </c>
      <c r="J230">
        <f>Waterfall!Z230</f>
        <v>6926070.4186840979</v>
      </c>
      <c r="K230">
        <f>Waterfall!AA230</f>
        <v>0</v>
      </c>
      <c r="L230">
        <f>Waterfall!AB230</f>
        <v>0</v>
      </c>
      <c r="M230">
        <f>Waterfall!AC230</f>
        <v>0</v>
      </c>
    </row>
    <row r="231" spans="1:13" x14ac:dyDescent="0.2">
      <c r="A231" t="str">
        <f>Inputs!B14</f>
        <v>Base</v>
      </c>
      <c r="B231">
        <f>LoanPool!A231</f>
        <v>230</v>
      </c>
      <c r="C231">
        <f>LoanPool!B231</f>
        <v>17303791.580123629</v>
      </c>
      <c r="D231">
        <f>LoanPool!J231</f>
        <v>16958839.289334424</v>
      </c>
      <c r="E231">
        <f>LoanPool!L231</f>
        <v>75704.088163040884</v>
      </c>
      <c r="F231">
        <f>LoanPool!M231</f>
        <v>339609.14017083921</v>
      </c>
      <c r="G231">
        <f>LoanPool!H231</f>
        <v>5343.1506183673937</v>
      </c>
      <c r="H231">
        <f>Waterfall!X231</f>
        <v>0</v>
      </c>
      <c r="I231">
        <f>Waterfall!Y231</f>
        <v>10038112.021268709</v>
      </c>
      <c r="J231">
        <f>Waterfall!Z231</f>
        <v>6920727.2680657301</v>
      </c>
      <c r="K231">
        <f>Waterfall!AA231</f>
        <v>0</v>
      </c>
      <c r="L231">
        <f>Waterfall!AB231</f>
        <v>0</v>
      </c>
      <c r="M231">
        <f>Waterfall!AC231</f>
        <v>0</v>
      </c>
    </row>
    <row r="232" spans="1:13" x14ac:dyDescent="0.2">
      <c r="A232" t="str">
        <f>Inputs!B14</f>
        <v>Base</v>
      </c>
      <c r="B232">
        <f>LoanPool!A232</f>
        <v>231</v>
      </c>
      <c r="C232">
        <f>LoanPool!B232</f>
        <v>16958839.289334424</v>
      </c>
      <c r="D232">
        <f>LoanPool!J232</f>
        <v>16617403.12055826</v>
      </c>
      <c r="E232">
        <f>LoanPool!L232</f>
        <v>74194.921890838101</v>
      </c>
      <c r="F232">
        <f>LoanPool!M232</f>
        <v>336200.59302451974</v>
      </c>
      <c r="G232">
        <f>LoanPool!H232</f>
        <v>5235.57575164425</v>
      </c>
      <c r="H232">
        <f>Waterfall!X232</f>
        <v>0</v>
      </c>
      <c r="I232">
        <f>Waterfall!Y232</f>
        <v>9701911.4282441884</v>
      </c>
      <c r="J232">
        <f>Waterfall!Z232</f>
        <v>6915491.6923140856</v>
      </c>
      <c r="K232">
        <f>Waterfall!AA232</f>
        <v>0</v>
      </c>
      <c r="L232">
        <f>Waterfall!AB232</f>
        <v>0</v>
      </c>
      <c r="M232">
        <f>Waterfall!AC232</f>
        <v>0</v>
      </c>
    </row>
    <row r="233" spans="1:13" x14ac:dyDescent="0.2">
      <c r="A233" t="str">
        <f>Inputs!B14</f>
        <v>Base</v>
      </c>
      <c r="B233">
        <f>LoanPool!A233</f>
        <v>232</v>
      </c>
      <c r="C233">
        <f>LoanPool!B233</f>
        <v>16617403.12055826</v>
      </c>
      <c r="D233">
        <f>LoanPool!J233</f>
        <v>16279451.948955897</v>
      </c>
      <c r="E233">
        <f>LoanPool!L233</f>
        <v>72701.138652442402</v>
      </c>
      <c r="F233">
        <f>LoanPool!M233</f>
        <v>332822.07271394698</v>
      </c>
      <c r="G233">
        <f>LoanPool!H233</f>
        <v>5129.0988884157159</v>
      </c>
      <c r="H233">
        <f>Waterfall!X233</f>
        <v>0</v>
      </c>
      <c r="I233">
        <f>Waterfall!Y233</f>
        <v>9369089.3555302415</v>
      </c>
      <c r="J233">
        <f>Waterfall!Z233</f>
        <v>6910362.5934256697</v>
      </c>
      <c r="K233">
        <f>Waterfall!AA233</f>
        <v>0</v>
      </c>
      <c r="L233">
        <f>Waterfall!AB233</f>
        <v>0</v>
      </c>
      <c r="M233">
        <f>Waterfall!AC233</f>
        <v>0</v>
      </c>
    </row>
    <row r="234" spans="1:13" x14ac:dyDescent="0.2">
      <c r="A234" t="str">
        <f>Inputs!B14</f>
        <v>Base</v>
      </c>
      <c r="B234">
        <f>LoanPool!A234</f>
        <v>233</v>
      </c>
      <c r="C234">
        <f>LoanPool!B234</f>
        <v>16279451.948955897</v>
      </c>
      <c r="D234">
        <f>LoanPool!J234</f>
        <v>15944954.912266979</v>
      </c>
      <c r="E234">
        <f>LoanPool!L234</f>
        <v>71222.602276682053</v>
      </c>
      <c r="F234">
        <f>LoanPool!M234</f>
        <v>329473.32638387923</v>
      </c>
      <c r="G234">
        <f>LoanPool!H234</f>
        <v>5023.7103050384048</v>
      </c>
      <c r="H234">
        <f>Waterfall!X234</f>
        <v>0</v>
      </c>
      <c r="I234">
        <f>Waterfall!Y234</f>
        <v>9039616.0291463621</v>
      </c>
      <c r="J234">
        <f>Waterfall!Z234</f>
        <v>6905338.8831206309</v>
      </c>
      <c r="K234">
        <f>Waterfall!AA234</f>
        <v>0</v>
      </c>
      <c r="L234">
        <f>Waterfall!AB234</f>
        <v>0</v>
      </c>
      <c r="M234">
        <f>Waterfall!AC234</f>
        <v>0</v>
      </c>
    </row>
    <row r="235" spans="1:13" x14ac:dyDescent="0.2">
      <c r="A235" t="str">
        <f>Inputs!B14</f>
        <v>Base</v>
      </c>
      <c r="B235">
        <f>LoanPool!A235</f>
        <v>234</v>
      </c>
      <c r="C235">
        <f>LoanPool!B235</f>
        <v>15944954.912266979</v>
      </c>
      <c r="D235">
        <f>LoanPool!J235</f>
        <v>15613881.408635724</v>
      </c>
      <c r="E235">
        <f>LoanPool!L235</f>
        <v>69759.177741168038</v>
      </c>
      <c r="F235">
        <f>LoanPool!M235</f>
        <v>326154.10327134148</v>
      </c>
      <c r="G235">
        <f>LoanPool!H235</f>
        <v>4919.4003599135085</v>
      </c>
      <c r="H235">
        <f>Waterfall!X235</f>
        <v>0</v>
      </c>
      <c r="I235">
        <f>Waterfall!Y235</f>
        <v>8713461.9258750211</v>
      </c>
      <c r="J235">
        <f>Waterfall!Z235</f>
        <v>6900419.4827607172</v>
      </c>
      <c r="K235">
        <f>Waterfall!AA235</f>
        <v>0</v>
      </c>
      <c r="L235">
        <f>Waterfall!AB235</f>
        <v>0</v>
      </c>
      <c r="M235">
        <f>Waterfall!AC235</f>
        <v>0</v>
      </c>
    </row>
    <row r="236" spans="1:13" x14ac:dyDescent="0.2">
      <c r="A236" t="str">
        <f>Inputs!B14</f>
        <v>Base</v>
      </c>
      <c r="B236">
        <f>LoanPool!A236</f>
        <v>235</v>
      </c>
      <c r="C236">
        <f>LoanPool!B236</f>
        <v>15613881.408635724</v>
      </c>
      <c r="D236">
        <f>LoanPool!J236</f>
        <v>15286201.094454482</v>
      </c>
      <c r="E236">
        <f>LoanPool!L236</f>
        <v>68310.731162781289</v>
      </c>
      <c r="F236">
        <f>LoanPool!M236</f>
        <v>322864.15468843526</v>
      </c>
      <c r="G236">
        <f>LoanPool!H236</f>
        <v>4816.1594928073819</v>
      </c>
      <c r="H236">
        <f>Waterfall!X236</f>
        <v>0</v>
      </c>
      <c r="I236">
        <f>Waterfall!Y236</f>
        <v>8390597.7711865865</v>
      </c>
      <c r="J236">
        <f>Waterfall!Z236</f>
        <v>6895603.3232679097</v>
      </c>
      <c r="K236">
        <f>Waterfall!AA236</f>
        <v>0</v>
      </c>
      <c r="L236">
        <f>Waterfall!AB236</f>
        <v>0</v>
      </c>
      <c r="M236">
        <f>Waterfall!AC236</f>
        <v>0</v>
      </c>
    </row>
    <row r="237" spans="1:13" x14ac:dyDescent="0.2">
      <c r="A237" t="str">
        <f>Inputs!B14</f>
        <v>Base</v>
      </c>
      <c r="B237">
        <f>LoanPool!A237</f>
        <v>236</v>
      </c>
      <c r="C237">
        <f>LoanPool!B237</f>
        <v>15286201.094454482</v>
      </c>
      <c r="D237">
        <f>LoanPool!J237</f>
        <v>14961883.882225014</v>
      </c>
      <c r="E237">
        <f>LoanPool!L237</f>
        <v>66877.129788238366</v>
      </c>
      <c r="F237">
        <f>LoanPool!M237</f>
        <v>319603.23400528997</v>
      </c>
      <c r="G237">
        <f>LoanPool!H237</f>
        <v>4713.9782241777011</v>
      </c>
      <c r="H237">
        <f>Waterfall!X237</f>
        <v>0</v>
      </c>
      <c r="I237">
        <f>Waterfall!Y237</f>
        <v>8070994.5371812964</v>
      </c>
      <c r="J237">
        <f>Waterfall!Z237</f>
        <v>6890889.3450437319</v>
      </c>
      <c r="K237">
        <f>Waterfall!AA237</f>
        <v>0</v>
      </c>
      <c r="L237">
        <f>Waterfall!AB237</f>
        <v>0</v>
      </c>
      <c r="M237">
        <f>Waterfall!AC237</f>
        <v>0</v>
      </c>
    </row>
    <row r="238" spans="1:13" x14ac:dyDescent="0.2">
      <c r="A238" t="str">
        <f>Inputs!B14</f>
        <v>Base</v>
      </c>
      <c r="B238">
        <f>LoanPool!A238</f>
        <v>237</v>
      </c>
      <c r="C238">
        <f>LoanPool!B238</f>
        <v>14961883.882225014</v>
      </c>
      <c r="D238">
        <f>LoanPool!J238</f>
        <v>14640899.938437356</v>
      </c>
      <c r="E238">
        <f>LoanPool!L238</f>
        <v>65458.241984734435</v>
      </c>
      <c r="F238">
        <f>LoanPool!M238</f>
        <v>316371.09663315432</v>
      </c>
      <c r="G238">
        <f>LoanPool!H238</f>
        <v>4612.8471545051643</v>
      </c>
      <c r="H238">
        <f>Waterfall!X238</f>
        <v>0</v>
      </c>
      <c r="I238">
        <f>Waterfall!Y238</f>
        <v>7754623.4405481424</v>
      </c>
      <c r="J238">
        <f>Waterfall!Z238</f>
        <v>6886276.4978892263</v>
      </c>
      <c r="K238">
        <f>Waterfall!AA238</f>
        <v>0</v>
      </c>
      <c r="L238">
        <f>Waterfall!AB238</f>
        <v>0</v>
      </c>
      <c r="M238">
        <f>Waterfall!AC238</f>
        <v>0</v>
      </c>
    </row>
    <row r="239" spans="1:13" x14ac:dyDescent="0.2">
      <c r="A239" t="str">
        <f>Inputs!B14</f>
        <v>Base</v>
      </c>
      <c r="B239">
        <f>LoanPool!A239</f>
        <v>238</v>
      </c>
      <c r="C239">
        <f>LoanPool!B239</f>
        <v>14640899.938437356</v>
      </c>
      <c r="D239">
        <f>LoanPool!J239</f>
        <v>14323219.681466101</v>
      </c>
      <c r="E239">
        <f>LoanPool!L239</f>
        <v>64053.937230663432</v>
      </c>
      <c r="F239">
        <f>LoanPool!M239</f>
        <v>313167.50000762468</v>
      </c>
      <c r="G239">
        <f>LoanPool!H239</f>
        <v>4512.7569636306862</v>
      </c>
      <c r="H239">
        <f>Waterfall!X239</f>
        <v>0</v>
      </c>
      <c r="I239">
        <f>Waterfall!Y239</f>
        <v>7441455.9405405177</v>
      </c>
      <c r="J239">
        <f>Waterfall!Z239</f>
        <v>6881763.7409255952</v>
      </c>
      <c r="K239">
        <f>Waterfall!AA239</f>
        <v>0</v>
      </c>
      <c r="L239">
        <f>Waterfall!AB239</f>
        <v>0</v>
      </c>
      <c r="M239">
        <f>Waterfall!AC239</f>
        <v>0</v>
      </c>
    </row>
    <row r="240" spans="1:13" x14ac:dyDescent="0.2">
      <c r="A240" t="str">
        <f>Inputs!B14</f>
        <v>Base</v>
      </c>
      <c r="B240">
        <f>LoanPool!A240</f>
        <v>239</v>
      </c>
      <c r="C240">
        <f>LoanPool!B240</f>
        <v>14323219.681466101</v>
      </c>
      <c r="D240">
        <f>LoanPool!J240</f>
        <v>14008813.779483991</v>
      </c>
      <c r="E240">
        <f>LoanPool!L240</f>
        <v>62664.086106414194</v>
      </c>
      <c r="F240">
        <f>LoanPool!M240</f>
        <v>309992.20357201266</v>
      </c>
      <c r="G240">
        <f>LoanPool!H240</f>
        <v>4413.6984100980408</v>
      </c>
      <c r="H240">
        <f>Waterfall!X240</f>
        <v>0</v>
      </c>
      <c r="I240">
        <f>Waterfall!Y240</f>
        <v>7131463.7369685052</v>
      </c>
      <c r="J240">
        <f>Waterfall!Z240</f>
        <v>6877350.0425154967</v>
      </c>
      <c r="K240">
        <f>Waterfall!AA240</f>
        <v>0</v>
      </c>
      <c r="L240">
        <f>Waterfall!AB240</f>
        <v>0</v>
      </c>
      <c r="M240">
        <f>Waterfall!AC240</f>
        <v>0</v>
      </c>
    </row>
    <row r="241" spans="1:13" x14ac:dyDescent="0.2">
      <c r="A241" t="str">
        <f>Inputs!B14</f>
        <v>Base</v>
      </c>
      <c r="B241">
        <f>LoanPool!A241</f>
        <v>240</v>
      </c>
      <c r="C241">
        <f>LoanPool!B241</f>
        <v>14008813.779483991</v>
      </c>
      <c r="D241">
        <f>LoanPool!J241</f>
        <v>13697653.14839264</v>
      </c>
      <c r="E241">
        <f>LoanPool!L241</f>
        <v>61288.560285242464</v>
      </c>
      <c r="F241">
        <f>LoanPool!M241</f>
        <v>306844.96876084793</v>
      </c>
      <c r="G241">
        <f>LoanPool!H241</f>
        <v>4315.6623305019011</v>
      </c>
      <c r="H241">
        <f>Waterfall!X241</f>
        <v>0</v>
      </c>
      <c r="I241">
        <f>Waterfall!Y241</f>
        <v>6824618.7682076572</v>
      </c>
      <c r="J241">
        <f>Waterfall!Z241</f>
        <v>6873034.380184995</v>
      </c>
      <c r="K241">
        <f>Waterfall!AA241</f>
        <v>0</v>
      </c>
      <c r="L241">
        <f>Waterfall!AB241</f>
        <v>0</v>
      </c>
      <c r="M241">
        <f>Waterfall!AC241</f>
        <v>0</v>
      </c>
    </row>
    <row r="242" spans="1:13" x14ac:dyDescent="0.2">
      <c r="A242" t="str">
        <f>Inputs!B14</f>
        <v>Base</v>
      </c>
      <c r="B242">
        <f>LoanPool!A242</f>
        <v>241</v>
      </c>
      <c r="C242">
        <f>LoanPool!B242</f>
        <v>13697653.14839264</v>
      </c>
      <c r="D242">
        <f>LoanPool!J242</f>
        <v>13389708.949770283</v>
      </c>
      <c r="E242">
        <f>LoanPool!L242</f>
        <v>59927.232524217805</v>
      </c>
      <c r="F242">
        <f>LoanPool!M242</f>
        <v>303725.55898351606</v>
      </c>
      <c r="G242">
        <f>LoanPool!H242</f>
        <v>4218.6396388412459</v>
      </c>
      <c r="H242">
        <f>Waterfall!X242</f>
        <v>0</v>
      </c>
      <c r="I242">
        <f>Waterfall!Y242</f>
        <v>6520893.2092241412</v>
      </c>
      <c r="J242">
        <f>Waterfall!Z242</f>
        <v>6868815.7405461539</v>
      </c>
      <c r="K242">
        <f>Waterfall!AA242</f>
        <v>0</v>
      </c>
      <c r="L242">
        <f>Waterfall!AB242</f>
        <v>0</v>
      </c>
      <c r="M242">
        <f>Waterfall!AC242</f>
        <v>0</v>
      </c>
    </row>
    <row r="243" spans="1:13" x14ac:dyDescent="0.2">
      <c r="A243" t="str">
        <f>Inputs!B14</f>
        <v>Base</v>
      </c>
      <c r="B243">
        <f>LoanPool!A243</f>
        <v>242</v>
      </c>
      <c r="C243">
        <f>LoanPool!B243</f>
        <v>13389708.949770283</v>
      </c>
      <c r="D243">
        <f>LoanPool!J243</f>
        <v>13084952.588836374</v>
      </c>
      <c r="E243">
        <f>LoanPool!L243</f>
        <v>58579.976655244995</v>
      </c>
      <c r="F243">
        <f>LoanPool!M243</f>
        <v>300633.73960803123</v>
      </c>
      <c r="G243">
        <f>LoanPool!H243</f>
        <v>4122.6213258780763</v>
      </c>
      <c r="H243">
        <f>Waterfall!X243</f>
        <v>0</v>
      </c>
      <c r="I243">
        <f>Waterfall!Y243</f>
        <v>6220259.4696161095</v>
      </c>
      <c r="J243">
        <f>Waterfall!Z243</f>
        <v>6864693.1192202754</v>
      </c>
      <c r="K243">
        <f>Waterfall!AA243</f>
        <v>0</v>
      </c>
      <c r="L243">
        <f>Waterfall!AB243</f>
        <v>0</v>
      </c>
      <c r="M243">
        <f>Waterfall!AC243</f>
        <v>0</v>
      </c>
    </row>
    <row r="244" spans="1:13" x14ac:dyDescent="0.2">
      <c r="A244" t="str">
        <f>Inputs!B14</f>
        <v>Base</v>
      </c>
      <c r="B244">
        <f>LoanPool!A244</f>
        <v>243</v>
      </c>
      <c r="C244">
        <f>LoanPool!B244</f>
        <v>13084952.588836374</v>
      </c>
      <c r="D244">
        <f>LoanPool!J244</f>
        <v>12783355.712432932</v>
      </c>
      <c r="E244">
        <f>LoanPool!L244</f>
        <v>57246.66757615914</v>
      </c>
      <c r="F244">
        <f>LoanPool!M244</f>
        <v>297569.27794494067</v>
      </c>
      <c r="G244">
        <f>LoanPool!H244</f>
        <v>4027.5984585014039</v>
      </c>
      <c r="H244">
        <f>Waterfall!X244</f>
        <v>0</v>
      </c>
      <c r="I244">
        <f>Waterfall!Y244</f>
        <v>5922690.1916711684</v>
      </c>
      <c r="J244">
        <f>Waterfall!Z244</f>
        <v>6860665.5207617739</v>
      </c>
      <c r="K244">
        <f>Waterfall!AA244</f>
        <v>0</v>
      </c>
      <c r="L244">
        <f>Waterfall!AB244</f>
        <v>0</v>
      </c>
      <c r="M244">
        <f>Waterfall!AC244</f>
        <v>0</v>
      </c>
    </row>
    <row r="245" spans="1:13" x14ac:dyDescent="0.2">
      <c r="A245" t="str">
        <f>Inputs!B14</f>
        <v>Base</v>
      </c>
      <c r="B245">
        <f>LoanPool!A245</f>
        <v>244</v>
      </c>
      <c r="C245">
        <f>LoanPool!B245</f>
        <v>12783355.712432932</v>
      </c>
      <c r="D245">
        <f>LoanPool!J245</f>
        <v>12484890.207022473</v>
      </c>
      <c r="E245">
        <f>LoanPool!L245</f>
        <v>55927.181241894083</v>
      </c>
      <c r="F245">
        <f>LoanPool!M245</f>
        <v>294531.94323136233</v>
      </c>
      <c r="G245">
        <f>LoanPool!H245</f>
        <v>3933.5621790964697</v>
      </c>
      <c r="H245">
        <f>Waterfall!X245</f>
        <v>0</v>
      </c>
      <c r="I245">
        <f>Waterfall!Y245</f>
        <v>5628158.2484398065</v>
      </c>
      <c r="J245">
        <f>Waterfall!Z245</f>
        <v>6856731.9585826779</v>
      </c>
      <c r="K245">
        <f>Waterfall!AA245</f>
        <v>0</v>
      </c>
      <c r="L245">
        <f>Waterfall!AB245</f>
        <v>0</v>
      </c>
      <c r="M245">
        <f>Waterfall!AC245</f>
        <v>0</v>
      </c>
    </row>
    <row r="246" spans="1:13" x14ac:dyDescent="0.2">
      <c r="A246" t="str">
        <f>Inputs!B14</f>
        <v>Base</v>
      </c>
      <c r="B246">
        <f>LoanPool!A246</f>
        <v>245</v>
      </c>
      <c r="C246">
        <f>LoanPool!B246</f>
        <v>12484890.207022473</v>
      </c>
      <c r="D246">
        <f>LoanPool!J246</f>
        <v>12189528.196702402</v>
      </c>
      <c r="E246">
        <f>LoanPool!L246</f>
        <v>54621.394655723321</v>
      </c>
      <c r="F246">
        <f>LoanPool!M246</f>
        <v>291521.50661515241</v>
      </c>
      <c r="G246">
        <f>LoanPool!H246</f>
        <v>3840.5037049191455</v>
      </c>
      <c r="H246">
        <f>Waterfall!X246</f>
        <v>0</v>
      </c>
      <c r="I246">
        <f>Waterfall!Y246</f>
        <v>5336636.7418246539</v>
      </c>
      <c r="J246">
        <f>Waterfall!Z246</f>
        <v>6852891.4548777584</v>
      </c>
      <c r="K246">
        <f>Waterfall!AA246</f>
        <v>0</v>
      </c>
      <c r="L246">
        <f>Waterfall!AB246</f>
        <v>0</v>
      </c>
      <c r="M246">
        <f>Waterfall!AC246</f>
        <v>0</v>
      </c>
    </row>
    <row r="247" spans="1:13" x14ac:dyDescent="0.2">
      <c r="A247" t="str">
        <f>Inputs!B14</f>
        <v>Base</v>
      </c>
      <c r="B247">
        <f>LoanPool!A247</f>
        <v>246</v>
      </c>
      <c r="C247">
        <f>LoanPool!B247</f>
        <v>12189528.196702402</v>
      </c>
      <c r="D247">
        <f>LoanPool!J247</f>
        <v>11897242.041235724</v>
      </c>
      <c r="E247">
        <f>LoanPool!L247</f>
        <v>53329.185860573016</v>
      </c>
      <c r="F247">
        <f>LoanPool!M247</f>
        <v>288537.74113920238</v>
      </c>
      <c r="G247">
        <f>LoanPool!H247</f>
        <v>3748.4143274754779</v>
      </c>
      <c r="H247">
        <f>Waterfall!X247</f>
        <v>0</v>
      </c>
      <c r="I247">
        <f>Waterfall!Y247</f>
        <v>5048099.0006854516</v>
      </c>
      <c r="J247">
        <f>Waterfall!Z247</f>
        <v>6849143.0405502832</v>
      </c>
      <c r="K247">
        <f>Waterfall!AA247</f>
        <v>0</v>
      </c>
      <c r="L247">
        <f>Waterfall!AB247</f>
        <v>0</v>
      </c>
      <c r="M247">
        <f>Waterfall!AC247</f>
        <v>0</v>
      </c>
    </row>
    <row r="248" spans="1:13" x14ac:dyDescent="0.2">
      <c r="A248" t="str">
        <f>Inputs!B14</f>
        <v>Base</v>
      </c>
      <c r="B248">
        <f>LoanPool!A248</f>
        <v>247</v>
      </c>
      <c r="C248">
        <f>LoanPool!B248</f>
        <v>11897242.041235724</v>
      </c>
      <c r="D248">
        <f>LoanPool!J248</f>
        <v>11608004.334097952</v>
      </c>
      <c r="E248">
        <f>LoanPool!L248</f>
        <v>52050.433930406296</v>
      </c>
      <c r="F248">
        <f>LoanPool!M248</f>
        <v>285580.42172586592</v>
      </c>
      <c r="G248">
        <f>LoanPool!H248</f>
        <v>3657.2854119063395</v>
      </c>
      <c r="H248">
        <f>Waterfall!X248</f>
        <v>0</v>
      </c>
      <c r="I248">
        <f>Waterfall!Y248</f>
        <v>4762518.5789595861</v>
      </c>
      <c r="J248">
        <f>Waterfall!Z248</f>
        <v>6845485.7551383767</v>
      </c>
      <c r="K248">
        <f>Waterfall!AA248</f>
        <v>0</v>
      </c>
      <c r="L248">
        <f>Waterfall!AB248</f>
        <v>0</v>
      </c>
      <c r="M248">
        <f>Waterfall!AC248</f>
        <v>0</v>
      </c>
    </row>
    <row r="249" spans="1:13" x14ac:dyDescent="0.2">
      <c r="A249" t="str">
        <f>Inputs!B14</f>
        <v>Base</v>
      </c>
      <c r="B249">
        <f>LoanPool!A249</f>
        <v>248</v>
      </c>
      <c r="C249">
        <f>LoanPool!B249</f>
        <v>11608004.334097952</v>
      </c>
      <c r="D249">
        <f>LoanPool!J249</f>
        <v>11321787.900540063</v>
      </c>
      <c r="E249">
        <f>LoanPool!L249</f>
        <v>50785.018961678543</v>
      </c>
      <c r="F249">
        <f>LoanPool!M249</f>
        <v>282649.32516151195</v>
      </c>
      <c r="G249">
        <f>LoanPool!H249</f>
        <v>3567.1083963771252</v>
      </c>
      <c r="H249">
        <f>Waterfall!X249</f>
        <v>0</v>
      </c>
      <c r="I249">
        <f>Waterfall!Y249</f>
        <v>4479869.2537980741</v>
      </c>
      <c r="J249">
        <f>Waterfall!Z249</f>
        <v>6841918.6467419993</v>
      </c>
      <c r="K249">
        <f>Waterfall!AA249</f>
        <v>0</v>
      </c>
      <c r="L249">
        <f>Waterfall!AB249</f>
        <v>0</v>
      </c>
      <c r="M249">
        <f>Waterfall!AC249</f>
        <v>0</v>
      </c>
    </row>
    <row r="250" spans="1:13" x14ac:dyDescent="0.2">
      <c r="A250" t="str">
        <f>Inputs!B14</f>
        <v>Base</v>
      </c>
      <c r="B250">
        <f>LoanPool!A250</f>
        <v>249</v>
      </c>
      <c r="C250">
        <f>LoanPool!B250</f>
        <v>11321787.900540063</v>
      </c>
      <c r="D250">
        <f>LoanPool!J250</f>
        <v>11038565.795667386</v>
      </c>
      <c r="E250">
        <f>LoanPool!L250</f>
        <v>49532.822064862783</v>
      </c>
      <c r="F250">
        <f>LoanPool!M250</f>
        <v>279744.23008120491</v>
      </c>
      <c r="G250">
        <f>LoanPool!H250</f>
        <v>3477.874791472485</v>
      </c>
      <c r="H250">
        <f>Waterfall!X250</f>
        <v>0</v>
      </c>
      <c r="I250">
        <f>Waterfall!Y250</f>
        <v>4200125.0237168688</v>
      </c>
      <c r="J250">
        <f>Waterfall!Z250</f>
        <v>6838440.7719505271</v>
      </c>
      <c r="K250">
        <f>Waterfall!AA250</f>
        <v>0</v>
      </c>
      <c r="L250">
        <f>Waterfall!AB250</f>
        <v>0</v>
      </c>
      <c r="M250">
        <f>Waterfall!AC250</f>
        <v>0</v>
      </c>
    </row>
    <row r="251" spans="1:13" x14ac:dyDescent="0.2">
      <c r="A251" t="str">
        <f>Inputs!B14</f>
        <v>Base</v>
      </c>
      <c r="B251">
        <f>LoanPool!A251</f>
        <v>250</v>
      </c>
      <c r="C251">
        <f>LoanPool!B251</f>
        <v>11038565.795667386</v>
      </c>
      <c r="D251">
        <f>LoanPool!J251</f>
        <v>10758311.302534278</v>
      </c>
      <c r="E251">
        <f>LoanPool!L251</f>
        <v>48293.725356044815</v>
      </c>
      <c r="F251">
        <f>LoanPool!M251</f>
        <v>276864.9169535113</v>
      </c>
      <c r="G251">
        <f>LoanPool!H251</f>
        <v>3389.5761795960129</v>
      </c>
      <c r="H251">
        <f>Waterfall!X251</f>
        <v>0</v>
      </c>
      <c r="I251">
        <f>Waterfall!Y251</f>
        <v>3923260.1067633573</v>
      </c>
      <c r="J251">
        <f>Waterfall!Z251</f>
        <v>6835051.1957709314</v>
      </c>
      <c r="K251">
        <f>Waterfall!AA251</f>
        <v>0</v>
      </c>
      <c r="L251">
        <f>Waterfall!AB251</f>
        <v>0</v>
      </c>
      <c r="M251">
        <f>Waterfall!AC251</f>
        <v>0</v>
      </c>
    </row>
    <row r="252" spans="1:13" x14ac:dyDescent="0.2">
      <c r="A252" t="str">
        <f>Inputs!B14</f>
        <v>Base</v>
      </c>
      <c r="B252">
        <f>LoanPool!A252</f>
        <v>251</v>
      </c>
      <c r="C252">
        <f>LoanPool!B252</f>
        <v>10758311.302534278</v>
      </c>
      <c r="D252">
        <f>LoanPool!J252</f>
        <v>10480997.930254474</v>
      </c>
      <c r="E252">
        <f>LoanPool!L252</f>
        <v>47067.611948587466</v>
      </c>
      <c r="F252">
        <f>LoanPool!M252</f>
        <v>274011.16806542873</v>
      </c>
      <c r="G252">
        <f>LoanPool!H252</f>
        <v>3302.2042143748881</v>
      </c>
      <c r="H252">
        <f>Waterfall!X252</f>
        <v>0</v>
      </c>
      <c r="I252">
        <f>Waterfall!Y252</f>
        <v>3649248.9386979286</v>
      </c>
      <c r="J252">
        <f>Waterfall!Z252</f>
        <v>6831748.9915565569</v>
      </c>
      <c r="K252">
        <f>Waterfall!AA252</f>
        <v>0</v>
      </c>
      <c r="L252">
        <f>Waterfall!AB252</f>
        <v>0</v>
      </c>
      <c r="M252">
        <f>Waterfall!AC252</f>
        <v>0</v>
      </c>
    </row>
    <row r="253" spans="1:13" x14ac:dyDescent="0.2">
      <c r="A253" t="str">
        <f>Inputs!B14</f>
        <v>Base</v>
      </c>
      <c r="B253">
        <f>LoanPool!A253</f>
        <v>252</v>
      </c>
      <c r="C253">
        <f>LoanPool!B253</f>
        <v>10480997.930254474</v>
      </c>
      <c r="D253">
        <f>LoanPool!J253</f>
        <v>10206599.412126964</v>
      </c>
      <c r="E253">
        <f>LoanPool!L253</f>
        <v>45854.365944863333</v>
      </c>
      <c r="F253">
        <f>LoanPool!M253</f>
        <v>271182.76750744059</v>
      </c>
      <c r="G253">
        <f>LoanPool!H253</f>
        <v>3215.7506200693988</v>
      </c>
      <c r="H253">
        <f>Waterfall!X253</f>
        <v>0</v>
      </c>
      <c r="I253">
        <f>Waterfall!Y253</f>
        <v>3378066.1711904882</v>
      </c>
      <c r="J253">
        <f>Waterfall!Z253</f>
        <v>6828533.2409364879</v>
      </c>
      <c r="K253">
        <f>Waterfall!AA253</f>
        <v>0</v>
      </c>
      <c r="L253">
        <f>Waterfall!AB253</f>
        <v>0</v>
      </c>
      <c r="M253">
        <f>Waterfall!AC253</f>
        <v>0</v>
      </c>
    </row>
    <row r="254" spans="1:13" x14ac:dyDescent="0.2">
      <c r="A254" t="str">
        <f>Inputs!B14</f>
        <v>Base</v>
      </c>
      <c r="B254">
        <f>LoanPool!A254</f>
        <v>253</v>
      </c>
      <c r="C254">
        <f>LoanPool!B254</f>
        <v>10206599.412126964</v>
      </c>
      <c r="D254">
        <f>LoanPool!J254</f>
        <v>9935089.7037772853</v>
      </c>
      <c r="E254">
        <f>LoanPool!L254</f>
        <v>44653.872428055474</v>
      </c>
      <c r="F254">
        <f>LoanPool!M254</f>
        <v>268379.50115869159</v>
      </c>
      <c r="G254">
        <f>LoanPool!H254</f>
        <v>3130.2071909873325</v>
      </c>
      <c r="H254">
        <f>Waterfall!X254</f>
        <v>0</v>
      </c>
      <c r="I254">
        <f>Waterfall!Y254</f>
        <v>3109686.6700317967</v>
      </c>
      <c r="J254">
        <f>Waterfall!Z254</f>
        <v>6825403.0337455003</v>
      </c>
      <c r="K254">
        <f>Waterfall!AA254</f>
        <v>0</v>
      </c>
      <c r="L254">
        <f>Waterfall!AB254</f>
        <v>0</v>
      </c>
      <c r="M254">
        <f>Waterfall!AC254</f>
        <v>0</v>
      </c>
    </row>
    <row r="255" spans="1:13" x14ac:dyDescent="0.2">
      <c r="A255" t="str">
        <f>Inputs!B14</f>
        <v>Base</v>
      </c>
      <c r="B255">
        <f>LoanPool!A255</f>
        <v>254</v>
      </c>
      <c r="C255">
        <f>LoanPool!B255</f>
        <v>9935089.7037772853</v>
      </c>
      <c r="D255">
        <f>LoanPool!J255</f>
        <v>9666442.9813140966</v>
      </c>
      <c r="E255">
        <f>LoanPool!L255</f>
        <v>43466.017454025627</v>
      </c>
      <c r="F255">
        <f>LoanPool!M255</f>
        <v>265601.15667228593</v>
      </c>
      <c r="G255">
        <f>LoanPool!H255</f>
        <v>3045.5657909031702</v>
      </c>
      <c r="H255">
        <f>Waterfall!X255</f>
        <v>0</v>
      </c>
      <c r="I255">
        <f>Waterfall!Y255</f>
        <v>2844085.5133595108</v>
      </c>
      <c r="J255">
        <f>Waterfall!Z255</f>
        <v>6822357.4679545974</v>
      </c>
      <c r="K255">
        <f>Waterfall!AA255</f>
        <v>0</v>
      </c>
      <c r="L255">
        <f>Waterfall!AB255</f>
        <v>0</v>
      </c>
      <c r="M255">
        <f>Waterfall!AC255</f>
        <v>0</v>
      </c>
    </row>
    <row r="256" spans="1:13" x14ac:dyDescent="0.2">
      <c r="A256" t="str">
        <f>Inputs!B14</f>
        <v>Base</v>
      </c>
      <c r="B256">
        <f>LoanPool!A256</f>
        <v>255</v>
      </c>
      <c r="C256">
        <f>LoanPool!B256</f>
        <v>9666442.9813140966</v>
      </c>
      <c r="D256">
        <f>LoanPool!J256</f>
        <v>9400633.6395009104</v>
      </c>
      <c r="E256">
        <f>LoanPool!L256</f>
        <v>42290.688043249174</v>
      </c>
      <c r="F256">
        <f>LoanPool!M256</f>
        <v>262847.52346070501</v>
      </c>
      <c r="G256">
        <f>LoanPool!H256</f>
        <v>2961.8183524820652</v>
      </c>
      <c r="H256">
        <f>Waterfall!X256</f>
        <v>0</v>
      </c>
      <c r="I256">
        <f>Waterfall!Y256</f>
        <v>2581237.989898806</v>
      </c>
      <c r="J256">
        <f>Waterfall!Z256</f>
        <v>6819395.6496021152</v>
      </c>
      <c r="K256">
        <f>Waterfall!AA256</f>
        <v>0</v>
      </c>
      <c r="L256">
        <f>Waterfall!AB256</f>
        <v>0</v>
      </c>
      <c r="M256">
        <f>Waterfall!AC256</f>
        <v>0</v>
      </c>
    </row>
    <row r="257" spans="1:13" x14ac:dyDescent="0.2">
      <c r="A257" t="str">
        <f>Inputs!B14</f>
        <v>Base</v>
      </c>
      <c r="B257">
        <f>LoanPool!A257</f>
        <v>256</v>
      </c>
      <c r="C257">
        <f>LoanPool!B257</f>
        <v>9400633.6395009104</v>
      </c>
      <c r="D257">
        <f>LoanPool!J257</f>
        <v>9137636.2899428569</v>
      </c>
      <c r="E257">
        <f>LoanPool!L257</f>
        <v>41127.772172816491</v>
      </c>
      <c r="F257">
        <f>LoanPool!M257</f>
        <v>260118.39268134505</v>
      </c>
      <c r="G257">
        <f>LoanPool!H257</f>
        <v>2878.956876708552</v>
      </c>
      <c r="H257">
        <f>Waterfall!X257</f>
        <v>0</v>
      </c>
      <c r="I257">
        <f>Waterfall!Y257</f>
        <v>2321119.5972174611</v>
      </c>
      <c r="J257">
        <f>Waterfall!Z257</f>
        <v>6816516.692725407</v>
      </c>
      <c r="K257">
        <f>Waterfall!AA257</f>
        <v>0</v>
      </c>
      <c r="L257">
        <f>Waterfall!AB257</f>
        <v>0</v>
      </c>
      <c r="M257">
        <f>Waterfall!AC257</f>
        <v>0</v>
      </c>
    </row>
    <row r="258" spans="1:13" x14ac:dyDescent="0.2">
      <c r="A258" t="str">
        <f>Inputs!B14</f>
        <v>Base</v>
      </c>
      <c r="B258">
        <f>LoanPool!A258</f>
        <v>257</v>
      </c>
      <c r="C258">
        <f>LoanPool!B258</f>
        <v>9137636.2899428569</v>
      </c>
      <c r="D258">
        <f>LoanPool!J258</f>
        <v>8877425.7592883632</v>
      </c>
      <c r="E258">
        <f>LoanPool!L258</f>
        <v>39977.158768500005</v>
      </c>
      <c r="F258">
        <f>LoanPool!M258</f>
        <v>257413.55722217294</v>
      </c>
      <c r="G258">
        <f>LoanPool!H258</f>
        <v>2796.9734323199573</v>
      </c>
      <c r="H258">
        <f>Waterfall!X258</f>
        <v>0</v>
      </c>
      <c r="I258">
        <f>Waterfall!Y258</f>
        <v>2063706.0399952882</v>
      </c>
      <c r="J258">
        <f>Waterfall!Z258</f>
        <v>6813719.7192930868</v>
      </c>
      <c r="K258">
        <f>Waterfall!AA258</f>
        <v>0</v>
      </c>
      <c r="L258">
        <f>Waterfall!AB258</f>
        <v>0</v>
      </c>
      <c r="M258">
        <f>Waterfall!AC258</f>
        <v>0</v>
      </c>
    </row>
    <row r="259" spans="1:13" x14ac:dyDescent="0.2">
      <c r="A259" t="str">
        <f>Inputs!B14</f>
        <v>Base</v>
      </c>
      <c r="B259">
        <f>LoanPool!A259</f>
        <v>258</v>
      </c>
      <c r="C259">
        <f>LoanPool!B259</f>
        <v>8877425.7592883632</v>
      </c>
      <c r="D259">
        <f>LoanPool!J259</f>
        <v>8619977.0874456186</v>
      </c>
      <c r="E259">
        <f>LoanPool!L259</f>
        <v>38838.737696886594</v>
      </c>
      <c r="F259">
        <f>LoanPool!M259</f>
        <v>254732.81168750045</v>
      </c>
      <c r="G259">
        <f>LoanPool!H259</f>
        <v>2715.8601552444707</v>
      </c>
      <c r="H259">
        <f>Waterfall!X259</f>
        <v>0</v>
      </c>
      <c r="I259">
        <f>Waterfall!Y259</f>
        <v>1808973.2283077878</v>
      </c>
      <c r="J259">
        <f>Waterfall!Z259</f>
        <v>6811003.8591378424</v>
      </c>
      <c r="K259">
        <f>Waterfall!AA259</f>
        <v>0</v>
      </c>
      <c r="L259">
        <f>Waterfall!AB259</f>
        <v>0</v>
      </c>
      <c r="M259">
        <f>Waterfall!AC259</f>
        <v>0</v>
      </c>
    </row>
    <row r="260" spans="1:13" x14ac:dyDescent="0.2">
      <c r="A260" t="str">
        <f>Inputs!B14</f>
        <v>Base</v>
      </c>
      <c r="B260">
        <f>LoanPool!A260</f>
        <v>259</v>
      </c>
      <c r="C260">
        <f>LoanPool!B260</f>
        <v>8619977.0874456186</v>
      </c>
      <c r="D260">
        <f>LoanPool!J260</f>
        <v>8365265.5258137006</v>
      </c>
      <c r="E260">
        <f>LoanPool!L260</f>
        <v>37712.399757574582</v>
      </c>
      <c r="F260">
        <f>LoanPool!M260</f>
        <v>252075.9523838739</v>
      </c>
      <c r="G260">
        <f>LoanPool!H260</f>
        <v>2635.6092480438328</v>
      </c>
      <c r="H260">
        <f>Waterfall!X260</f>
        <v>0</v>
      </c>
      <c r="I260">
        <f>Waterfall!Y260</f>
        <v>1556897.2759239138</v>
      </c>
      <c r="J260">
        <f>Waterfall!Z260</f>
        <v>6808368.2498897985</v>
      </c>
      <c r="K260">
        <f>Waterfall!AA260</f>
        <v>0</v>
      </c>
      <c r="L260">
        <f>Waterfall!AB260</f>
        <v>0</v>
      </c>
      <c r="M260">
        <f>Waterfall!AC260</f>
        <v>0</v>
      </c>
    </row>
    <row r="261" spans="1:13" x14ac:dyDescent="0.2">
      <c r="A261" t="str">
        <f>Inputs!B14</f>
        <v>Base</v>
      </c>
      <c r="B261">
        <f>LoanPool!A261</f>
        <v>260</v>
      </c>
      <c r="C261">
        <f>LoanPool!B261</f>
        <v>8365265.5258137006</v>
      </c>
      <c r="D261">
        <f>LoanPool!J261</f>
        <v>8113266.5355282603</v>
      </c>
      <c r="E261">
        <f>LoanPool!L261</f>
        <v>36598.036675434938</v>
      </c>
      <c r="F261">
        <f>LoanPool!M261</f>
        <v>249442.77730607963</v>
      </c>
      <c r="G261">
        <f>LoanPool!H261</f>
        <v>2556.2129793606086</v>
      </c>
      <c r="H261">
        <f>Waterfall!X261</f>
        <v>0</v>
      </c>
      <c r="I261">
        <f>Waterfall!Y261</f>
        <v>1307454.4986178342</v>
      </c>
      <c r="J261">
        <f>Waterfall!Z261</f>
        <v>6805812.036910438</v>
      </c>
      <c r="K261">
        <f>Waterfall!AA261</f>
        <v>0</v>
      </c>
      <c r="L261">
        <f>Waterfall!AB261</f>
        <v>0</v>
      </c>
      <c r="M261">
        <f>Waterfall!AC261</f>
        <v>0</v>
      </c>
    </row>
    <row r="262" spans="1:13" x14ac:dyDescent="0.2">
      <c r="A262" t="str">
        <f>Inputs!B14</f>
        <v>Base</v>
      </c>
      <c r="B262">
        <f>LoanPool!A262</f>
        <v>261</v>
      </c>
      <c r="C262">
        <f>LoanPool!B262</f>
        <v>8113266.5355282603</v>
      </c>
      <c r="D262">
        <f>LoanPool!J262</f>
        <v>7863955.7857216252</v>
      </c>
      <c r="E262">
        <f>LoanPool!L262</f>
        <v>35495.541092936139</v>
      </c>
      <c r="F262">
        <f>LoanPool!M262</f>
        <v>246833.08612326536</v>
      </c>
      <c r="G262">
        <f>LoanPool!H262</f>
        <v>2477.6636833700081</v>
      </c>
      <c r="H262">
        <f>Waterfall!X262</f>
        <v>0</v>
      </c>
      <c r="I262">
        <f>Waterfall!Y262</f>
        <v>1060621.4124945689</v>
      </c>
      <c r="J262">
        <f>Waterfall!Z262</f>
        <v>6803334.3732270682</v>
      </c>
      <c r="K262">
        <f>Waterfall!AA262</f>
        <v>0</v>
      </c>
      <c r="L262">
        <f>Waterfall!AB262</f>
        <v>0</v>
      </c>
      <c r="M262">
        <f>Waterfall!AC262</f>
        <v>0</v>
      </c>
    </row>
    <row r="263" spans="1:13" x14ac:dyDescent="0.2">
      <c r="A263" t="str">
        <f>Inputs!B14</f>
        <v>Base</v>
      </c>
      <c r="B263">
        <f>LoanPool!A263</f>
        <v>262</v>
      </c>
      <c r="C263">
        <f>LoanPool!B263</f>
        <v>7863955.7857216252</v>
      </c>
      <c r="D263">
        <f>LoanPool!J263</f>
        <v>7617309.1517972155</v>
      </c>
      <c r="E263">
        <f>LoanPool!L263</f>
        <v>34404.806562532118</v>
      </c>
      <c r="F263">
        <f>LoanPool!M263</f>
        <v>244246.68016517325</v>
      </c>
      <c r="G263">
        <f>LoanPool!H263</f>
        <v>2399.9537592362103</v>
      </c>
      <c r="H263">
        <f>Waterfall!X263</f>
        <v>0</v>
      </c>
      <c r="I263">
        <f>Waterfall!Y263</f>
        <v>816374.7323293956</v>
      </c>
      <c r="J263">
        <f>Waterfall!Z263</f>
        <v>6800934.419467832</v>
      </c>
      <c r="K263">
        <f>Waterfall!AA263</f>
        <v>0</v>
      </c>
      <c r="L263">
        <f>Waterfall!AB263</f>
        <v>0</v>
      </c>
      <c r="M263">
        <f>Waterfall!AC263</f>
        <v>0</v>
      </c>
    </row>
    <row r="264" spans="1:13" x14ac:dyDescent="0.2">
      <c r="A264" t="str">
        <f>Inputs!B14</f>
        <v>Base</v>
      </c>
      <c r="B264">
        <f>LoanPool!A264</f>
        <v>263</v>
      </c>
      <c r="C264">
        <f>LoanPool!B264</f>
        <v>7617309.1517972155</v>
      </c>
      <c r="D264">
        <f>LoanPool!J264</f>
        <v>7373302.7137181545</v>
      </c>
      <c r="E264">
        <f>LoanPool!L264</f>
        <v>33325.727539112821</v>
      </c>
      <c r="F264">
        <f>LoanPool!M264</f>
        <v>241683.36240848756</v>
      </c>
      <c r="G264">
        <f>LoanPool!H264</f>
        <v>2323.0756705731669</v>
      </c>
      <c r="H264">
        <f>Waterfall!X264</f>
        <v>0</v>
      </c>
      <c r="I264">
        <f>Waterfall!Y264</f>
        <v>574691.36992090801</v>
      </c>
      <c r="J264">
        <f>Waterfall!Z264</f>
        <v>6798611.343797259</v>
      </c>
      <c r="K264">
        <f>Waterfall!AA264</f>
        <v>0</v>
      </c>
      <c r="L264">
        <f>Waterfall!AB264</f>
        <v>0</v>
      </c>
      <c r="M264">
        <f>Waterfall!AC264</f>
        <v>0</v>
      </c>
    </row>
    <row r="265" spans="1:13" x14ac:dyDescent="0.2">
      <c r="A265" t="str">
        <f>Inputs!B14</f>
        <v>Base</v>
      </c>
      <c r="B265">
        <f>LoanPool!A265</f>
        <v>264</v>
      </c>
      <c r="C265">
        <f>LoanPool!B265</f>
        <v>7373302.7137181545</v>
      </c>
      <c r="D265">
        <f>LoanPool!J265</f>
        <v>7131912.7543099513</v>
      </c>
      <c r="E265">
        <f>LoanPool!L265</f>
        <v>32258.199372516927</v>
      </c>
      <c r="F265">
        <f>LoanPool!M265</f>
        <v>239142.93746329329</v>
      </c>
      <c r="G265">
        <f>LoanPool!H265</f>
        <v>2247.0219449098322</v>
      </c>
      <c r="H265">
        <f>Waterfall!X265</f>
        <v>0</v>
      </c>
      <c r="I265">
        <f>Waterfall!Y265</f>
        <v>335548.43245761469</v>
      </c>
      <c r="J265">
        <f>Waterfall!Z265</f>
        <v>6796364.3218523487</v>
      </c>
      <c r="K265">
        <f>Waterfall!AA265</f>
        <v>0</v>
      </c>
      <c r="L265">
        <f>Waterfall!AB265</f>
        <v>0</v>
      </c>
      <c r="M265">
        <f>Waterfall!AC265</f>
        <v>0</v>
      </c>
    </row>
    <row r="266" spans="1:13" x14ac:dyDescent="0.2">
      <c r="A266" t="str">
        <f>Inputs!B14</f>
        <v>Base</v>
      </c>
      <c r="B266">
        <f>LoanPool!A266</f>
        <v>265</v>
      </c>
      <c r="C266">
        <f>LoanPool!B266</f>
        <v>7131912.7543099513</v>
      </c>
      <c r="D266">
        <f>LoanPool!J266</f>
        <v>6893115.7575771455</v>
      </c>
      <c r="E266">
        <f>LoanPool!L266</f>
        <v>31202.118300106042</v>
      </c>
      <c r="F266">
        <f>LoanPool!M266</f>
        <v>236625.21155964604</v>
      </c>
      <c r="G266">
        <f>LoanPool!H266</f>
        <v>2171.7851731597984</v>
      </c>
      <c r="H266">
        <f>Waterfall!X266</f>
        <v>0</v>
      </c>
      <c r="I266">
        <f>Waterfall!Y266</f>
        <v>98923.220897968655</v>
      </c>
      <c r="J266">
        <f>Waterfall!Z266</f>
        <v>6794192.5366791887</v>
      </c>
      <c r="K266">
        <f>Waterfall!AA266</f>
        <v>0</v>
      </c>
      <c r="L266">
        <f>Waterfall!AB266</f>
        <v>0</v>
      </c>
      <c r="M266">
        <f>Waterfall!AC266</f>
        <v>0</v>
      </c>
    </row>
    <row r="267" spans="1:13" x14ac:dyDescent="0.2">
      <c r="A267" t="str">
        <f>Inputs!B14</f>
        <v>Base</v>
      </c>
      <c r="B267">
        <f>LoanPool!A267</f>
        <v>266</v>
      </c>
      <c r="C267">
        <f>LoanPool!B267</f>
        <v>6893115.7575771455</v>
      </c>
      <c r="D267">
        <f>LoanPool!J267</f>
        <v>6656888.4070337983</v>
      </c>
      <c r="E267">
        <f>LoanPool!L267</f>
        <v>30157.381439400007</v>
      </c>
      <c r="F267">
        <f>LoanPool!M267</f>
        <v>234129.99253425171</v>
      </c>
      <c r="G267">
        <f>LoanPool!H267</f>
        <v>2097.3580090952869</v>
      </c>
      <c r="H267">
        <f>Waterfall!X267</f>
        <v>0</v>
      </c>
      <c r="I267">
        <f>Waterfall!Y267</f>
        <v>0</v>
      </c>
      <c r="J267">
        <f>Waterfall!Z267</f>
        <v>6656888.4070338104</v>
      </c>
      <c r="K267">
        <f>Waterfall!AA267</f>
        <v>0</v>
      </c>
      <c r="L267">
        <f>Waterfall!AB267</f>
        <v>0</v>
      </c>
      <c r="M267">
        <f>Waterfall!AC267</f>
        <v>0</v>
      </c>
    </row>
    <row r="268" spans="1:13" x14ac:dyDescent="0.2">
      <c r="A268" t="str">
        <f>Inputs!B14</f>
        <v>Base</v>
      </c>
      <c r="B268">
        <f>LoanPool!A268</f>
        <v>267</v>
      </c>
      <c r="C268">
        <f>LoanPool!B268</f>
        <v>6656888.4070337983</v>
      </c>
      <c r="D268">
        <f>LoanPool!J268</f>
        <v>6423207.584047718</v>
      </c>
      <c r="E268">
        <f>LoanPool!L268</f>
        <v>29123.886780772867</v>
      </c>
      <c r="F268">
        <f>LoanPool!M268</f>
        <v>231657.08981725521</v>
      </c>
      <c r="G268">
        <f>LoanPool!H268</f>
        <v>2023.7331688254735</v>
      </c>
      <c r="H268">
        <f>Waterfall!X268</f>
        <v>0</v>
      </c>
      <c r="I268">
        <f>Waterfall!Y268</f>
        <v>0</v>
      </c>
      <c r="J268">
        <f>Waterfall!Z268</f>
        <v>6423207.5840477301</v>
      </c>
      <c r="K268">
        <f>Waterfall!AA268</f>
        <v>0</v>
      </c>
      <c r="L268">
        <f>Waterfall!AB268</f>
        <v>0</v>
      </c>
      <c r="M268">
        <f>Waterfall!AC268</f>
        <v>0</v>
      </c>
    </row>
    <row r="269" spans="1:13" x14ac:dyDescent="0.2">
      <c r="A269" t="str">
        <f>Inputs!B14</f>
        <v>Base</v>
      </c>
      <c r="B269">
        <f>LoanPool!A269</f>
        <v>268</v>
      </c>
      <c r="C269">
        <f>LoanPool!B269</f>
        <v>6423207.584047718</v>
      </c>
      <c r="D269">
        <f>LoanPool!J269</f>
        <v>6192050.3661983004</v>
      </c>
      <c r="E269">
        <f>LoanPool!L269</f>
        <v>28101.533180208768</v>
      </c>
      <c r="F269">
        <f>LoanPool!M269</f>
        <v>229206.31441913868</v>
      </c>
      <c r="G269">
        <f>LoanPool!H269</f>
        <v>1950.9034302790994</v>
      </c>
      <c r="H269">
        <f>Waterfall!X269</f>
        <v>0</v>
      </c>
      <c r="I269">
        <f>Waterfall!Y269</f>
        <v>0</v>
      </c>
      <c r="J269">
        <f>Waterfall!Z269</f>
        <v>6192050.3661983125</v>
      </c>
      <c r="K269">
        <f>Waterfall!AA269</f>
        <v>0</v>
      </c>
      <c r="L269">
        <f>Waterfall!AB269</f>
        <v>0</v>
      </c>
      <c r="M269">
        <f>Waterfall!AC269</f>
        <v>0</v>
      </c>
    </row>
    <row r="270" spans="1:13" x14ac:dyDescent="0.2">
      <c r="A270" t="str">
        <f>Inputs!B14</f>
        <v>Base</v>
      </c>
      <c r="B270">
        <f>LoanPool!A270</f>
        <v>269</v>
      </c>
      <c r="C270">
        <f>LoanPool!B270</f>
        <v>6192050.3661983004</v>
      </c>
      <c r="D270">
        <f>LoanPool!J270</f>
        <v>5963394.0256478842</v>
      </c>
      <c r="E270">
        <f>LoanPool!L270</f>
        <v>27090.220352117565</v>
      </c>
      <c r="F270">
        <f>LoanPool!M270</f>
        <v>226777.47891772477</v>
      </c>
      <c r="G270">
        <f>LoanPool!H270</f>
        <v>1878.8616326913395</v>
      </c>
      <c r="H270">
        <f>Waterfall!X270</f>
        <v>0</v>
      </c>
      <c r="I270">
        <f>Waterfall!Y270</f>
        <v>0</v>
      </c>
      <c r="J270">
        <f>Waterfall!Z270</f>
        <v>5963394.0256478963</v>
      </c>
      <c r="K270">
        <f>Waterfall!AA270</f>
        <v>0</v>
      </c>
      <c r="L270">
        <f>Waterfall!AB270</f>
        <v>0</v>
      </c>
      <c r="M270">
        <f>Waterfall!AC270</f>
        <v>0</v>
      </c>
    </row>
    <row r="271" spans="1:13" x14ac:dyDescent="0.2">
      <c r="A271" t="str">
        <f>Inputs!B14</f>
        <v>Base</v>
      </c>
      <c r="B271">
        <f>LoanPool!A271</f>
        <v>270</v>
      </c>
      <c r="C271">
        <f>LoanPool!B271</f>
        <v>5963394.0256478842</v>
      </c>
      <c r="D271">
        <f>LoanPool!J271</f>
        <v>5737216.0275265006</v>
      </c>
      <c r="E271">
        <f>LoanPool!L271</f>
        <v>26089.848862209492</v>
      </c>
      <c r="F271">
        <f>LoanPool!M271</f>
        <v>224370.39744528884</v>
      </c>
      <c r="G271">
        <f>LoanPool!H271</f>
        <v>1807.6006760948931</v>
      </c>
      <c r="H271">
        <f>Waterfall!X271</f>
        <v>0</v>
      </c>
      <c r="I271">
        <f>Waterfall!Y271</f>
        <v>0</v>
      </c>
      <c r="J271">
        <f>Waterfall!Z271</f>
        <v>5737216.0275265127</v>
      </c>
      <c r="K271">
        <f>Waterfall!AA271</f>
        <v>0</v>
      </c>
      <c r="L271">
        <f>Waterfall!AB271</f>
        <v>0</v>
      </c>
      <c r="M271">
        <f>Waterfall!AC271</f>
        <v>0</v>
      </c>
    </row>
    <row r="272" spans="1:13" x14ac:dyDescent="0.2">
      <c r="A272" t="str">
        <f>Inputs!B14</f>
        <v>Base</v>
      </c>
      <c r="B272">
        <f>LoanPool!A272</f>
        <v>271</v>
      </c>
      <c r="C272">
        <f>LoanPool!B272</f>
        <v>5737216.0275265006</v>
      </c>
      <c r="D272">
        <f>LoanPool!J272</f>
        <v>5513494.0283299107</v>
      </c>
      <c r="E272">
        <f>LoanPool!L272</f>
        <v>25100.320120428441</v>
      </c>
      <c r="F272">
        <f>LoanPool!M272</f>
        <v>221984.885675775</v>
      </c>
      <c r="G272">
        <f>LoanPool!H272</f>
        <v>1737.1135208152602</v>
      </c>
      <c r="H272">
        <f>Waterfall!X272</f>
        <v>0</v>
      </c>
      <c r="I272">
        <f>Waterfall!Y272</f>
        <v>0</v>
      </c>
      <c r="J272">
        <f>Waterfall!Z272</f>
        <v>5513494.0283299228</v>
      </c>
      <c r="K272">
        <f>Waterfall!AA272</f>
        <v>0</v>
      </c>
      <c r="L272">
        <f>Waterfall!AB272</f>
        <v>0</v>
      </c>
      <c r="M272">
        <f>Waterfall!AC272</f>
        <v>0</v>
      </c>
    </row>
    <row r="273" spans="1:13" x14ac:dyDescent="0.2">
      <c r="A273" t="str">
        <f>Inputs!B14</f>
        <v>Base</v>
      </c>
      <c r="B273">
        <f>LoanPool!A273</f>
        <v>272</v>
      </c>
      <c r="C273">
        <f>LoanPool!B273</f>
        <v>5513494.0283299107</v>
      </c>
      <c r="D273">
        <f>LoanPool!J273</f>
        <v>5292205.8743308224</v>
      </c>
      <c r="E273">
        <f>LoanPool!L273</f>
        <v>24121.53637394336</v>
      </c>
      <c r="F273">
        <f>LoanPool!M273</f>
        <v>219620.76081211813</v>
      </c>
      <c r="G273">
        <f>LoanPool!H273</f>
        <v>1667.3931869701714</v>
      </c>
      <c r="H273">
        <f>Waterfall!X273</f>
        <v>0</v>
      </c>
      <c r="I273">
        <f>Waterfall!Y273</f>
        <v>0</v>
      </c>
      <c r="J273">
        <f>Waterfall!Z273</f>
        <v>5292205.8743308345</v>
      </c>
      <c r="K273">
        <f>Waterfall!AA273</f>
        <v>0</v>
      </c>
      <c r="L273">
        <f>Waterfall!AB273</f>
        <v>0</v>
      </c>
      <c r="M273">
        <f>Waterfall!AC273</f>
        <v>0</v>
      </c>
    </row>
    <row r="274" spans="1:13" x14ac:dyDescent="0.2">
      <c r="A274" t="str">
        <f>Inputs!B14</f>
        <v>Base</v>
      </c>
      <c r="B274">
        <f>LoanPool!A274</f>
        <v>273</v>
      </c>
      <c r="C274">
        <f>LoanPool!B274</f>
        <v>5292205.8743308224</v>
      </c>
      <c r="D274">
        <f>LoanPool!J274</f>
        <v>5073329.6000031801</v>
      </c>
      <c r="E274">
        <f>LoanPool!L274</f>
        <v>23153.400700197351</v>
      </c>
      <c r="F274">
        <f>LoanPool!M274</f>
        <v>217277.84157366879</v>
      </c>
      <c r="G274">
        <f>LoanPool!H274</f>
        <v>1598.432753973133</v>
      </c>
      <c r="H274">
        <f>Waterfall!X274</f>
        <v>0</v>
      </c>
      <c r="I274">
        <f>Waterfall!Y274</f>
        <v>0</v>
      </c>
      <c r="J274">
        <f>Waterfall!Z274</f>
        <v>5073329.6000031931</v>
      </c>
      <c r="K274">
        <f>Waterfall!AA274</f>
        <v>0</v>
      </c>
      <c r="L274">
        <f>Waterfall!AB274</f>
        <v>0</v>
      </c>
      <c r="M274">
        <f>Waterfall!AC274</f>
        <v>0</v>
      </c>
    </row>
    <row r="275" spans="1:13" x14ac:dyDescent="0.2">
      <c r="A275" t="str">
        <f>Inputs!B14</f>
        <v>Base</v>
      </c>
      <c r="B275">
        <f>LoanPool!A275</f>
        <v>274</v>
      </c>
      <c r="C275">
        <f>LoanPool!B275</f>
        <v>5073329.6000031801</v>
      </c>
      <c r="D275">
        <f>LoanPool!J275</f>
        <v>4856843.4264594177</v>
      </c>
      <c r="E275">
        <f>LoanPool!L275</f>
        <v>22195.817000013914</v>
      </c>
      <c r="F275">
        <f>LoanPool!M275</f>
        <v>214955.9481837218</v>
      </c>
      <c r="G275">
        <f>LoanPool!H275</f>
        <v>1530.2253600410602</v>
      </c>
      <c r="H275">
        <f>Waterfall!X275</f>
        <v>0</v>
      </c>
      <c r="I275">
        <f>Waterfall!Y275</f>
        <v>0</v>
      </c>
      <c r="J275">
        <f>Waterfall!Z275</f>
        <v>4856843.4264594298</v>
      </c>
      <c r="K275">
        <f>Waterfall!AA275</f>
        <v>0</v>
      </c>
      <c r="L275">
        <f>Waterfall!AB275</f>
        <v>0</v>
      </c>
      <c r="M275">
        <f>Waterfall!AC275</f>
        <v>0</v>
      </c>
    </row>
    <row r="276" spans="1:13" x14ac:dyDescent="0.2">
      <c r="A276" t="str">
        <f>Inputs!B14</f>
        <v>Base</v>
      </c>
      <c r="B276">
        <f>LoanPool!A276</f>
        <v>275</v>
      </c>
      <c r="C276">
        <f>LoanPool!B276</f>
        <v>4856843.4264594177</v>
      </c>
      <c r="D276">
        <f>LoanPool!J276</f>
        <v>4642725.7599005643</v>
      </c>
      <c r="E276">
        <f>LoanPool!L276</f>
        <v>21248.689990759955</v>
      </c>
      <c r="F276">
        <f>LoanPool!M276</f>
        <v>212654.90235714722</v>
      </c>
      <c r="G276">
        <f>LoanPool!H276</f>
        <v>1462.7642017059593</v>
      </c>
      <c r="H276">
        <f>Waterfall!X276</f>
        <v>0</v>
      </c>
      <c r="I276">
        <f>Waterfall!Y276</f>
        <v>0</v>
      </c>
      <c r="J276">
        <f>Waterfall!Z276</f>
        <v>4642725.7599005764</v>
      </c>
      <c r="K276">
        <f>Waterfall!AA276</f>
        <v>0</v>
      </c>
      <c r="L276">
        <f>Waterfall!AB276</f>
        <v>0</v>
      </c>
      <c r="M276">
        <f>Waterfall!AC276</f>
        <v>0</v>
      </c>
    </row>
    <row r="277" spans="1:13" x14ac:dyDescent="0.2">
      <c r="A277" t="str">
        <f>Inputs!B14</f>
        <v>Base</v>
      </c>
      <c r="B277">
        <f>LoanPool!A277</f>
        <v>276</v>
      </c>
      <c r="C277">
        <f>LoanPool!B277</f>
        <v>4642725.7599005643</v>
      </c>
      <c r="D277">
        <f>LoanPool!J277</f>
        <v>4430955.1900791116</v>
      </c>
      <c r="E277">
        <f>LoanPool!L277</f>
        <v>20311.925199564972</v>
      </c>
      <c r="F277">
        <f>LoanPool!M277</f>
        <v>210374.52728812172</v>
      </c>
      <c r="G277">
        <f>LoanPool!H277</f>
        <v>1396.042533330628</v>
      </c>
      <c r="H277">
        <f>Waterfall!X277</f>
        <v>0</v>
      </c>
      <c r="I277">
        <f>Waterfall!Y277</f>
        <v>0</v>
      </c>
      <c r="J277">
        <f>Waterfall!Z277</f>
        <v>4430955.1900791237</v>
      </c>
      <c r="K277">
        <f>Waterfall!AA277</f>
        <v>0</v>
      </c>
      <c r="L277">
        <f>Waterfall!AB277</f>
        <v>0</v>
      </c>
      <c r="M277">
        <f>Waterfall!AC277</f>
        <v>0</v>
      </c>
    </row>
    <row r="278" spans="1:13" x14ac:dyDescent="0.2">
      <c r="A278" t="str">
        <f>Inputs!B14</f>
        <v>Base</v>
      </c>
      <c r="B278">
        <f>LoanPool!A278</f>
        <v>277</v>
      </c>
      <c r="C278">
        <f>LoanPool!B278</f>
        <v>4430955.1900791116</v>
      </c>
      <c r="D278">
        <f>LoanPool!J278</f>
        <v>4221510.4887745213</v>
      </c>
      <c r="E278">
        <f>LoanPool!L278</f>
        <v>19385.428956596115</v>
      </c>
      <c r="F278">
        <f>LoanPool!M278</f>
        <v>208114.64763796175</v>
      </c>
      <c r="G278">
        <f>LoanPool!H278</f>
        <v>1330.053666628341</v>
      </c>
      <c r="H278">
        <f>Waterfall!X278</f>
        <v>0</v>
      </c>
      <c r="I278">
        <f>Waterfall!Y278</f>
        <v>0</v>
      </c>
      <c r="J278">
        <f>Waterfall!Z278</f>
        <v>4221510.4887745343</v>
      </c>
      <c r="K278">
        <f>Waterfall!AA278</f>
        <v>0</v>
      </c>
      <c r="L278">
        <f>Waterfall!AB278</f>
        <v>0</v>
      </c>
      <c r="M278">
        <f>Waterfall!AC278</f>
        <v>0</v>
      </c>
    </row>
    <row r="279" spans="1:13" x14ac:dyDescent="0.2">
      <c r="A279" t="str">
        <f>Inputs!B14</f>
        <v>Base</v>
      </c>
      <c r="B279">
        <f>LoanPool!A279</f>
        <v>278</v>
      </c>
      <c r="C279">
        <f>LoanPool!B279</f>
        <v>4221510.4887745213</v>
      </c>
      <c r="D279">
        <f>LoanPool!J279</f>
        <v>4014370.6082812794</v>
      </c>
      <c r="E279">
        <f>LoanPool!L279</f>
        <v>18469.108388388529</v>
      </c>
      <c r="F279">
        <f>LoanPool!M279</f>
        <v>205875.08952305547</v>
      </c>
      <c r="G279">
        <f>LoanPool!H279</f>
        <v>1264.7909701864871</v>
      </c>
      <c r="H279">
        <f>Waterfall!X279</f>
        <v>0</v>
      </c>
      <c r="I279">
        <f>Waterfall!Y279</f>
        <v>0</v>
      </c>
      <c r="J279">
        <f>Waterfall!Z279</f>
        <v>4014370.608281292</v>
      </c>
      <c r="K279">
        <f>Waterfall!AA279</f>
        <v>0</v>
      </c>
      <c r="L279">
        <f>Waterfall!AB279</f>
        <v>0</v>
      </c>
      <c r="M279">
        <f>Waterfall!AC279</f>
        <v>0</v>
      </c>
    </row>
    <row r="280" spans="1:13" x14ac:dyDescent="0.2">
      <c r="A280" t="str">
        <f>Inputs!B14</f>
        <v>Base</v>
      </c>
      <c r="B280">
        <f>LoanPool!A280</f>
        <v>279</v>
      </c>
      <c r="C280">
        <f>LoanPool!B280</f>
        <v>4014370.6082812794</v>
      </c>
      <c r="D280">
        <f>LoanPool!J280</f>
        <v>3809514.6799093913</v>
      </c>
      <c r="E280">
        <f>LoanPool!L280</f>
        <v>17562.871411230597</v>
      </c>
      <c r="F280">
        <f>LoanPool!M280</f>
        <v>203655.68050289393</v>
      </c>
      <c r="G280">
        <f>LoanPool!H280</f>
        <v>1200.2478689941274</v>
      </c>
      <c r="H280">
        <f>Waterfall!X280</f>
        <v>0</v>
      </c>
      <c r="I280">
        <f>Waterfall!Y280</f>
        <v>0</v>
      </c>
      <c r="J280">
        <f>Waterfall!Z280</f>
        <v>3809514.6799094039</v>
      </c>
      <c r="K280">
        <f>Waterfall!AA280</f>
        <v>0</v>
      </c>
      <c r="L280">
        <f>Waterfall!AB280</f>
        <v>0</v>
      </c>
      <c r="M280">
        <f>Waterfall!AC280</f>
        <v>0</v>
      </c>
    </row>
    <row r="281" spans="1:13" x14ac:dyDescent="0.2">
      <c r="A281" t="str">
        <f>Inputs!B14</f>
        <v>Base</v>
      </c>
      <c r="B281">
        <f>LoanPool!A281</f>
        <v>280</v>
      </c>
      <c r="C281">
        <f>LoanPool!B281</f>
        <v>3809514.6799093913</v>
      </c>
      <c r="D281">
        <f>LoanPool!J281</f>
        <v>3606922.0124972174</v>
      </c>
      <c r="E281">
        <f>LoanPool!L281</f>
        <v>16666.62672460359</v>
      </c>
      <c r="F281">
        <f>LoanPool!M281</f>
        <v>201456.24956820044</v>
      </c>
      <c r="G281">
        <f>LoanPool!H281</f>
        <v>1136.4178439734387</v>
      </c>
      <c r="H281">
        <f>Waterfall!X281</f>
        <v>0</v>
      </c>
      <c r="I281">
        <f>Waterfall!Y281</f>
        <v>0</v>
      </c>
      <c r="J281">
        <f>Waterfall!Z281</f>
        <v>3606922.0124972304</v>
      </c>
      <c r="K281">
        <f>Waterfall!AA281</f>
        <v>0</v>
      </c>
      <c r="L281">
        <f>Waterfall!AB281</f>
        <v>0</v>
      </c>
      <c r="M281">
        <f>Waterfall!AC281</f>
        <v>0</v>
      </c>
    </row>
    <row r="282" spans="1:13" x14ac:dyDescent="0.2">
      <c r="A282" t="str">
        <f>Inputs!B14</f>
        <v>Base</v>
      </c>
      <c r="B282">
        <f>LoanPool!A282</f>
        <v>281</v>
      </c>
      <c r="C282">
        <f>LoanPool!B282</f>
        <v>3606922.0124972174</v>
      </c>
      <c r="D282">
        <f>LoanPool!J282</f>
        <v>3406572.0909365453</v>
      </c>
      <c r="E282">
        <f>LoanPool!L282</f>
        <v>15780.283804675328</v>
      </c>
      <c r="F282">
        <f>LoanPool!M282</f>
        <v>199276.6271291571</v>
      </c>
      <c r="G282">
        <f>LoanPool!H282</f>
        <v>1073.2944315150157</v>
      </c>
      <c r="H282">
        <f>Waterfall!X282</f>
        <v>0</v>
      </c>
      <c r="I282">
        <f>Waterfall!Y282</f>
        <v>0</v>
      </c>
      <c r="J282">
        <f>Waterfall!Z282</f>
        <v>3406572.0909365583</v>
      </c>
      <c r="K282">
        <f>Waterfall!AA282</f>
        <v>0</v>
      </c>
      <c r="L282">
        <f>Waterfall!AB282</f>
        <v>0</v>
      </c>
      <c r="M282">
        <f>Waterfall!AC282</f>
        <v>0</v>
      </c>
    </row>
    <row r="283" spans="1:13" x14ac:dyDescent="0.2">
      <c r="A283" t="str">
        <f>Inputs!B14</f>
        <v>Base</v>
      </c>
      <c r="B283">
        <f>LoanPool!A283</f>
        <v>282</v>
      </c>
      <c r="C283">
        <f>LoanPool!B283</f>
        <v>3406572.0909365453</v>
      </c>
      <c r="D283">
        <f>LoanPool!J283</f>
        <v>3208444.5747098005</v>
      </c>
      <c r="E283">
        <f>LoanPool!L283</f>
        <v>14903.752897847386</v>
      </c>
      <c r="F283">
        <f>LoanPool!M283</f>
        <v>197116.64500372767</v>
      </c>
      <c r="G283">
        <f>LoanPool!H283</f>
        <v>1010.8712230169965</v>
      </c>
      <c r="H283">
        <f>Waterfall!X283</f>
        <v>0</v>
      </c>
      <c r="I283">
        <f>Waterfall!Y283</f>
        <v>0</v>
      </c>
      <c r="J283">
        <f>Waterfall!Z283</f>
        <v>3208444.5747098136</v>
      </c>
      <c r="K283">
        <f>Waterfall!AA283</f>
        <v>0</v>
      </c>
      <c r="L283">
        <f>Waterfall!AB283</f>
        <v>0</v>
      </c>
      <c r="M283">
        <f>Waterfall!AC283</f>
        <v>0</v>
      </c>
    </row>
    <row r="284" spans="1:13" x14ac:dyDescent="0.2">
      <c r="A284" t="str">
        <f>Inputs!B14</f>
        <v>Base</v>
      </c>
      <c r="B284">
        <f>LoanPool!A284</f>
        <v>283</v>
      </c>
      <c r="C284">
        <f>LoanPool!B284</f>
        <v>3208444.5747098005</v>
      </c>
      <c r="D284">
        <f>LoanPool!J284</f>
        <v>3012519.2964392956</v>
      </c>
      <c r="E284">
        <f>LoanPool!L284</f>
        <v>14036.945014355377</v>
      </c>
      <c r="F284">
        <f>LoanPool!M284</f>
        <v>194976.13640607675</v>
      </c>
      <c r="G284">
        <f>LoanPool!H284</f>
        <v>949.14186442797836</v>
      </c>
      <c r="H284">
        <f>Waterfall!X284</f>
        <v>0</v>
      </c>
      <c r="I284">
        <f>Waterfall!Y284</f>
        <v>0</v>
      </c>
      <c r="J284">
        <f>Waterfall!Z284</f>
        <v>3012519.2964393091</v>
      </c>
      <c r="K284">
        <f>Waterfall!AA284</f>
        <v>0</v>
      </c>
      <c r="L284">
        <f>Waterfall!AB284</f>
        <v>0</v>
      </c>
      <c r="M284">
        <f>Waterfall!AC284</f>
        <v>0</v>
      </c>
    </row>
    <row r="285" spans="1:13" x14ac:dyDescent="0.2">
      <c r="A285" t="str">
        <f>Inputs!B14</f>
        <v>Base</v>
      </c>
      <c r="B285">
        <f>LoanPool!A285</f>
        <v>284</v>
      </c>
      <c r="C285">
        <f>LoanPool!B285</f>
        <v>3012519.2964392956</v>
      </c>
      <c r="D285">
        <f>LoanPool!J285</f>
        <v>2818776.260448419</v>
      </c>
      <c r="E285">
        <f>LoanPool!L285</f>
        <v>13179.771921921918</v>
      </c>
      <c r="F285">
        <f>LoanPool!M285</f>
        <v>192854.9359350829</v>
      </c>
      <c r="G285">
        <f>LoanPool!H285</f>
        <v>888.10005579370034</v>
      </c>
      <c r="H285">
        <f>Waterfall!X285</f>
        <v>0</v>
      </c>
      <c r="I285">
        <f>Waterfall!Y285</f>
        <v>0</v>
      </c>
      <c r="J285">
        <f>Waterfall!Z285</f>
        <v>2818776.2604484325</v>
      </c>
      <c r="K285">
        <f>Waterfall!AA285</f>
        <v>0</v>
      </c>
      <c r="L285">
        <f>Waterfall!AB285</f>
        <v>0</v>
      </c>
      <c r="M285">
        <f>Waterfall!AC285</f>
        <v>0</v>
      </c>
    </row>
    <row r="286" spans="1:13" x14ac:dyDescent="0.2">
      <c r="A286" t="str">
        <f>Inputs!B14</f>
        <v>Base</v>
      </c>
      <c r="B286">
        <f>LoanPool!A286</f>
        <v>285</v>
      </c>
      <c r="C286">
        <f>LoanPool!B286</f>
        <v>2818776.260448419</v>
      </c>
      <c r="D286">
        <f>LoanPool!J286</f>
        <v>2627195.6413346645</v>
      </c>
      <c r="E286">
        <f>LoanPool!L286</f>
        <v>12332.146139461835</v>
      </c>
      <c r="F286">
        <f>LoanPool!M286</f>
        <v>190752.87956294694</v>
      </c>
      <c r="G286">
        <f>LoanPool!H286</f>
        <v>827.73955080745134</v>
      </c>
      <c r="H286">
        <f>Waterfall!X286</f>
        <v>0</v>
      </c>
      <c r="I286">
        <f>Waterfall!Y286</f>
        <v>0</v>
      </c>
      <c r="J286">
        <f>Waterfall!Z286</f>
        <v>2627195.641334678</v>
      </c>
      <c r="K286">
        <f>Waterfall!AA286</f>
        <v>0</v>
      </c>
      <c r="L286">
        <f>Waterfall!AB286</f>
        <v>0</v>
      </c>
      <c r="M286">
        <f>Waterfall!AC286</f>
        <v>0</v>
      </c>
    </row>
    <row r="287" spans="1:13" x14ac:dyDescent="0.2">
      <c r="A287" t="str">
        <f>Inputs!B14</f>
        <v>Base</v>
      </c>
      <c r="B287">
        <f>LoanPool!A287</f>
        <v>286</v>
      </c>
      <c r="C287">
        <f>LoanPool!B287</f>
        <v>2627195.6413346645</v>
      </c>
      <c r="D287">
        <f>LoanPool!J287</f>
        <v>2437757.7825544076</v>
      </c>
      <c r="E287">
        <f>LoanPool!L287</f>
        <v>11493.980930839158</v>
      </c>
      <c r="F287">
        <f>LoanPool!M287</f>
        <v>188669.80462389282</v>
      </c>
      <c r="G287">
        <f>LoanPool!H287</f>
        <v>768.05415636418275</v>
      </c>
      <c r="H287">
        <f>Waterfall!X287</f>
        <v>0</v>
      </c>
      <c r="I287">
        <f>Waterfall!Y287</f>
        <v>0</v>
      </c>
      <c r="J287">
        <f>Waterfall!Z287</f>
        <v>2437757.7825544206</v>
      </c>
      <c r="K287">
        <f>Waterfall!AA287</f>
        <v>0</v>
      </c>
      <c r="L287">
        <f>Waterfall!AB287</f>
        <v>0</v>
      </c>
      <c r="M287">
        <f>Waterfall!AC287</f>
        <v>0</v>
      </c>
    </row>
    <row r="288" spans="1:13" x14ac:dyDescent="0.2">
      <c r="A288" t="str">
        <f>Inputs!B14</f>
        <v>Base</v>
      </c>
      <c r="B288">
        <f>LoanPool!A288</f>
        <v>287</v>
      </c>
      <c r="C288">
        <f>LoanPool!B288</f>
        <v>2437757.7825544076</v>
      </c>
      <c r="D288">
        <f>LoanPool!J288</f>
        <v>2250443.195019328</v>
      </c>
      <c r="E288">
        <f>LoanPool!L288</f>
        <v>10665.190298675534</v>
      </c>
      <c r="F288">
        <f>LoanPool!M288</f>
        <v>186605.5498029615</v>
      </c>
      <c r="G288">
        <f>LoanPool!H288</f>
        <v>709.03773211828889</v>
      </c>
      <c r="H288">
        <f>Waterfall!X288</f>
        <v>0</v>
      </c>
      <c r="I288">
        <f>Waterfall!Y288</f>
        <v>0</v>
      </c>
      <c r="J288">
        <f>Waterfall!Z288</f>
        <v>2250443.1950193411</v>
      </c>
      <c r="K288">
        <f>Waterfall!AA288</f>
        <v>0</v>
      </c>
      <c r="L288">
        <f>Waterfall!AB288</f>
        <v>0</v>
      </c>
      <c r="M288">
        <f>Waterfall!AC288</f>
        <v>0</v>
      </c>
    </row>
    <row r="289" spans="1:13" x14ac:dyDescent="0.2">
      <c r="A289" t="str">
        <f>Inputs!B14</f>
        <v>Base</v>
      </c>
      <c r="B289">
        <f>LoanPool!A289</f>
        <v>288</v>
      </c>
      <c r="C289">
        <f>LoanPool!B289</f>
        <v>2250443.195019328</v>
      </c>
      <c r="D289">
        <f>LoanPool!J289</f>
        <v>2065232.5557043864</v>
      </c>
      <c r="E289">
        <f>LoanPool!L289</f>
        <v>9845.6889782095604</v>
      </c>
      <c r="F289">
        <f>LoanPool!M289</f>
        <v>184559.95512489666</v>
      </c>
      <c r="G289">
        <f>LoanPool!H289</f>
        <v>650.68419004502778</v>
      </c>
      <c r="H289">
        <f>Waterfall!X289</f>
        <v>0</v>
      </c>
      <c r="I289">
        <f>Waterfall!Y289</f>
        <v>0</v>
      </c>
      <c r="J289">
        <f>Waterfall!Z289</f>
        <v>2065232.5557043992</v>
      </c>
      <c r="K289">
        <f>Waterfall!AA289</f>
        <v>0</v>
      </c>
      <c r="L289">
        <f>Waterfall!AB289</f>
        <v>0</v>
      </c>
      <c r="M289">
        <f>Waterfall!AC289</f>
        <v>0</v>
      </c>
    </row>
    <row r="290" spans="1:13" x14ac:dyDescent="0.2">
      <c r="A290" t="str">
        <f>Inputs!B14</f>
        <v>Base</v>
      </c>
      <c r="B290">
        <f>LoanPool!A290</f>
        <v>289</v>
      </c>
      <c r="C290">
        <f>LoanPool!B290</f>
        <v>2065232.5557043864</v>
      </c>
      <c r="D290">
        <f>LoanPool!J290</f>
        <v>1882106.7062672593</v>
      </c>
      <c r="E290">
        <f>LoanPool!L290</f>
        <v>9035.3924312066902</v>
      </c>
      <c r="F290">
        <f>LoanPool!M290</f>
        <v>182532.8619431215</v>
      </c>
      <c r="G290">
        <f>LoanPool!H290</f>
        <v>592.98749400555243</v>
      </c>
      <c r="H290">
        <f>Waterfall!X290</f>
        <v>0</v>
      </c>
      <c r="I290">
        <f>Waterfall!Y290</f>
        <v>0</v>
      </c>
      <c r="J290">
        <f>Waterfall!Z290</f>
        <v>1882106.7062672721</v>
      </c>
      <c r="K290">
        <f>Waterfall!AA290</f>
        <v>0</v>
      </c>
      <c r="L290">
        <f>Waterfall!AB290</f>
        <v>0</v>
      </c>
      <c r="M290">
        <f>Waterfall!AC290</f>
        <v>0</v>
      </c>
    </row>
    <row r="291" spans="1:13" x14ac:dyDescent="0.2">
      <c r="A291" t="str">
        <f>Inputs!B14</f>
        <v>Base</v>
      </c>
      <c r="B291">
        <f>LoanPool!A291</f>
        <v>290</v>
      </c>
      <c r="C291">
        <f>LoanPool!B291</f>
        <v>1882106.7062672593</v>
      </c>
      <c r="D291">
        <f>LoanPool!J291</f>
        <v>1701046.6516791382</v>
      </c>
      <c r="E291">
        <f>LoanPool!L291</f>
        <v>8234.2168399192615</v>
      </c>
      <c r="F291">
        <f>LoanPool!M291</f>
        <v>180524.11292880564</v>
      </c>
      <c r="G291">
        <f>LoanPool!H291</f>
        <v>535.94165931552266</v>
      </c>
      <c r="H291">
        <f>Waterfall!X291</f>
        <v>0</v>
      </c>
      <c r="I291">
        <f>Waterfall!Y291</f>
        <v>0</v>
      </c>
      <c r="J291">
        <f>Waterfall!Z291</f>
        <v>1701046.651679151</v>
      </c>
      <c r="K291">
        <f>Waterfall!AA291</f>
        <v>0</v>
      </c>
      <c r="L291">
        <f>Waterfall!AB291</f>
        <v>0</v>
      </c>
      <c r="M291">
        <f>Waterfall!AC291</f>
        <v>0</v>
      </c>
    </row>
    <row r="292" spans="1:13" x14ac:dyDescent="0.2">
      <c r="A292" t="str">
        <f>Inputs!B14</f>
        <v>Base</v>
      </c>
      <c r="B292">
        <f>LoanPool!A292</f>
        <v>291</v>
      </c>
      <c r="C292">
        <f>LoanPool!B292</f>
        <v>1701046.6516791382</v>
      </c>
      <c r="D292">
        <f>LoanPool!J292</f>
        <v>1522033.5588667991</v>
      </c>
      <c r="E292">
        <f>LoanPool!L292</f>
        <v>7442.0791010962303</v>
      </c>
      <c r="F292">
        <f>LoanPool!M292</f>
        <v>178533.55206002187</v>
      </c>
      <c r="G292">
        <f>LoanPool!H292</f>
        <v>479.54075231726733</v>
      </c>
      <c r="H292">
        <f>Waterfall!X292</f>
        <v>0</v>
      </c>
      <c r="I292">
        <f>Waterfall!Y292</f>
        <v>0</v>
      </c>
      <c r="J292">
        <f>Waterfall!Z292</f>
        <v>1522033.5588668119</v>
      </c>
      <c r="K292">
        <f>Waterfall!AA292</f>
        <v>0</v>
      </c>
      <c r="L292">
        <f>Waterfall!AB292</f>
        <v>0</v>
      </c>
      <c r="M292">
        <f>Waterfall!AC292</f>
        <v>0</v>
      </c>
    </row>
    <row r="293" spans="1:13" x14ac:dyDescent="0.2">
      <c r="A293" t="str">
        <f>Inputs!B14</f>
        <v>Base</v>
      </c>
      <c r="B293">
        <f>LoanPool!A293</f>
        <v>292</v>
      </c>
      <c r="C293">
        <f>LoanPool!B293</f>
        <v>1522033.5588667991</v>
      </c>
      <c r="D293">
        <f>LoanPool!J293</f>
        <v>1345048.7553658513</v>
      </c>
      <c r="E293">
        <f>LoanPool!L293</f>
        <v>6658.896820042246</v>
      </c>
      <c r="F293">
        <f>LoanPool!M293</f>
        <v>176561.0246109922</v>
      </c>
      <c r="G293">
        <f>LoanPool!H293</f>
        <v>423.77888995546925</v>
      </c>
      <c r="H293">
        <f>Waterfall!X293</f>
        <v>0</v>
      </c>
      <c r="I293">
        <f>Waterfall!Y293</f>
        <v>0</v>
      </c>
      <c r="J293">
        <f>Waterfall!Z293</f>
        <v>1345048.7553658641</v>
      </c>
      <c r="K293">
        <f>Waterfall!AA293</f>
        <v>0</v>
      </c>
      <c r="L293">
        <f>Waterfall!AB293</f>
        <v>0</v>
      </c>
      <c r="M293">
        <f>Waterfall!AC293</f>
        <v>0</v>
      </c>
    </row>
    <row r="294" spans="1:13" x14ac:dyDescent="0.2">
      <c r="A294" t="str">
        <f>Inputs!B14</f>
        <v>Base</v>
      </c>
      <c r="B294">
        <f>LoanPool!A294</f>
        <v>293</v>
      </c>
      <c r="C294">
        <f>LoanPool!B294</f>
        <v>1345048.7553658513</v>
      </c>
      <c r="D294">
        <f>LoanPool!J294</f>
        <v>1170073.7279850743</v>
      </c>
      <c r="E294">
        <f>LoanPool!L294</f>
        <v>5884.5883047255993</v>
      </c>
      <c r="F294">
        <f>LoanPool!M294</f>
        <v>174606.37714142079</v>
      </c>
      <c r="G294">
        <f>LoanPool!H294</f>
        <v>368.65023935634304</v>
      </c>
      <c r="H294">
        <f>Waterfall!X294</f>
        <v>0</v>
      </c>
      <c r="I294">
        <f>Waterfall!Y294</f>
        <v>0</v>
      </c>
      <c r="J294">
        <f>Waterfall!Z294</f>
        <v>1170073.7279850871</v>
      </c>
      <c r="K294">
        <f>Waterfall!AA294</f>
        <v>0</v>
      </c>
      <c r="L294">
        <f>Waterfall!AB294</f>
        <v>0</v>
      </c>
      <c r="M294">
        <f>Waterfall!AC294</f>
        <v>0</v>
      </c>
    </row>
    <row r="295" spans="1:13" x14ac:dyDescent="0.2">
      <c r="A295" t="str">
        <f>Inputs!B14</f>
        <v>Base</v>
      </c>
      <c r="B295">
        <f>LoanPool!A295</f>
        <v>294</v>
      </c>
      <c r="C295">
        <f>LoanPool!B295</f>
        <v>1170073.7279850743</v>
      </c>
      <c r="D295">
        <f>LoanPool!J295</f>
        <v>997090.12148174783</v>
      </c>
      <c r="E295">
        <f>LoanPool!L295</f>
        <v>5119.0725599347006</v>
      </c>
      <c r="F295">
        <f>LoanPool!M295</f>
        <v>172669.45748591615</v>
      </c>
      <c r="G295">
        <f>LoanPool!H295</f>
        <v>314.14901741027762</v>
      </c>
      <c r="H295">
        <f>Waterfall!X295</f>
        <v>0</v>
      </c>
      <c r="I295">
        <f>Waterfall!Y295</f>
        <v>0</v>
      </c>
      <c r="J295">
        <f>Waterfall!Z295</f>
        <v>997090.12148176064</v>
      </c>
      <c r="K295">
        <f>Waterfall!AA295</f>
        <v>0</v>
      </c>
      <c r="L295">
        <f>Waterfall!AB295</f>
        <v>0</v>
      </c>
      <c r="M295">
        <f>Waterfall!AC295</f>
        <v>0</v>
      </c>
    </row>
    <row r="296" spans="1:13" x14ac:dyDescent="0.2">
      <c r="A296" t="str">
        <f>Inputs!B14</f>
        <v>Base</v>
      </c>
      <c r="B296">
        <f>LoanPool!A296</f>
        <v>295</v>
      </c>
      <c r="C296">
        <f>LoanPool!B296</f>
        <v>997090.12148174783</v>
      </c>
      <c r="D296">
        <f>LoanPool!J296</f>
        <v>826079.73724789219</v>
      </c>
      <c r="E296">
        <f>LoanPool!L296</f>
        <v>4362.2692814826469</v>
      </c>
      <c r="F296">
        <f>LoanPool!M296</f>
        <v>170750.11474349778</v>
      </c>
      <c r="G296">
        <f>LoanPool!H296</f>
        <v>260.26949035791455</v>
      </c>
      <c r="H296">
        <f>Waterfall!X296</f>
        <v>0</v>
      </c>
      <c r="I296">
        <f>Waterfall!Y296</f>
        <v>0</v>
      </c>
      <c r="J296">
        <f>Waterfall!Z296</f>
        <v>826079.73724790488</v>
      </c>
      <c r="K296">
        <f>Waterfall!AA296</f>
        <v>0</v>
      </c>
      <c r="L296">
        <f>Waterfall!AB296</f>
        <v>0</v>
      </c>
      <c r="M296">
        <f>Waterfall!AC296</f>
        <v>0</v>
      </c>
    </row>
    <row r="297" spans="1:13" x14ac:dyDescent="0.2">
      <c r="A297" t="str">
        <f>Inputs!B14</f>
        <v>Base</v>
      </c>
      <c r="B297">
        <f>LoanPool!A297</f>
        <v>296</v>
      </c>
      <c r="C297">
        <f>LoanPool!B297</f>
        <v>826079.73724789219</v>
      </c>
      <c r="D297">
        <f>LoanPool!J297</f>
        <v>657024.53200732102</v>
      </c>
      <c r="E297">
        <f>LoanPool!L297</f>
        <v>3614.0988504595284</v>
      </c>
      <c r="F297">
        <f>LoanPool!M297</f>
        <v>168848.19926719149</v>
      </c>
      <c r="G297">
        <f>LoanPool!H297</f>
        <v>207.0059733796347</v>
      </c>
      <c r="H297">
        <f>Waterfall!X297</f>
        <v>0</v>
      </c>
      <c r="I297">
        <f>Waterfall!Y297</f>
        <v>0</v>
      </c>
      <c r="J297">
        <f>Waterfall!Z297</f>
        <v>657024.53200733382</v>
      </c>
      <c r="K297">
        <f>Waterfall!AA297</f>
        <v>0</v>
      </c>
      <c r="L297">
        <f>Waterfall!AB297</f>
        <v>0</v>
      </c>
      <c r="M297">
        <f>Waterfall!AC297</f>
        <v>0</v>
      </c>
    </row>
    <row r="298" spans="1:13" x14ac:dyDescent="0.2">
      <c r="A298" t="str">
        <f>Inputs!B14</f>
        <v>Base</v>
      </c>
      <c r="B298">
        <f>LoanPool!A298</f>
        <v>297</v>
      </c>
      <c r="C298">
        <f>LoanPool!B298</f>
        <v>657024.53200732102</v>
      </c>
      <c r="D298">
        <f>LoanPool!J298</f>
        <v>489906.61652342509</v>
      </c>
      <c r="E298">
        <f>LoanPool!L298</f>
        <v>2874.4823275320296</v>
      </c>
      <c r="F298">
        <f>LoanPool!M298</f>
        <v>166963.56265370746</v>
      </c>
      <c r="G298">
        <f>LoanPool!H298</f>
        <v>154.35283018842441</v>
      </c>
      <c r="H298">
        <f>Waterfall!X298</f>
        <v>0</v>
      </c>
      <c r="I298">
        <f>Waterfall!Y298</f>
        <v>0</v>
      </c>
      <c r="J298">
        <f>Waterfall!Z298</f>
        <v>489906.6165234379</v>
      </c>
      <c r="K298">
        <f>Waterfall!AA298</f>
        <v>0</v>
      </c>
      <c r="L298">
        <f>Waterfall!AB298</f>
        <v>0</v>
      </c>
      <c r="M298">
        <f>Waterfall!AC298</f>
        <v>0</v>
      </c>
    </row>
    <row r="299" spans="1:13" x14ac:dyDescent="0.2">
      <c r="A299" t="str">
        <f>Inputs!B14</f>
        <v>Base</v>
      </c>
      <c r="B299">
        <f>LoanPool!A299</f>
        <v>298</v>
      </c>
      <c r="C299">
        <f>LoanPool!B299</f>
        <v>489906.61652342509</v>
      </c>
      <c r="D299">
        <f>LoanPool!J299</f>
        <v>324708.25431759417</v>
      </c>
      <c r="E299">
        <f>LoanPool!L299</f>
        <v>2143.3414472899849</v>
      </c>
      <c r="F299">
        <f>LoanPool!M299</f>
        <v>165096.05773320483</v>
      </c>
      <c r="G299">
        <f>LoanPool!H299</f>
        <v>102.30447262609454</v>
      </c>
      <c r="H299">
        <f>Waterfall!X299</f>
        <v>0</v>
      </c>
      <c r="I299">
        <f>Waterfall!Y299</f>
        <v>0</v>
      </c>
      <c r="J299">
        <f>Waterfall!Z299</f>
        <v>324708.25431760703</v>
      </c>
      <c r="K299">
        <f>Waterfall!AA299</f>
        <v>0</v>
      </c>
      <c r="L299">
        <f>Waterfall!AB299</f>
        <v>0</v>
      </c>
      <c r="M299">
        <f>Waterfall!AC299</f>
        <v>0</v>
      </c>
    </row>
    <row r="300" spans="1:13" x14ac:dyDescent="0.2">
      <c r="A300" t="str">
        <f>Inputs!B14</f>
        <v>Base</v>
      </c>
      <c r="B300">
        <f>LoanPool!A300</f>
        <v>299</v>
      </c>
      <c r="C300">
        <f>LoanPool!B300</f>
        <v>324708.25431759417</v>
      </c>
      <c r="D300">
        <f>LoanPool!J300</f>
        <v>161411.8603981924</v>
      </c>
      <c r="E300">
        <f>LoanPool!L300</f>
        <v>1420.5986126394746</v>
      </c>
      <c r="F300">
        <f>LoanPool!M300</f>
        <v>163245.53855913895</v>
      </c>
      <c r="G300">
        <f>LoanPool!H300</f>
        <v>50.855360262823808</v>
      </c>
      <c r="H300">
        <f>Waterfall!X300</f>
        <v>0</v>
      </c>
      <c r="I300">
        <f>Waterfall!Y300</f>
        <v>0</v>
      </c>
      <c r="J300">
        <f>Waterfall!Z300</f>
        <v>161411.86039820523</v>
      </c>
      <c r="K300">
        <f>Waterfall!AA300</f>
        <v>0</v>
      </c>
      <c r="L300">
        <f>Waterfall!AB300</f>
        <v>0</v>
      </c>
      <c r="M300">
        <f>Waterfall!AC300</f>
        <v>0</v>
      </c>
    </row>
    <row r="301" spans="1:13" x14ac:dyDescent="0.2">
      <c r="A301" t="str">
        <f>Inputs!B14</f>
        <v>Base</v>
      </c>
      <c r="B301">
        <f>LoanPool!A301</f>
        <v>300</v>
      </c>
      <c r="C301">
        <f>LoanPool!B301</f>
        <v>161411.8603981924</v>
      </c>
      <c r="D301">
        <f>LoanPool!J301</f>
        <v>0</v>
      </c>
      <c r="E301">
        <f>LoanPool!L301</f>
        <v>706.17688924209187</v>
      </c>
      <c r="F301">
        <f>LoanPool!M301</f>
        <v>161411.8603981924</v>
      </c>
      <c r="G301">
        <f>LoanPool!H301</f>
        <v>0</v>
      </c>
      <c r="H301">
        <f>Waterfall!X301</f>
        <v>0</v>
      </c>
      <c r="I301">
        <f>Waterfall!Y301</f>
        <v>0</v>
      </c>
      <c r="J301">
        <f>Waterfall!Z301</f>
        <v>1.2834789231419563E-8</v>
      </c>
      <c r="K301">
        <f>Waterfall!AA301</f>
        <v>0</v>
      </c>
      <c r="L301">
        <f>Waterfall!AB301</f>
        <v>0</v>
      </c>
      <c r="M301">
        <f>Waterfall!AC301</f>
        <v>0</v>
      </c>
    </row>
    <row r="302" spans="1:13" x14ac:dyDescent="0.2">
      <c r="A302" t="str">
        <f>Inputs!B14</f>
        <v>Base</v>
      </c>
      <c r="B302">
        <f>LoanPool!A302</f>
        <v>301</v>
      </c>
      <c r="C302">
        <f>LoanPool!B302</f>
        <v>0</v>
      </c>
      <c r="D302">
        <f>LoanPool!J302</f>
        <v>0</v>
      </c>
      <c r="E302">
        <f>LoanPool!L302</f>
        <v>0</v>
      </c>
      <c r="F302">
        <f>LoanPool!M302</f>
        <v>0</v>
      </c>
      <c r="G302">
        <f>LoanPool!H302</f>
        <v>0</v>
      </c>
      <c r="H302">
        <f>Waterfall!X302</f>
        <v>0</v>
      </c>
      <c r="I302">
        <f>Waterfall!Y302</f>
        <v>0</v>
      </c>
      <c r="J302">
        <f>Waterfall!Z302</f>
        <v>1.2834789231419563E-8</v>
      </c>
      <c r="K302">
        <f>Waterfall!AA302</f>
        <v>0</v>
      </c>
      <c r="L302">
        <f>Waterfall!AB302</f>
        <v>0</v>
      </c>
      <c r="M302">
        <f>Waterfall!AC302</f>
        <v>0</v>
      </c>
    </row>
    <row r="303" spans="1:13" x14ac:dyDescent="0.2">
      <c r="A303" t="str">
        <f>Inputs!B14</f>
        <v>Base</v>
      </c>
      <c r="B303">
        <f>LoanPool!A303</f>
        <v>302</v>
      </c>
      <c r="C303">
        <f>LoanPool!B303</f>
        <v>0</v>
      </c>
      <c r="D303">
        <f>LoanPool!J303</f>
        <v>0</v>
      </c>
      <c r="E303">
        <f>LoanPool!L303</f>
        <v>0</v>
      </c>
      <c r="F303">
        <f>LoanPool!M303</f>
        <v>0</v>
      </c>
      <c r="G303">
        <f>LoanPool!H303</f>
        <v>0</v>
      </c>
      <c r="H303">
        <f>Waterfall!X303</f>
        <v>0</v>
      </c>
      <c r="I303">
        <f>Waterfall!Y303</f>
        <v>0</v>
      </c>
      <c r="J303">
        <f>Waterfall!Z303</f>
        <v>1.2834789231419563E-8</v>
      </c>
      <c r="K303">
        <f>Waterfall!AA303</f>
        <v>0</v>
      </c>
      <c r="L303">
        <f>Waterfall!AB303</f>
        <v>0</v>
      </c>
      <c r="M303">
        <f>Waterfall!AC303</f>
        <v>0</v>
      </c>
    </row>
    <row r="304" spans="1:13" x14ac:dyDescent="0.2">
      <c r="A304" t="str">
        <f>Inputs!B14</f>
        <v>Base</v>
      </c>
      <c r="B304">
        <f>LoanPool!A304</f>
        <v>303</v>
      </c>
      <c r="C304">
        <f>LoanPool!B304</f>
        <v>0</v>
      </c>
      <c r="D304">
        <f>LoanPool!J304</f>
        <v>0</v>
      </c>
      <c r="E304">
        <f>LoanPool!L304</f>
        <v>0</v>
      </c>
      <c r="F304">
        <f>LoanPool!M304</f>
        <v>0</v>
      </c>
      <c r="G304">
        <f>LoanPool!H304</f>
        <v>0</v>
      </c>
      <c r="H304">
        <f>Waterfall!X304</f>
        <v>0</v>
      </c>
      <c r="I304">
        <f>Waterfall!Y304</f>
        <v>0</v>
      </c>
      <c r="J304">
        <f>Waterfall!Z304</f>
        <v>1.2834789231419563E-8</v>
      </c>
      <c r="K304">
        <f>Waterfall!AA304</f>
        <v>0</v>
      </c>
      <c r="L304">
        <f>Waterfall!AB304</f>
        <v>0</v>
      </c>
      <c r="M304">
        <f>Waterfall!AC304</f>
        <v>0</v>
      </c>
    </row>
    <row r="305" spans="1:13" x14ac:dyDescent="0.2">
      <c r="A305" t="str">
        <f>Inputs!B14</f>
        <v>Base</v>
      </c>
      <c r="B305">
        <f>LoanPool!A305</f>
        <v>304</v>
      </c>
      <c r="C305">
        <f>LoanPool!B305</f>
        <v>0</v>
      </c>
      <c r="D305">
        <f>LoanPool!J305</f>
        <v>0</v>
      </c>
      <c r="E305">
        <f>LoanPool!L305</f>
        <v>0</v>
      </c>
      <c r="F305">
        <f>LoanPool!M305</f>
        <v>0</v>
      </c>
      <c r="G305">
        <f>LoanPool!H305</f>
        <v>0</v>
      </c>
      <c r="H305">
        <f>Waterfall!X305</f>
        <v>0</v>
      </c>
      <c r="I305">
        <f>Waterfall!Y305</f>
        <v>0</v>
      </c>
      <c r="J305">
        <f>Waterfall!Z305</f>
        <v>1.2834789231419563E-8</v>
      </c>
      <c r="K305">
        <f>Waterfall!AA305</f>
        <v>0</v>
      </c>
      <c r="L305">
        <f>Waterfall!AB305</f>
        <v>0</v>
      </c>
      <c r="M305">
        <f>Waterfall!AC305</f>
        <v>0</v>
      </c>
    </row>
    <row r="306" spans="1:13" x14ac:dyDescent="0.2">
      <c r="A306" t="str">
        <f>Inputs!B14</f>
        <v>Base</v>
      </c>
      <c r="B306">
        <f>LoanPool!A306</f>
        <v>305</v>
      </c>
      <c r="C306">
        <f>LoanPool!B306</f>
        <v>0</v>
      </c>
      <c r="D306">
        <f>LoanPool!J306</f>
        <v>0</v>
      </c>
      <c r="E306">
        <f>LoanPool!L306</f>
        <v>0</v>
      </c>
      <c r="F306">
        <f>LoanPool!M306</f>
        <v>0</v>
      </c>
      <c r="G306">
        <f>LoanPool!H306</f>
        <v>0</v>
      </c>
      <c r="H306">
        <f>Waterfall!X306</f>
        <v>0</v>
      </c>
      <c r="I306">
        <f>Waterfall!Y306</f>
        <v>0</v>
      </c>
      <c r="J306">
        <f>Waterfall!Z306</f>
        <v>1.2834789231419563E-8</v>
      </c>
      <c r="K306">
        <f>Waterfall!AA306</f>
        <v>0</v>
      </c>
      <c r="L306">
        <f>Waterfall!AB306</f>
        <v>0</v>
      </c>
      <c r="M306">
        <f>Waterfall!AC306</f>
        <v>0</v>
      </c>
    </row>
    <row r="307" spans="1:13" x14ac:dyDescent="0.2">
      <c r="A307" t="str">
        <f>Inputs!B14</f>
        <v>Base</v>
      </c>
      <c r="B307">
        <f>LoanPool!A307</f>
        <v>306</v>
      </c>
      <c r="C307">
        <f>LoanPool!B307</f>
        <v>0</v>
      </c>
      <c r="D307">
        <f>LoanPool!J307</f>
        <v>0</v>
      </c>
      <c r="E307">
        <f>LoanPool!L307</f>
        <v>0</v>
      </c>
      <c r="F307">
        <f>LoanPool!M307</f>
        <v>0</v>
      </c>
      <c r="G307">
        <f>LoanPool!H307</f>
        <v>0</v>
      </c>
      <c r="H307">
        <f>Waterfall!X307</f>
        <v>0</v>
      </c>
      <c r="I307">
        <f>Waterfall!Y307</f>
        <v>0</v>
      </c>
      <c r="J307">
        <f>Waterfall!Z307</f>
        <v>1.2834789231419563E-8</v>
      </c>
      <c r="K307">
        <f>Waterfall!AA307</f>
        <v>0</v>
      </c>
      <c r="L307">
        <f>Waterfall!AB307</f>
        <v>0</v>
      </c>
      <c r="M307">
        <f>Waterfall!AC307</f>
        <v>0</v>
      </c>
    </row>
    <row r="308" spans="1:13" x14ac:dyDescent="0.2">
      <c r="A308" t="str">
        <f>Inputs!B14</f>
        <v>Base</v>
      </c>
      <c r="B308">
        <f>LoanPool!A308</f>
        <v>307</v>
      </c>
      <c r="C308">
        <f>LoanPool!B308</f>
        <v>0</v>
      </c>
      <c r="D308">
        <f>LoanPool!J308</f>
        <v>0</v>
      </c>
      <c r="E308">
        <f>LoanPool!L308</f>
        <v>0</v>
      </c>
      <c r="F308">
        <f>LoanPool!M308</f>
        <v>0</v>
      </c>
      <c r="G308">
        <f>LoanPool!H308</f>
        <v>0</v>
      </c>
      <c r="H308">
        <f>Waterfall!X308</f>
        <v>0</v>
      </c>
      <c r="I308">
        <f>Waterfall!Y308</f>
        <v>0</v>
      </c>
      <c r="J308">
        <f>Waterfall!Z308</f>
        <v>1.2834789231419563E-8</v>
      </c>
      <c r="K308">
        <f>Waterfall!AA308</f>
        <v>0</v>
      </c>
      <c r="L308">
        <f>Waterfall!AB308</f>
        <v>0</v>
      </c>
      <c r="M308">
        <f>Waterfall!AC308</f>
        <v>0</v>
      </c>
    </row>
    <row r="309" spans="1:13" x14ac:dyDescent="0.2">
      <c r="A309" t="str">
        <f>Inputs!B14</f>
        <v>Base</v>
      </c>
      <c r="B309">
        <f>LoanPool!A309</f>
        <v>308</v>
      </c>
      <c r="C309">
        <f>LoanPool!B309</f>
        <v>0</v>
      </c>
      <c r="D309">
        <f>LoanPool!J309</f>
        <v>0</v>
      </c>
      <c r="E309">
        <f>LoanPool!L309</f>
        <v>0</v>
      </c>
      <c r="F309">
        <f>LoanPool!M309</f>
        <v>0</v>
      </c>
      <c r="G309">
        <f>LoanPool!H309</f>
        <v>0</v>
      </c>
      <c r="H309">
        <f>Waterfall!X309</f>
        <v>0</v>
      </c>
      <c r="I309">
        <f>Waterfall!Y309</f>
        <v>0</v>
      </c>
      <c r="J309">
        <f>Waterfall!Z309</f>
        <v>1.2834789231419563E-8</v>
      </c>
      <c r="K309">
        <f>Waterfall!AA309</f>
        <v>0</v>
      </c>
      <c r="L309">
        <f>Waterfall!AB309</f>
        <v>0</v>
      </c>
      <c r="M309">
        <f>Waterfall!AC309</f>
        <v>0</v>
      </c>
    </row>
    <row r="310" spans="1:13" x14ac:dyDescent="0.2">
      <c r="A310" t="str">
        <f>Inputs!B14</f>
        <v>Base</v>
      </c>
      <c r="B310">
        <f>LoanPool!A310</f>
        <v>309</v>
      </c>
      <c r="C310">
        <f>LoanPool!B310</f>
        <v>0</v>
      </c>
      <c r="D310">
        <f>LoanPool!J310</f>
        <v>0</v>
      </c>
      <c r="E310">
        <f>LoanPool!L310</f>
        <v>0</v>
      </c>
      <c r="F310">
        <f>LoanPool!M310</f>
        <v>0</v>
      </c>
      <c r="G310">
        <f>LoanPool!H310</f>
        <v>0</v>
      </c>
      <c r="H310">
        <f>Waterfall!X310</f>
        <v>0</v>
      </c>
      <c r="I310">
        <f>Waterfall!Y310</f>
        <v>0</v>
      </c>
      <c r="J310">
        <f>Waterfall!Z310</f>
        <v>1.2834789231419563E-8</v>
      </c>
      <c r="K310">
        <f>Waterfall!AA310</f>
        <v>0</v>
      </c>
      <c r="L310">
        <f>Waterfall!AB310</f>
        <v>0</v>
      </c>
      <c r="M310">
        <f>Waterfall!AC310</f>
        <v>0</v>
      </c>
    </row>
    <row r="311" spans="1:13" x14ac:dyDescent="0.2">
      <c r="A311" t="str">
        <f>Inputs!B14</f>
        <v>Base</v>
      </c>
      <c r="B311">
        <f>LoanPool!A311</f>
        <v>310</v>
      </c>
      <c r="C311">
        <f>LoanPool!B311</f>
        <v>0</v>
      </c>
      <c r="D311">
        <f>LoanPool!J311</f>
        <v>0</v>
      </c>
      <c r="E311">
        <f>LoanPool!L311</f>
        <v>0</v>
      </c>
      <c r="F311">
        <f>LoanPool!M311</f>
        <v>0</v>
      </c>
      <c r="G311">
        <f>LoanPool!H311</f>
        <v>0</v>
      </c>
      <c r="H311">
        <f>Waterfall!X311</f>
        <v>0</v>
      </c>
      <c r="I311">
        <f>Waterfall!Y311</f>
        <v>0</v>
      </c>
      <c r="J311">
        <f>Waterfall!Z311</f>
        <v>1.2834789231419563E-8</v>
      </c>
      <c r="K311">
        <f>Waterfall!AA311</f>
        <v>0</v>
      </c>
      <c r="L311">
        <f>Waterfall!AB311</f>
        <v>0</v>
      </c>
      <c r="M311">
        <f>Waterfall!AC311</f>
        <v>0</v>
      </c>
    </row>
    <row r="312" spans="1:13" x14ac:dyDescent="0.2">
      <c r="A312" t="str">
        <f>Inputs!B14</f>
        <v>Base</v>
      </c>
      <c r="B312">
        <f>LoanPool!A312</f>
        <v>311</v>
      </c>
      <c r="C312">
        <f>LoanPool!B312</f>
        <v>0</v>
      </c>
      <c r="D312">
        <f>LoanPool!J312</f>
        <v>0</v>
      </c>
      <c r="E312">
        <f>LoanPool!L312</f>
        <v>0</v>
      </c>
      <c r="F312">
        <f>LoanPool!M312</f>
        <v>0</v>
      </c>
      <c r="G312">
        <f>LoanPool!H312</f>
        <v>0</v>
      </c>
      <c r="H312">
        <f>Waterfall!X312</f>
        <v>0</v>
      </c>
      <c r="I312">
        <f>Waterfall!Y312</f>
        <v>0</v>
      </c>
      <c r="J312">
        <f>Waterfall!Z312</f>
        <v>1.2834789231419563E-8</v>
      </c>
      <c r="K312">
        <f>Waterfall!AA312</f>
        <v>0</v>
      </c>
      <c r="L312">
        <f>Waterfall!AB312</f>
        <v>0</v>
      </c>
      <c r="M312">
        <f>Waterfall!AC312</f>
        <v>0</v>
      </c>
    </row>
    <row r="313" spans="1:13" x14ac:dyDescent="0.2">
      <c r="A313" t="str">
        <f>Inputs!B14</f>
        <v>Base</v>
      </c>
      <c r="B313">
        <f>LoanPool!A313</f>
        <v>312</v>
      </c>
      <c r="C313">
        <f>LoanPool!B313</f>
        <v>0</v>
      </c>
      <c r="D313">
        <f>LoanPool!J313</f>
        <v>0</v>
      </c>
      <c r="E313">
        <f>LoanPool!L313</f>
        <v>0</v>
      </c>
      <c r="F313">
        <f>LoanPool!M313</f>
        <v>0</v>
      </c>
      <c r="G313">
        <f>LoanPool!H313</f>
        <v>0</v>
      </c>
      <c r="H313">
        <f>Waterfall!X313</f>
        <v>0</v>
      </c>
      <c r="I313">
        <f>Waterfall!Y313</f>
        <v>0</v>
      </c>
      <c r="J313">
        <f>Waterfall!Z313</f>
        <v>1.2834789231419563E-8</v>
      </c>
      <c r="K313">
        <f>Waterfall!AA313</f>
        <v>0</v>
      </c>
      <c r="L313">
        <f>Waterfall!AB313</f>
        <v>0</v>
      </c>
      <c r="M313">
        <f>Waterfall!AC313</f>
        <v>0</v>
      </c>
    </row>
    <row r="314" spans="1:13" x14ac:dyDescent="0.2">
      <c r="A314" t="str">
        <f>Inputs!B14</f>
        <v>Base</v>
      </c>
      <c r="B314">
        <f>LoanPool!A314</f>
        <v>313</v>
      </c>
      <c r="C314">
        <f>LoanPool!B314</f>
        <v>0</v>
      </c>
      <c r="D314">
        <f>LoanPool!J314</f>
        <v>0</v>
      </c>
      <c r="E314">
        <f>LoanPool!L314</f>
        <v>0</v>
      </c>
      <c r="F314">
        <f>LoanPool!M314</f>
        <v>0</v>
      </c>
      <c r="G314">
        <f>LoanPool!H314</f>
        <v>0</v>
      </c>
      <c r="H314">
        <f>Waterfall!X314</f>
        <v>0</v>
      </c>
      <c r="I314">
        <f>Waterfall!Y314</f>
        <v>0</v>
      </c>
      <c r="J314">
        <f>Waterfall!Z314</f>
        <v>1.2834789231419563E-8</v>
      </c>
      <c r="K314">
        <f>Waterfall!AA314</f>
        <v>0</v>
      </c>
      <c r="L314">
        <f>Waterfall!AB314</f>
        <v>0</v>
      </c>
      <c r="M314">
        <f>Waterfall!AC314</f>
        <v>0</v>
      </c>
    </row>
    <row r="315" spans="1:13" x14ac:dyDescent="0.2">
      <c r="A315" t="str">
        <f>Inputs!B14</f>
        <v>Base</v>
      </c>
      <c r="B315">
        <f>LoanPool!A315</f>
        <v>314</v>
      </c>
      <c r="C315">
        <f>LoanPool!B315</f>
        <v>0</v>
      </c>
      <c r="D315">
        <f>LoanPool!J315</f>
        <v>0</v>
      </c>
      <c r="E315">
        <f>LoanPool!L315</f>
        <v>0</v>
      </c>
      <c r="F315">
        <f>LoanPool!M315</f>
        <v>0</v>
      </c>
      <c r="G315">
        <f>LoanPool!H315</f>
        <v>0</v>
      </c>
      <c r="H315">
        <f>Waterfall!X315</f>
        <v>0</v>
      </c>
      <c r="I315">
        <f>Waterfall!Y315</f>
        <v>0</v>
      </c>
      <c r="J315">
        <f>Waterfall!Z315</f>
        <v>1.2834789231419563E-8</v>
      </c>
      <c r="K315">
        <f>Waterfall!AA315</f>
        <v>0</v>
      </c>
      <c r="L315">
        <f>Waterfall!AB315</f>
        <v>0</v>
      </c>
      <c r="M315">
        <f>Waterfall!AC315</f>
        <v>0</v>
      </c>
    </row>
    <row r="316" spans="1:13" x14ac:dyDescent="0.2">
      <c r="A316" t="str">
        <f>Inputs!B14</f>
        <v>Base</v>
      </c>
      <c r="B316">
        <f>LoanPool!A316</f>
        <v>315</v>
      </c>
      <c r="C316">
        <f>LoanPool!B316</f>
        <v>0</v>
      </c>
      <c r="D316">
        <f>LoanPool!J316</f>
        <v>0</v>
      </c>
      <c r="E316">
        <f>LoanPool!L316</f>
        <v>0</v>
      </c>
      <c r="F316">
        <f>LoanPool!M316</f>
        <v>0</v>
      </c>
      <c r="G316">
        <f>LoanPool!H316</f>
        <v>0</v>
      </c>
      <c r="H316">
        <f>Waterfall!X316</f>
        <v>0</v>
      </c>
      <c r="I316">
        <f>Waterfall!Y316</f>
        <v>0</v>
      </c>
      <c r="J316">
        <f>Waterfall!Z316</f>
        <v>1.2834789231419563E-8</v>
      </c>
      <c r="K316">
        <f>Waterfall!AA316</f>
        <v>0</v>
      </c>
      <c r="L316">
        <f>Waterfall!AB316</f>
        <v>0</v>
      </c>
      <c r="M316">
        <f>Waterfall!AC316</f>
        <v>0</v>
      </c>
    </row>
    <row r="317" spans="1:13" x14ac:dyDescent="0.2">
      <c r="A317" t="str">
        <f>Inputs!B14</f>
        <v>Base</v>
      </c>
      <c r="B317">
        <f>LoanPool!A317</f>
        <v>316</v>
      </c>
      <c r="C317">
        <f>LoanPool!B317</f>
        <v>0</v>
      </c>
      <c r="D317">
        <f>LoanPool!J317</f>
        <v>0</v>
      </c>
      <c r="E317">
        <f>LoanPool!L317</f>
        <v>0</v>
      </c>
      <c r="F317">
        <f>LoanPool!M317</f>
        <v>0</v>
      </c>
      <c r="G317">
        <f>LoanPool!H317</f>
        <v>0</v>
      </c>
      <c r="H317">
        <f>Waterfall!X317</f>
        <v>0</v>
      </c>
      <c r="I317">
        <f>Waterfall!Y317</f>
        <v>0</v>
      </c>
      <c r="J317">
        <f>Waterfall!Z317</f>
        <v>1.2834789231419563E-8</v>
      </c>
      <c r="K317">
        <f>Waterfall!AA317</f>
        <v>0</v>
      </c>
      <c r="L317">
        <f>Waterfall!AB317</f>
        <v>0</v>
      </c>
      <c r="M317">
        <f>Waterfall!AC317</f>
        <v>0</v>
      </c>
    </row>
    <row r="318" spans="1:13" x14ac:dyDescent="0.2">
      <c r="A318" t="str">
        <f>Inputs!B14</f>
        <v>Base</v>
      </c>
      <c r="B318">
        <f>LoanPool!A318</f>
        <v>317</v>
      </c>
      <c r="C318">
        <f>LoanPool!B318</f>
        <v>0</v>
      </c>
      <c r="D318">
        <f>LoanPool!J318</f>
        <v>0</v>
      </c>
      <c r="E318">
        <f>LoanPool!L318</f>
        <v>0</v>
      </c>
      <c r="F318">
        <f>LoanPool!M318</f>
        <v>0</v>
      </c>
      <c r="G318">
        <f>LoanPool!H318</f>
        <v>0</v>
      </c>
      <c r="H318">
        <f>Waterfall!X318</f>
        <v>0</v>
      </c>
      <c r="I318">
        <f>Waterfall!Y318</f>
        <v>0</v>
      </c>
      <c r="J318">
        <f>Waterfall!Z318</f>
        <v>1.2834789231419563E-8</v>
      </c>
      <c r="K318">
        <f>Waterfall!AA318</f>
        <v>0</v>
      </c>
      <c r="L318">
        <f>Waterfall!AB318</f>
        <v>0</v>
      </c>
      <c r="M318">
        <f>Waterfall!AC318</f>
        <v>0</v>
      </c>
    </row>
    <row r="319" spans="1:13" x14ac:dyDescent="0.2">
      <c r="A319" t="str">
        <f>Inputs!B14</f>
        <v>Base</v>
      </c>
      <c r="B319">
        <f>LoanPool!A319</f>
        <v>318</v>
      </c>
      <c r="C319">
        <f>LoanPool!B319</f>
        <v>0</v>
      </c>
      <c r="D319">
        <f>LoanPool!J319</f>
        <v>0</v>
      </c>
      <c r="E319">
        <f>LoanPool!L319</f>
        <v>0</v>
      </c>
      <c r="F319">
        <f>LoanPool!M319</f>
        <v>0</v>
      </c>
      <c r="G319">
        <f>LoanPool!H319</f>
        <v>0</v>
      </c>
      <c r="H319">
        <f>Waterfall!X319</f>
        <v>0</v>
      </c>
      <c r="I319">
        <f>Waterfall!Y319</f>
        <v>0</v>
      </c>
      <c r="J319">
        <f>Waterfall!Z319</f>
        <v>1.2834789231419563E-8</v>
      </c>
      <c r="K319">
        <f>Waterfall!AA319</f>
        <v>0</v>
      </c>
      <c r="L319">
        <f>Waterfall!AB319</f>
        <v>0</v>
      </c>
      <c r="M319">
        <f>Waterfall!AC319</f>
        <v>0</v>
      </c>
    </row>
    <row r="320" spans="1:13" x14ac:dyDescent="0.2">
      <c r="A320" t="str">
        <f>Inputs!B14</f>
        <v>Base</v>
      </c>
      <c r="B320">
        <f>LoanPool!A320</f>
        <v>319</v>
      </c>
      <c r="C320">
        <f>LoanPool!B320</f>
        <v>0</v>
      </c>
      <c r="D320">
        <f>LoanPool!J320</f>
        <v>0</v>
      </c>
      <c r="E320">
        <f>LoanPool!L320</f>
        <v>0</v>
      </c>
      <c r="F320">
        <f>LoanPool!M320</f>
        <v>0</v>
      </c>
      <c r="G320">
        <f>LoanPool!H320</f>
        <v>0</v>
      </c>
      <c r="H320">
        <f>Waterfall!X320</f>
        <v>0</v>
      </c>
      <c r="I320">
        <f>Waterfall!Y320</f>
        <v>0</v>
      </c>
      <c r="J320">
        <f>Waterfall!Z320</f>
        <v>1.2834789231419563E-8</v>
      </c>
      <c r="K320">
        <f>Waterfall!AA320</f>
        <v>0</v>
      </c>
      <c r="L320">
        <f>Waterfall!AB320</f>
        <v>0</v>
      </c>
      <c r="M320">
        <f>Waterfall!AC320</f>
        <v>0</v>
      </c>
    </row>
    <row r="321" spans="1:13" x14ac:dyDescent="0.2">
      <c r="A321" t="str">
        <f>Inputs!B14</f>
        <v>Base</v>
      </c>
      <c r="B321">
        <f>LoanPool!A321</f>
        <v>320</v>
      </c>
      <c r="C321">
        <f>LoanPool!B321</f>
        <v>0</v>
      </c>
      <c r="D321">
        <f>LoanPool!J321</f>
        <v>0</v>
      </c>
      <c r="E321">
        <f>LoanPool!L321</f>
        <v>0</v>
      </c>
      <c r="F321">
        <f>LoanPool!M321</f>
        <v>0</v>
      </c>
      <c r="G321">
        <f>LoanPool!H321</f>
        <v>0</v>
      </c>
      <c r="H321">
        <f>Waterfall!X321</f>
        <v>0</v>
      </c>
      <c r="I321">
        <f>Waterfall!Y321</f>
        <v>0</v>
      </c>
      <c r="J321">
        <f>Waterfall!Z321</f>
        <v>1.2834789231419563E-8</v>
      </c>
      <c r="K321">
        <f>Waterfall!AA321</f>
        <v>0</v>
      </c>
      <c r="L321">
        <f>Waterfall!AB321</f>
        <v>0</v>
      </c>
      <c r="M321">
        <f>Waterfall!AC321</f>
        <v>0</v>
      </c>
    </row>
    <row r="322" spans="1:13" x14ac:dyDescent="0.2">
      <c r="A322" t="str">
        <f>Inputs!B14</f>
        <v>Base</v>
      </c>
      <c r="B322">
        <f>LoanPool!A322</f>
        <v>321</v>
      </c>
      <c r="C322">
        <f>LoanPool!B322</f>
        <v>0</v>
      </c>
      <c r="D322">
        <f>LoanPool!J322</f>
        <v>0</v>
      </c>
      <c r="E322">
        <f>LoanPool!L322</f>
        <v>0</v>
      </c>
      <c r="F322">
        <f>LoanPool!M322</f>
        <v>0</v>
      </c>
      <c r="G322">
        <f>LoanPool!H322</f>
        <v>0</v>
      </c>
      <c r="H322">
        <f>Waterfall!X322</f>
        <v>0</v>
      </c>
      <c r="I322">
        <f>Waterfall!Y322</f>
        <v>0</v>
      </c>
      <c r="J322">
        <f>Waterfall!Z322</f>
        <v>1.2834789231419563E-8</v>
      </c>
      <c r="K322">
        <f>Waterfall!AA322</f>
        <v>0</v>
      </c>
      <c r="L322">
        <f>Waterfall!AB322</f>
        <v>0</v>
      </c>
      <c r="M322">
        <f>Waterfall!AC322</f>
        <v>0</v>
      </c>
    </row>
    <row r="323" spans="1:13" x14ac:dyDescent="0.2">
      <c r="A323" t="str">
        <f>Inputs!B14</f>
        <v>Base</v>
      </c>
      <c r="B323">
        <f>LoanPool!A323</f>
        <v>322</v>
      </c>
      <c r="C323">
        <f>LoanPool!B323</f>
        <v>0</v>
      </c>
      <c r="D323">
        <f>LoanPool!J323</f>
        <v>0</v>
      </c>
      <c r="E323">
        <f>LoanPool!L323</f>
        <v>0</v>
      </c>
      <c r="F323">
        <f>LoanPool!M323</f>
        <v>0</v>
      </c>
      <c r="G323">
        <f>LoanPool!H323</f>
        <v>0</v>
      </c>
      <c r="H323">
        <f>Waterfall!X323</f>
        <v>0</v>
      </c>
      <c r="I323">
        <f>Waterfall!Y323</f>
        <v>0</v>
      </c>
      <c r="J323">
        <f>Waterfall!Z323</f>
        <v>1.2834789231419563E-8</v>
      </c>
      <c r="K323">
        <f>Waterfall!AA323</f>
        <v>0</v>
      </c>
      <c r="L323">
        <f>Waterfall!AB323</f>
        <v>0</v>
      </c>
      <c r="M323">
        <f>Waterfall!AC323</f>
        <v>0</v>
      </c>
    </row>
    <row r="324" spans="1:13" x14ac:dyDescent="0.2">
      <c r="A324" t="str">
        <f>Inputs!B14</f>
        <v>Base</v>
      </c>
      <c r="B324">
        <f>LoanPool!A324</f>
        <v>323</v>
      </c>
      <c r="C324">
        <f>LoanPool!B324</f>
        <v>0</v>
      </c>
      <c r="D324">
        <f>LoanPool!J324</f>
        <v>0</v>
      </c>
      <c r="E324">
        <f>LoanPool!L324</f>
        <v>0</v>
      </c>
      <c r="F324">
        <f>LoanPool!M324</f>
        <v>0</v>
      </c>
      <c r="G324">
        <f>LoanPool!H324</f>
        <v>0</v>
      </c>
      <c r="H324">
        <f>Waterfall!X324</f>
        <v>0</v>
      </c>
      <c r="I324">
        <f>Waterfall!Y324</f>
        <v>0</v>
      </c>
      <c r="J324">
        <f>Waterfall!Z324</f>
        <v>1.2834789231419563E-8</v>
      </c>
      <c r="K324">
        <f>Waterfall!AA324</f>
        <v>0</v>
      </c>
      <c r="L324">
        <f>Waterfall!AB324</f>
        <v>0</v>
      </c>
      <c r="M324">
        <f>Waterfall!AC324</f>
        <v>0</v>
      </c>
    </row>
    <row r="325" spans="1:13" x14ac:dyDescent="0.2">
      <c r="A325" t="str">
        <f>Inputs!B14</f>
        <v>Base</v>
      </c>
      <c r="B325">
        <f>LoanPool!A325</f>
        <v>324</v>
      </c>
      <c r="C325">
        <f>LoanPool!B325</f>
        <v>0</v>
      </c>
      <c r="D325">
        <f>LoanPool!J325</f>
        <v>0</v>
      </c>
      <c r="E325">
        <f>LoanPool!L325</f>
        <v>0</v>
      </c>
      <c r="F325">
        <f>LoanPool!M325</f>
        <v>0</v>
      </c>
      <c r="G325">
        <f>LoanPool!H325</f>
        <v>0</v>
      </c>
      <c r="H325">
        <f>Waterfall!X325</f>
        <v>0</v>
      </c>
      <c r="I325">
        <f>Waterfall!Y325</f>
        <v>0</v>
      </c>
      <c r="J325">
        <f>Waterfall!Z325</f>
        <v>1.2834789231419563E-8</v>
      </c>
      <c r="K325">
        <f>Waterfall!AA325</f>
        <v>0</v>
      </c>
      <c r="L325">
        <f>Waterfall!AB325</f>
        <v>0</v>
      </c>
      <c r="M325">
        <f>Waterfall!AC325</f>
        <v>0</v>
      </c>
    </row>
    <row r="326" spans="1:13" x14ac:dyDescent="0.2">
      <c r="A326" t="str">
        <f>Inputs!B14</f>
        <v>Base</v>
      </c>
      <c r="B326">
        <f>LoanPool!A326</f>
        <v>325</v>
      </c>
      <c r="C326">
        <f>LoanPool!B326</f>
        <v>0</v>
      </c>
      <c r="D326">
        <f>LoanPool!J326</f>
        <v>0</v>
      </c>
      <c r="E326">
        <f>LoanPool!L326</f>
        <v>0</v>
      </c>
      <c r="F326">
        <f>LoanPool!M326</f>
        <v>0</v>
      </c>
      <c r="G326">
        <f>LoanPool!H326</f>
        <v>0</v>
      </c>
      <c r="H326">
        <f>Waterfall!X326</f>
        <v>0</v>
      </c>
      <c r="I326">
        <f>Waterfall!Y326</f>
        <v>0</v>
      </c>
      <c r="J326">
        <f>Waterfall!Z326</f>
        <v>1.2834789231419563E-8</v>
      </c>
      <c r="K326">
        <f>Waterfall!AA326</f>
        <v>0</v>
      </c>
      <c r="L326">
        <f>Waterfall!AB326</f>
        <v>0</v>
      </c>
      <c r="M326">
        <f>Waterfall!AC326</f>
        <v>0</v>
      </c>
    </row>
    <row r="327" spans="1:13" x14ac:dyDescent="0.2">
      <c r="A327" t="str">
        <f>Inputs!B14</f>
        <v>Base</v>
      </c>
      <c r="B327">
        <f>LoanPool!A327</f>
        <v>326</v>
      </c>
      <c r="C327">
        <f>LoanPool!B327</f>
        <v>0</v>
      </c>
      <c r="D327">
        <f>LoanPool!J327</f>
        <v>0</v>
      </c>
      <c r="E327">
        <f>LoanPool!L327</f>
        <v>0</v>
      </c>
      <c r="F327">
        <f>LoanPool!M327</f>
        <v>0</v>
      </c>
      <c r="G327">
        <f>LoanPool!H327</f>
        <v>0</v>
      </c>
      <c r="H327">
        <f>Waterfall!X327</f>
        <v>0</v>
      </c>
      <c r="I327">
        <f>Waterfall!Y327</f>
        <v>0</v>
      </c>
      <c r="J327">
        <f>Waterfall!Z327</f>
        <v>1.2834789231419563E-8</v>
      </c>
      <c r="K327">
        <f>Waterfall!AA327</f>
        <v>0</v>
      </c>
      <c r="L327">
        <f>Waterfall!AB327</f>
        <v>0</v>
      </c>
      <c r="M327">
        <f>Waterfall!AC327</f>
        <v>0</v>
      </c>
    </row>
    <row r="328" spans="1:13" x14ac:dyDescent="0.2">
      <c r="A328" t="str">
        <f>Inputs!B14</f>
        <v>Base</v>
      </c>
      <c r="B328">
        <f>LoanPool!A328</f>
        <v>327</v>
      </c>
      <c r="C328">
        <f>LoanPool!B328</f>
        <v>0</v>
      </c>
      <c r="D328">
        <f>LoanPool!J328</f>
        <v>0</v>
      </c>
      <c r="E328">
        <f>LoanPool!L328</f>
        <v>0</v>
      </c>
      <c r="F328">
        <f>LoanPool!M328</f>
        <v>0</v>
      </c>
      <c r="G328">
        <f>LoanPool!H328</f>
        <v>0</v>
      </c>
      <c r="H328">
        <f>Waterfall!X328</f>
        <v>0</v>
      </c>
      <c r="I328">
        <f>Waterfall!Y328</f>
        <v>0</v>
      </c>
      <c r="J328">
        <f>Waterfall!Z328</f>
        <v>1.2834789231419563E-8</v>
      </c>
      <c r="K328">
        <f>Waterfall!AA328</f>
        <v>0</v>
      </c>
      <c r="L328">
        <f>Waterfall!AB328</f>
        <v>0</v>
      </c>
      <c r="M328">
        <f>Waterfall!AC328</f>
        <v>0</v>
      </c>
    </row>
    <row r="329" spans="1:13" x14ac:dyDescent="0.2">
      <c r="A329" t="str">
        <f>Inputs!B14</f>
        <v>Base</v>
      </c>
      <c r="B329">
        <f>LoanPool!A329</f>
        <v>328</v>
      </c>
      <c r="C329">
        <f>LoanPool!B329</f>
        <v>0</v>
      </c>
      <c r="D329">
        <f>LoanPool!J329</f>
        <v>0</v>
      </c>
      <c r="E329">
        <f>LoanPool!L329</f>
        <v>0</v>
      </c>
      <c r="F329">
        <f>LoanPool!M329</f>
        <v>0</v>
      </c>
      <c r="G329">
        <f>LoanPool!H329</f>
        <v>0</v>
      </c>
      <c r="H329">
        <f>Waterfall!X329</f>
        <v>0</v>
      </c>
      <c r="I329">
        <f>Waterfall!Y329</f>
        <v>0</v>
      </c>
      <c r="J329">
        <f>Waterfall!Z329</f>
        <v>1.2834789231419563E-8</v>
      </c>
      <c r="K329">
        <f>Waterfall!AA329</f>
        <v>0</v>
      </c>
      <c r="L329">
        <f>Waterfall!AB329</f>
        <v>0</v>
      </c>
      <c r="M329">
        <f>Waterfall!AC329</f>
        <v>0</v>
      </c>
    </row>
    <row r="330" spans="1:13" x14ac:dyDescent="0.2">
      <c r="A330" t="str">
        <f>Inputs!B14</f>
        <v>Base</v>
      </c>
      <c r="B330">
        <f>LoanPool!A330</f>
        <v>329</v>
      </c>
      <c r="C330">
        <f>LoanPool!B330</f>
        <v>0</v>
      </c>
      <c r="D330">
        <f>LoanPool!J330</f>
        <v>0</v>
      </c>
      <c r="E330">
        <f>LoanPool!L330</f>
        <v>0</v>
      </c>
      <c r="F330">
        <f>LoanPool!M330</f>
        <v>0</v>
      </c>
      <c r="G330">
        <f>LoanPool!H330</f>
        <v>0</v>
      </c>
      <c r="H330">
        <f>Waterfall!X330</f>
        <v>0</v>
      </c>
      <c r="I330">
        <f>Waterfall!Y330</f>
        <v>0</v>
      </c>
      <c r="J330">
        <f>Waterfall!Z330</f>
        <v>1.2834789231419563E-8</v>
      </c>
      <c r="K330">
        <f>Waterfall!AA330</f>
        <v>0</v>
      </c>
      <c r="L330">
        <f>Waterfall!AB330</f>
        <v>0</v>
      </c>
      <c r="M330">
        <f>Waterfall!AC330</f>
        <v>0</v>
      </c>
    </row>
    <row r="331" spans="1:13" x14ac:dyDescent="0.2">
      <c r="A331" t="str">
        <f>Inputs!B14</f>
        <v>Base</v>
      </c>
      <c r="B331">
        <f>LoanPool!A331</f>
        <v>330</v>
      </c>
      <c r="C331">
        <f>LoanPool!B331</f>
        <v>0</v>
      </c>
      <c r="D331">
        <f>LoanPool!J331</f>
        <v>0</v>
      </c>
      <c r="E331">
        <f>LoanPool!L331</f>
        <v>0</v>
      </c>
      <c r="F331">
        <f>LoanPool!M331</f>
        <v>0</v>
      </c>
      <c r="G331">
        <f>LoanPool!H331</f>
        <v>0</v>
      </c>
      <c r="H331">
        <f>Waterfall!X331</f>
        <v>0</v>
      </c>
      <c r="I331">
        <f>Waterfall!Y331</f>
        <v>0</v>
      </c>
      <c r="J331">
        <f>Waterfall!Z331</f>
        <v>1.2834789231419563E-8</v>
      </c>
      <c r="K331">
        <f>Waterfall!AA331</f>
        <v>0</v>
      </c>
      <c r="L331">
        <f>Waterfall!AB331</f>
        <v>0</v>
      </c>
      <c r="M331">
        <f>Waterfall!AC331</f>
        <v>0</v>
      </c>
    </row>
    <row r="332" spans="1:13" x14ac:dyDescent="0.2">
      <c r="A332" t="str">
        <f>Inputs!B14</f>
        <v>Base</v>
      </c>
      <c r="B332">
        <f>LoanPool!A332</f>
        <v>331</v>
      </c>
      <c r="C332">
        <f>LoanPool!B332</f>
        <v>0</v>
      </c>
      <c r="D332">
        <f>LoanPool!J332</f>
        <v>0</v>
      </c>
      <c r="E332">
        <f>LoanPool!L332</f>
        <v>0</v>
      </c>
      <c r="F332">
        <f>LoanPool!M332</f>
        <v>0</v>
      </c>
      <c r="G332">
        <f>LoanPool!H332</f>
        <v>0</v>
      </c>
      <c r="H332">
        <f>Waterfall!X332</f>
        <v>0</v>
      </c>
      <c r="I332">
        <f>Waterfall!Y332</f>
        <v>0</v>
      </c>
      <c r="J332">
        <f>Waterfall!Z332</f>
        <v>1.2834789231419563E-8</v>
      </c>
      <c r="K332">
        <f>Waterfall!AA332</f>
        <v>0</v>
      </c>
      <c r="L332">
        <f>Waterfall!AB332</f>
        <v>0</v>
      </c>
      <c r="M332">
        <f>Waterfall!AC332</f>
        <v>0</v>
      </c>
    </row>
    <row r="333" spans="1:13" x14ac:dyDescent="0.2">
      <c r="A333" t="str">
        <f>Inputs!B14</f>
        <v>Base</v>
      </c>
      <c r="B333">
        <f>LoanPool!A333</f>
        <v>332</v>
      </c>
      <c r="C333">
        <f>LoanPool!B333</f>
        <v>0</v>
      </c>
      <c r="D333">
        <f>LoanPool!J333</f>
        <v>0</v>
      </c>
      <c r="E333">
        <f>LoanPool!L333</f>
        <v>0</v>
      </c>
      <c r="F333">
        <f>LoanPool!M333</f>
        <v>0</v>
      </c>
      <c r="G333">
        <f>LoanPool!H333</f>
        <v>0</v>
      </c>
      <c r="H333">
        <f>Waterfall!X333</f>
        <v>0</v>
      </c>
      <c r="I333">
        <f>Waterfall!Y333</f>
        <v>0</v>
      </c>
      <c r="J333">
        <f>Waterfall!Z333</f>
        <v>1.2834789231419563E-8</v>
      </c>
      <c r="K333">
        <f>Waterfall!AA333</f>
        <v>0</v>
      </c>
      <c r="L333">
        <f>Waterfall!AB333</f>
        <v>0</v>
      </c>
      <c r="M333">
        <f>Waterfall!AC333</f>
        <v>0</v>
      </c>
    </row>
    <row r="334" spans="1:13" x14ac:dyDescent="0.2">
      <c r="A334" t="str">
        <f>Inputs!B14</f>
        <v>Base</v>
      </c>
      <c r="B334">
        <f>LoanPool!A334</f>
        <v>333</v>
      </c>
      <c r="C334">
        <f>LoanPool!B334</f>
        <v>0</v>
      </c>
      <c r="D334">
        <f>LoanPool!J334</f>
        <v>0</v>
      </c>
      <c r="E334">
        <f>LoanPool!L334</f>
        <v>0</v>
      </c>
      <c r="F334">
        <f>LoanPool!M334</f>
        <v>0</v>
      </c>
      <c r="G334">
        <f>LoanPool!H334</f>
        <v>0</v>
      </c>
      <c r="H334">
        <f>Waterfall!X334</f>
        <v>0</v>
      </c>
      <c r="I334">
        <f>Waterfall!Y334</f>
        <v>0</v>
      </c>
      <c r="J334">
        <f>Waterfall!Z334</f>
        <v>1.2834789231419563E-8</v>
      </c>
      <c r="K334">
        <f>Waterfall!AA334</f>
        <v>0</v>
      </c>
      <c r="L334">
        <f>Waterfall!AB334</f>
        <v>0</v>
      </c>
      <c r="M334">
        <f>Waterfall!AC334</f>
        <v>0</v>
      </c>
    </row>
    <row r="335" spans="1:13" x14ac:dyDescent="0.2">
      <c r="A335" t="str">
        <f>Inputs!B14</f>
        <v>Base</v>
      </c>
      <c r="B335">
        <f>LoanPool!A335</f>
        <v>334</v>
      </c>
      <c r="C335">
        <f>LoanPool!B335</f>
        <v>0</v>
      </c>
      <c r="D335">
        <f>LoanPool!J335</f>
        <v>0</v>
      </c>
      <c r="E335">
        <f>LoanPool!L335</f>
        <v>0</v>
      </c>
      <c r="F335">
        <f>LoanPool!M335</f>
        <v>0</v>
      </c>
      <c r="G335">
        <f>LoanPool!H335</f>
        <v>0</v>
      </c>
      <c r="H335">
        <f>Waterfall!X335</f>
        <v>0</v>
      </c>
      <c r="I335">
        <f>Waterfall!Y335</f>
        <v>0</v>
      </c>
      <c r="J335">
        <f>Waterfall!Z335</f>
        <v>1.2834789231419563E-8</v>
      </c>
      <c r="K335">
        <f>Waterfall!AA335</f>
        <v>0</v>
      </c>
      <c r="L335">
        <f>Waterfall!AB335</f>
        <v>0</v>
      </c>
      <c r="M335">
        <f>Waterfall!AC335</f>
        <v>0</v>
      </c>
    </row>
    <row r="336" spans="1:13" x14ac:dyDescent="0.2">
      <c r="A336" t="str">
        <f>Inputs!B14</f>
        <v>Base</v>
      </c>
      <c r="B336">
        <f>LoanPool!A336</f>
        <v>335</v>
      </c>
      <c r="C336">
        <f>LoanPool!B336</f>
        <v>0</v>
      </c>
      <c r="D336">
        <f>LoanPool!J336</f>
        <v>0</v>
      </c>
      <c r="E336">
        <f>LoanPool!L336</f>
        <v>0</v>
      </c>
      <c r="F336">
        <f>LoanPool!M336</f>
        <v>0</v>
      </c>
      <c r="G336">
        <f>LoanPool!H336</f>
        <v>0</v>
      </c>
      <c r="H336">
        <f>Waterfall!X336</f>
        <v>0</v>
      </c>
      <c r="I336">
        <f>Waterfall!Y336</f>
        <v>0</v>
      </c>
      <c r="J336">
        <f>Waterfall!Z336</f>
        <v>1.2834789231419563E-8</v>
      </c>
      <c r="K336">
        <f>Waterfall!AA336</f>
        <v>0</v>
      </c>
      <c r="L336">
        <f>Waterfall!AB336</f>
        <v>0</v>
      </c>
      <c r="M336">
        <f>Waterfall!AC336</f>
        <v>0</v>
      </c>
    </row>
    <row r="337" spans="1:13" x14ac:dyDescent="0.2">
      <c r="A337" t="str">
        <f>Inputs!B14</f>
        <v>Base</v>
      </c>
      <c r="B337">
        <f>LoanPool!A337</f>
        <v>336</v>
      </c>
      <c r="C337">
        <f>LoanPool!B337</f>
        <v>0</v>
      </c>
      <c r="D337">
        <f>LoanPool!J337</f>
        <v>0</v>
      </c>
      <c r="E337">
        <f>LoanPool!L337</f>
        <v>0</v>
      </c>
      <c r="F337">
        <f>LoanPool!M337</f>
        <v>0</v>
      </c>
      <c r="G337">
        <f>LoanPool!H337</f>
        <v>0</v>
      </c>
      <c r="H337">
        <f>Waterfall!X337</f>
        <v>0</v>
      </c>
      <c r="I337">
        <f>Waterfall!Y337</f>
        <v>0</v>
      </c>
      <c r="J337">
        <f>Waterfall!Z337</f>
        <v>1.2834789231419563E-8</v>
      </c>
      <c r="K337">
        <f>Waterfall!AA337</f>
        <v>0</v>
      </c>
      <c r="L337">
        <f>Waterfall!AB337</f>
        <v>0</v>
      </c>
      <c r="M337">
        <f>Waterfall!AC337</f>
        <v>0</v>
      </c>
    </row>
    <row r="338" spans="1:13" x14ac:dyDescent="0.2">
      <c r="A338" t="str">
        <f>Inputs!B14</f>
        <v>Base</v>
      </c>
      <c r="B338">
        <f>LoanPool!A338</f>
        <v>337</v>
      </c>
      <c r="C338">
        <f>LoanPool!B338</f>
        <v>0</v>
      </c>
      <c r="D338">
        <f>LoanPool!J338</f>
        <v>0</v>
      </c>
      <c r="E338">
        <f>LoanPool!L338</f>
        <v>0</v>
      </c>
      <c r="F338">
        <f>LoanPool!M338</f>
        <v>0</v>
      </c>
      <c r="G338">
        <f>LoanPool!H338</f>
        <v>0</v>
      </c>
      <c r="H338">
        <f>Waterfall!X338</f>
        <v>0</v>
      </c>
      <c r="I338">
        <f>Waterfall!Y338</f>
        <v>0</v>
      </c>
      <c r="J338">
        <f>Waterfall!Z338</f>
        <v>1.2834789231419563E-8</v>
      </c>
      <c r="K338">
        <f>Waterfall!AA338</f>
        <v>0</v>
      </c>
      <c r="L338">
        <f>Waterfall!AB338</f>
        <v>0</v>
      </c>
      <c r="M338">
        <f>Waterfall!AC338</f>
        <v>0</v>
      </c>
    </row>
    <row r="339" spans="1:13" x14ac:dyDescent="0.2">
      <c r="A339" t="str">
        <f>Inputs!B14</f>
        <v>Base</v>
      </c>
      <c r="B339">
        <f>LoanPool!A339</f>
        <v>338</v>
      </c>
      <c r="C339">
        <f>LoanPool!B339</f>
        <v>0</v>
      </c>
      <c r="D339">
        <f>LoanPool!J339</f>
        <v>0</v>
      </c>
      <c r="E339">
        <f>LoanPool!L339</f>
        <v>0</v>
      </c>
      <c r="F339">
        <f>LoanPool!M339</f>
        <v>0</v>
      </c>
      <c r="G339">
        <f>LoanPool!H339</f>
        <v>0</v>
      </c>
      <c r="H339">
        <f>Waterfall!X339</f>
        <v>0</v>
      </c>
      <c r="I339">
        <f>Waterfall!Y339</f>
        <v>0</v>
      </c>
      <c r="J339">
        <f>Waterfall!Z339</f>
        <v>1.2834789231419563E-8</v>
      </c>
      <c r="K339">
        <f>Waterfall!AA339</f>
        <v>0</v>
      </c>
      <c r="L339">
        <f>Waterfall!AB339</f>
        <v>0</v>
      </c>
      <c r="M339">
        <f>Waterfall!AC339</f>
        <v>0</v>
      </c>
    </row>
    <row r="340" spans="1:13" x14ac:dyDescent="0.2">
      <c r="A340" t="str">
        <f>Inputs!B14</f>
        <v>Base</v>
      </c>
      <c r="B340">
        <f>LoanPool!A340</f>
        <v>339</v>
      </c>
      <c r="C340">
        <f>LoanPool!B340</f>
        <v>0</v>
      </c>
      <c r="D340">
        <f>LoanPool!J340</f>
        <v>0</v>
      </c>
      <c r="E340">
        <f>LoanPool!L340</f>
        <v>0</v>
      </c>
      <c r="F340">
        <f>LoanPool!M340</f>
        <v>0</v>
      </c>
      <c r="G340">
        <f>LoanPool!H340</f>
        <v>0</v>
      </c>
      <c r="H340">
        <f>Waterfall!X340</f>
        <v>0</v>
      </c>
      <c r="I340">
        <f>Waterfall!Y340</f>
        <v>0</v>
      </c>
      <c r="J340">
        <f>Waterfall!Z340</f>
        <v>1.2834789231419563E-8</v>
      </c>
      <c r="K340">
        <f>Waterfall!AA340</f>
        <v>0</v>
      </c>
      <c r="L340">
        <f>Waterfall!AB340</f>
        <v>0</v>
      </c>
      <c r="M340">
        <f>Waterfall!AC340</f>
        <v>0</v>
      </c>
    </row>
    <row r="341" spans="1:13" x14ac:dyDescent="0.2">
      <c r="A341" t="str">
        <f>Inputs!B14</f>
        <v>Base</v>
      </c>
      <c r="B341">
        <f>LoanPool!A341</f>
        <v>340</v>
      </c>
      <c r="C341">
        <f>LoanPool!B341</f>
        <v>0</v>
      </c>
      <c r="D341">
        <f>LoanPool!J341</f>
        <v>0</v>
      </c>
      <c r="E341">
        <f>LoanPool!L341</f>
        <v>0</v>
      </c>
      <c r="F341">
        <f>LoanPool!M341</f>
        <v>0</v>
      </c>
      <c r="G341">
        <f>LoanPool!H341</f>
        <v>0</v>
      </c>
      <c r="H341">
        <f>Waterfall!X341</f>
        <v>0</v>
      </c>
      <c r="I341">
        <f>Waterfall!Y341</f>
        <v>0</v>
      </c>
      <c r="J341">
        <f>Waterfall!Z341</f>
        <v>1.2834789231419563E-8</v>
      </c>
      <c r="K341">
        <f>Waterfall!AA341</f>
        <v>0</v>
      </c>
      <c r="L341">
        <f>Waterfall!AB341</f>
        <v>0</v>
      </c>
      <c r="M341">
        <f>Waterfall!AC341</f>
        <v>0</v>
      </c>
    </row>
    <row r="342" spans="1:13" x14ac:dyDescent="0.2">
      <c r="A342" t="str">
        <f>Inputs!B14</f>
        <v>Base</v>
      </c>
      <c r="B342">
        <f>LoanPool!A342</f>
        <v>341</v>
      </c>
      <c r="C342">
        <f>LoanPool!B342</f>
        <v>0</v>
      </c>
      <c r="D342">
        <f>LoanPool!J342</f>
        <v>0</v>
      </c>
      <c r="E342">
        <f>LoanPool!L342</f>
        <v>0</v>
      </c>
      <c r="F342">
        <f>LoanPool!M342</f>
        <v>0</v>
      </c>
      <c r="G342">
        <f>LoanPool!H342</f>
        <v>0</v>
      </c>
      <c r="H342">
        <f>Waterfall!X342</f>
        <v>0</v>
      </c>
      <c r="I342">
        <f>Waterfall!Y342</f>
        <v>0</v>
      </c>
      <c r="J342">
        <f>Waterfall!Z342</f>
        <v>1.2834789231419563E-8</v>
      </c>
      <c r="K342">
        <f>Waterfall!AA342</f>
        <v>0</v>
      </c>
      <c r="L342">
        <f>Waterfall!AB342</f>
        <v>0</v>
      </c>
      <c r="M342">
        <f>Waterfall!AC342</f>
        <v>0</v>
      </c>
    </row>
    <row r="343" spans="1:13" x14ac:dyDescent="0.2">
      <c r="A343" t="str">
        <f>Inputs!B14</f>
        <v>Base</v>
      </c>
      <c r="B343">
        <f>LoanPool!A343</f>
        <v>342</v>
      </c>
      <c r="C343">
        <f>LoanPool!B343</f>
        <v>0</v>
      </c>
      <c r="D343">
        <f>LoanPool!J343</f>
        <v>0</v>
      </c>
      <c r="E343">
        <f>LoanPool!L343</f>
        <v>0</v>
      </c>
      <c r="F343">
        <f>LoanPool!M343</f>
        <v>0</v>
      </c>
      <c r="G343">
        <f>LoanPool!H343</f>
        <v>0</v>
      </c>
      <c r="H343">
        <f>Waterfall!X343</f>
        <v>0</v>
      </c>
      <c r="I343">
        <f>Waterfall!Y343</f>
        <v>0</v>
      </c>
      <c r="J343">
        <f>Waterfall!Z343</f>
        <v>1.2834789231419563E-8</v>
      </c>
      <c r="K343">
        <f>Waterfall!AA343</f>
        <v>0</v>
      </c>
      <c r="L343">
        <f>Waterfall!AB343</f>
        <v>0</v>
      </c>
      <c r="M343">
        <f>Waterfall!AC343</f>
        <v>0</v>
      </c>
    </row>
    <row r="344" spans="1:13" x14ac:dyDescent="0.2">
      <c r="A344" t="str">
        <f>Inputs!B14</f>
        <v>Base</v>
      </c>
      <c r="B344">
        <f>LoanPool!A344</f>
        <v>343</v>
      </c>
      <c r="C344">
        <f>LoanPool!B344</f>
        <v>0</v>
      </c>
      <c r="D344">
        <f>LoanPool!J344</f>
        <v>0</v>
      </c>
      <c r="E344">
        <f>LoanPool!L344</f>
        <v>0</v>
      </c>
      <c r="F344">
        <f>LoanPool!M344</f>
        <v>0</v>
      </c>
      <c r="G344">
        <f>LoanPool!H344</f>
        <v>0</v>
      </c>
      <c r="H344">
        <f>Waterfall!X344</f>
        <v>0</v>
      </c>
      <c r="I344">
        <f>Waterfall!Y344</f>
        <v>0</v>
      </c>
      <c r="J344">
        <f>Waterfall!Z344</f>
        <v>1.2834789231419563E-8</v>
      </c>
      <c r="K344">
        <f>Waterfall!AA344</f>
        <v>0</v>
      </c>
      <c r="L344">
        <f>Waterfall!AB344</f>
        <v>0</v>
      </c>
      <c r="M344">
        <f>Waterfall!AC344</f>
        <v>0</v>
      </c>
    </row>
    <row r="345" spans="1:13" x14ac:dyDescent="0.2">
      <c r="A345" t="str">
        <f>Inputs!B14</f>
        <v>Base</v>
      </c>
      <c r="B345">
        <f>LoanPool!A345</f>
        <v>344</v>
      </c>
      <c r="C345">
        <f>LoanPool!B345</f>
        <v>0</v>
      </c>
      <c r="D345">
        <f>LoanPool!J345</f>
        <v>0</v>
      </c>
      <c r="E345">
        <f>LoanPool!L345</f>
        <v>0</v>
      </c>
      <c r="F345">
        <f>LoanPool!M345</f>
        <v>0</v>
      </c>
      <c r="G345">
        <f>LoanPool!H345</f>
        <v>0</v>
      </c>
      <c r="H345">
        <f>Waterfall!X345</f>
        <v>0</v>
      </c>
      <c r="I345">
        <f>Waterfall!Y345</f>
        <v>0</v>
      </c>
      <c r="J345">
        <f>Waterfall!Z345</f>
        <v>1.2834789231419563E-8</v>
      </c>
      <c r="K345">
        <f>Waterfall!AA345</f>
        <v>0</v>
      </c>
      <c r="L345">
        <f>Waterfall!AB345</f>
        <v>0</v>
      </c>
      <c r="M345">
        <f>Waterfall!AC345</f>
        <v>0</v>
      </c>
    </row>
    <row r="346" spans="1:13" x14ac:dyDescent="0.2">
      <c r="A346" t="str">
        <f>Inputs!B14</f>
        <v>Base</v>
      </c>
      <c r="B346">
        <f>LoanPool!A346</f>
        <v>345</v>
      </c>
      <c r="C346">
        <f>LoanPool!B346</f>
        <v>0</v>
      </c>
      <c r="D346">
        <f>LoanPool!J346</f>
        <v>0</v>
      </c>
      <c r="E346">
        <f>LoanPool!L346</f>
        <v>0</v>
      </c>
      <c r="F346">
        <f>LoanPool!M346</f>
        <v>0</v>
      </c>
      <c r="G346">
        <f>LoanPool!H346</f>
        <v>0</v>
      </c>
      <c r="H346">
        <f>Waterfall!X346</f>
        <v>0</v>
      </c>
      <c r="I346">
        <f>Waterfall!Y346</f>
        <v>0</v>
      </c>
      <c r="J346">
        <f>Waterfall!Z346</f>
        <v>1.2834789231419563E-8</v>
      </c>
      <c r="K346">
        <f>Waterfall!AA346</f>
        <v>0</v>
      </c>
      <c r="L346">
        <f>Waterfall!AB346</f>
        <v>0</v>
      </c>
      <c r="M346">
        <f>Waterfall!AC346</f>
        <v>0</v>
      </c>
    </row>
    <row r="347" spans="1:13" x14ac:dyDescent="0.2">
      <c r="A347" t="str">
        <f>Inputs!B14</f>
        <v>Base</v>
      </c>
      <c r="B347">
        <f>LoanPool!A347</f>
        <v>346</v>
      </c>
      <c r="C347">
        <f>LoanPool!B347</f>
        <v>0</v>
      </c>
      <c r="D347">
        <f>LoanPool!J347</f>
        <v>0</v>
      </c>
      <c r="E347">
        <f>LoanPool!L347</f>
        <v>0</v>
      </c>
      <c r="F347">
        <f>LoanPool!M347</f>
        <v>0</v>
      </c>
      <c r="G347">
        <f>LoanPool!H347</f>
        <v>0</v>
      </c>
      <c r="H347">
        <f>Waterfall!X347</f>
        <v>0</v>
      </c>
      <c r="I347">
        <f>Waterfall!Y347</f>
        <v>0</v>
      </c>
      <c r="J347">
        <f>Waterfall!Z347</f>
        <v>1.2834789231419563E-8</v>
      </c>
      <c r="K347">
        <f>Waterfall!AA347</f>
        <v>0</v>
      </c>
      <c r="L347">
        <f>Waterfall!AB347</f>
        <v>0</v>
      </c>
      <c r="M347">
        <f>Waterfall!AC347</f>
        <v>0</v>
      </c>
    </row>
    <row r="348" spans="1:13" x14ac:dyDescent="0.2">
      <c r="A348" t="str">
        <f>Inputs!B14</f>
        <v>Base</v>
      </c>
      <c r="B348">
        <f>LoanPool!A348</f>
        <v>347</v>
      </c>
      <c r="C348">
        <f>LoanPool!B348</f>
        <v>0</v>
      </c>
      <c r="D348">
        <f>LoanPool!J348</f>
        <v>0</v>
      </c>
      <c r="E348">
        <f>LoanPool!L348</f>
        <v>0</v>
      </c>
      <c r="F348">
        <f>LoanPool!M348</f>
        <v>0</v>
      </c>
      <c r="G348">
        <f>LoanPool!H348</f>
        <v>0</v>
      </c>
      <c r="H348">
        <f>Waterfall!X348</f>
        <v>0</v>
      </c>
      <c r="I348">
        <f>Waterfall!Y348</f>
        <v>0</v>
      </c>
      <c r="J348">
        <f>Waterfall!Z348</f>
        <v>1.2834789231419563E-8</v>
      </c>
      <c r="K348">
        <f>Waterfall!AA348</f>
        <v>0</v>
      </c>
      <c r="L348">
        <f>Waterfall!AB348</f>
        <v>0</v>
      </c>
      <c r="M348">
        <f>Waterfall!AC348</f>
        <v>0</v>
      </c>
    </row>
    <row r="349" spans="1:13" x14ac:dyDescent="0.2">
      <c r="A349" t="str">
        <f>Inputs!B14</f>
        <v>Base</v>
      </c>
      <c r="B349">
        <f>LoanPool!A349</f>
        <v>348</v>
      </c>
      <c r="C349">
        <f>LoanPool!B349</f>
        <v>0</v>
      </c>
      <c r="D349">
        <f>LoanPool!J349</f>
        <v>0</v>
      </c>
      <c r="E349">
        <f>LoanPool!L349</f>
        <v>0</v>
      </c>
      <c r="F349">
        <f>LoanPool!M349</f>
        <v>0</v>
      </c>
      <c r="G349">
        <f>LoanPool!H349</f>
        <v>0</v>
      </c>
      <c r="H349">
        <f>Waterfall!X349</f>
        <v>0</v>
      </c>
      <c r="I349">
        <f>Waterfall!Y349</f>
        <v>0</v>
      </c>
      <c r="J349">
        <f>Waterfall!Z349</f>
        <v>1.2834789231419563E-8</v>
      </c>
      <c r="K349">
        <f>Waterfall!AA349</f>
        <v>0</v>
      </c>
      <c r="L349">
        <f>Waterfall!AB349</f>
        <v>0</v>
      </c>
      <c r="M349">
        <f>Waterfall!AC349</f>
        <v>0</v>
      </c>
    </row>
    <row r="350" spans="1:13" x14ac:dyDescent="0.2">
      <c r="A350" t="str">
        <f>Inputs!B14</f>
        <v>Base</v>
      </c>
      <c r="B350">
        <f>LoanPool!A350</f>
        <v>349</v>
      </c>
      <c r="C350">
        <f>LoanPool!B350</f>
        <v>0</v>
      </c>
      <c r="D350">
        <f>LoanPool!J350</f>
        <v>0</v>
      </c>
      <c r="E350">
        <f>LoanPool!L350</f>
        <v>0</v>
      </c>
      <c r="F350">
        <f>LoanPool!M350</f>
        <v>0</v>
      </c>
      <c r="G350">
        <f>LoanPool!H350</f>
        <v>0</v>
      </c>
      <c r="H350">
        <f>Waterfall!X350</f>
        <v>0</v>
      </c>
      <c r="I350">
        <f>Waterfall!Y350</f>
        <v>0</v>
      </c>
      <c r="J350">
        <f>Waterfall!Z350</f>
        <v>1.2834789231419563E-8</v>
      </c>
      <c r="K350">
        <f>Waterfall!AA350</f>
        <v>0</v>
      </c>
      <c r="L350">
        <f>Waterfall!AB350</f>
        <v>0</v>
      </c>
      <c r="M350">
        <f>Waterfall!AC350</f>
        <v>0</v>
      </c>
    </row>
    <row r="351" spans="1:13" x14ac:dyDescent="0.2">
      <c r="A351" t="str">
        <f>Inputs!B14</f>
        <v>Base</v>
      </c>
      <c r="B351">
        <f>LoanPool!A351</f>
        <v>350</v>
      </c>
      <c r="C351">
        <f>LoanPool!B351</f>
        <v>0</v>
      </c>
      <c r="D351">
        <f>LoanPool!J351</f>
        <v>0</v>
      </c>
      <c r="E351">
        <f>LoanPool!L351</f>
        <v>0</v>
      </c>
      <c r="F351">
        <f>LoanPool!M351</f>
        <v>0</v>
      </c>
      <c r="G351">
        <f>LoanPool!H351</f>
        <v>0</v>
      </c>
      <c r="H351">
        <f>Waterfall!X351</f>
        <v>0</v>
      </c>
      <c r="I351">
        <f>Waterfall!Y351</f>
        <v>0</v>
      </c>
      <c r="J351">
        <f>Waterfall!Z351</f>
        <v>1.2834789231419563E-8</v>
      </c>
      <c r="K351">
        <f>Waterfall!AA351</f>
        <v>0</v>
      </c>
      <c r="L351">
        <f>Waterfall!AB351</f>
        <v>0</v>
      </c>
      <c r="M351">
        <f>Waterfall!AC351</f>
        <v>0</v>
      </c>
    </row>
    <row r="352" spans="1:13" x14ac:dyDescent="0.2">
      <c r="A352" t="str">
        <f>Inputs!B14</f>
        <v>Base</v>
      </c>
      <c r="B352">
        <f>LoanPool!A352</f>
        <v>351</v>
      </c>
      <c r="C352">
        <f>LoanPool!B352</f>
        <v>0</v>
      </c>
      <c r="D352">
        <f>LoanPool!J352</f>
        <v>0</v>
      </c>
      <c r="E352">
        <f>LoanPool!L352</f>
        <v>0</v>
      </c>
      <c r="F352">
        <f>LoanPool!M352</f>
        <v>0</v>
      </c>
      <c r="G352">
        <f>LoanPool!H352</f>
        <v>0</v>
      </c>
      <c r="H352">
        <f>Waterfall!X352</f>
        <v>0</v>
      </c>
      <c r="I352">
        <f>Waterfall!Y352</f>
        <v>0</v>
      </c>
      <c r="J352">
        <f>Waterfall!Z352</f>
        <v>1.2834789231419563E-8</v>
      </c>
      <c r="K352">
        <f>Waterfall!AA352</f>
        <v>0</v>
      </c>
      <c r="L352">
        <f>Waterfall!AB352</f>
        <v>0</v>
      </c>
      <c r="M352">
        <f>Waterfall!AC352</f>
        <v>0</v>
      </c>
    </row>
    <row r="353" spans="1:13" x14ac:dyDescent="0.2">
      <c r="A353" t="str">
        <f>Inputs!B14</f>
        <v>Base</v>
      </c>
      <c r="B353">
        <f>LoanPool!A353</f>
        <v>352</v>
      </c>
      <c r="C353">
        <f>LoanPool!B353</f>
        <v>0</v>
      </c>
      <c r="D353">
        <f>LoanPool!J353</f>
        <v>0</v>
      </c>
      <c r="E353">
        <f>LoanPool!L353</f>
        <v>0</v>
      </c>
      <c r="F353">
        <f>LoanPool!M353</f>
        <v>0</v>
      </c>
      <c r="G353">
        <f>LoanPool!H353</f>
        <v>0</v>
      </c>
      <c r="H353">
        <f>Waterfall!X353</f>
        <v>0</v>
      </c>
      <c r="I353">
        <f>Waterfall!Y353</f>
        <v>0</v>
      </c>
      <c r="J353">
        <f>Waterfall!Z353</f>
        <v>1.2834789231419563E-8</v>
      </c>
      <c r="K353">
        <f>Waterfall!AA353</f>
        <v>0</v>
      </c>
      <c r="L353">
        <f>Waterfall!AB353</f>
        <v>0</v>
      </c>
      <c r="M353">
        <f>Waterfall!AC353</f>
        <v>0</v>
      </c>
    </row>
    <row r="354" spans="1:13" x14ac:dyDescent="0.2">
      <c r="A354" t="str">
        <f>Inputs!B14</f>
        <v>Base</v>
      </c>
      <c r="B354">
        <f>LoanPool!A354</f>
        <v>353</v>
      </c>
      <c r="C354">
        <f>LoanPool!B354</f>
        <v>0</v>
      </c>
      <c r="D354">
        <f>LoanPool!J354</f>
        <v>0</v>
      </c>
      <c r="E354">
        <f>LoanPool!L354</f>
        <v>0</v>
      </c>
      <c r="F354">
        <f>LoanPool!M354</f>
        <v>0</v>
      </c>
      <c r="G354">
        <f>LoanPool!H354</f>
        <v>0</v>
      </c>
      <c r="H354">
        <f>Waterfall!X354</f>
        <v>0</v>
      </c>
      <c r="I354">
        <f>Waterfall!Y354</f>
        <v>0</v>
      </c>
      <c r="J354">
        <f>Waterfall!Z354</f>
        <v>1.2834789231419563E-8</v>
      </c>
      <c r="K354">
        <f>Waterfall!AA354</f>
        <v>0</v>
      </c>
      <c r="L354">
        <f>Waterfall!AB354</f>
        <v>0</v>
      </c>
      <c r="M354">
        <f>Waterfall!AC354</f>
        <v>0</v>
      </c>
    </row>
    <row r="355" spans="1:13" x14ac:dyDescent="0.2">
      <c r="A355" t="str">
        <f>Inputs!B14</f>
        <v>Base</v>
      </c>
      <c r="B355">
        <f>LoanPool!A355</f>
        <v>354</v>
      </c>
      <c r="C355">
        <f>LoanPool!B355</f>
        <v>0</v>
      </c>
      <c r="D355">
        <f>LoanPool!J355</f>
        <v>0</v>
      </c>
      <c r="E355">
        <f>LoanPool!L355</f>
        <v>0</v>
      </c>
      <c r="F355">
        <f>LoanPool!M355</f>
        <v>0</v>
      </c>
      <c r="G355">
        <f>LoanPool!H355</f>
        <v>0</v>
      </c>
      <c r="H355">
        <f>Waterfall!X355</f>
        <v>0</v>
      </c>
      <c r="I355">
        <f>Waterfall!Y355</f>
        <v>0</v>
      </c>
      <c r="J355">
        <f>Waterfall!Z355</f>
        <v>1.2834789231419563E-8</v>
      </c>
      <c r="K355">
        <f>Waterfall!AA355</f>
        <v>0</v>
      </c>
      <c r="L355">
        <f>Waterfall!AB355</f>
        <v>0</v>
      </c>
      <c r="M355">
        <f>Waterfall!AC355</f>
        <v>0</v>
      </c>
    </row>
    <row r="356" spans="1:13" x14ac:dyDescent="0.2">
      <c r="A356" t="str">
        <f>Inputs!B14</f>
        <v>Base</v>
      </c>
      <c r="B356">
        <f>LoanPool!A356</f>
        <v>355</v>
      </c>
      <c r="C356">
        <f>LoanPool!B356</f>
        <v>0</v>
      </c>
      <c r="D356">
        <f>LoanPool!J356</f>
        <v>0</v>
      </c>
      <c r="E356">
        <f>LoanPool!L356</f>
        <v>0</v>
      </c>
      <c r="F356">
        <f>LoanPool!M356</f>
        <v>0</v>
      </c>
      <c r="G356">
        <f>LoanPool!H356</f>
        <v>0</v>
      </c>
      <c r="H356">
        <f>Waterfall!X356</f>
        <v>0</v>
      </c>
      <c r="I356">
        <f>Waterfall!Y356</f>
        <v>0</v>
      </c>
      <c r="J356">
        <f>Waterfall!Z356</f>
        <v>1.2834789231419563E-8</v>
      </c>
      <c r="K356">
        <f>Waterfall!AA356</f>
        <v>0</v>
      </c>
      <c r="L356">
        <f>Waterfall!AB356</f>
        <v>0</v>
      </c>
      <c r="M356">
        <f>Waterfall!AC356</f>
        <v>0</v>
      </c>
    </row>
    <row r="357" spans="1:13" x14ac:dyDescent="0.2">
      <c r="A357" t="str">
        <f>Inputs!B14</f>
        <v>Base</v>
      </c>
      <c r="B357">
        <f>LoanPool!A357</f>
        <v>356</v>
      </c>
      <c r="C357">
        <f>LoanPool!B357</f>
        <v>0</v>
      </c>
      <c r="D357">
        <f>LoanPool!J357</f>
        <v>0</v>
      </c>
      <c r="E357">
        <f>LoanPool!L357</f>
        <v>0</v>
      </c>
      <c r="F357">
        <f>LoanPool!M357</f>
        <v>0</v>
      </c>
      <c r="G357">
        <f>LoanPool!H357</f>
        <v>0</v>
      </c>
      <c r="H357">
        <f>Waterfall!X357</f>
        <v>0</v>
      </c>
      <c r="I357">
        <f>Waterfall!Y357</f>
        <v>0</v>
      </c>
      <c r="J357">
        <f>Waterfall!Z357</f>
        <v>1.2834789231419563E-8</v>
      </c>
      <c r="K357">
        <f>Waterfall!AA357</f>
        <v>0</v>
      </c>
      <c r="L357">
        <f>Waterfall!AB357</f>
        <v>0</v>
      </c>
      <c r="M357">
        <f>Waterfall!AC357</f>
        <v>0</v>
      </c>
    </row>
    <row r="358" spans="1:13" x14ac:dyDescent="0.2">
      <c r="A358" t="str">
        <f>Inputs!B14</f>
        <v>Base</v>
      </c>
      <c r="B358">
        <f>LoanPool!A358</f>
        <v>357</v>
      </c>
      <c r="C358">
        <f>LoanPool!B358</f>
        <v>0</v>
      </c>
      <c r="D358">
        <f>LoanPool!J358</f>
        <v>0</v>
      </c>
      <c r="E358">
        <f>LoanPool!L358</f>
        <v>0</v>
      </c>
      <c r="F358">
        <f>LoanPool!M358</f>
        <v>0</v>
      </c>
      <c r="G358">
        <f>LoanPool!H358</f>
        <v>0</v>
      </c>
      <c r="H358">
        <f>Waterfall!X358</f>
        <v>0</v>
      </c>
      <c r="I358">
        <f>Waterfall!Y358</f>
        <v>0</v>
      </c>
      <c r="J358">
        <f>Waterfall!Z358</f>
        <v>1.2834789231419563E-8</v>
      </c>
      <c r="K358">
        <f>Waterfall!AA358</f>
        <v>0</v>
      </c>
      <c r="L358">
        <f>Waterfall!AB358</f>
        <v>0</v>
      </c>
      <c r="M358">
        <f>Waterfall!AC358</f>
        <v>0</v>
      </c>
    </row>
    <row r="359" spans="1:13" x14ac:dyDescent="0.2">
      <c r="A359" t="str">
        <f>Inputs!B14</f>
        <v>Base</v>
      </c>
      <c r="B359">
        <f>LoanPool!A359</f>
        <v>358</v>
      </c>
      <c r="C359">
        <f>LoanPool!B359</f>
        <v>0</v>
      </c>
      <c r="D359">
        <f>LoanPool!J359</f>
        <v>0</v>
      </c>
      <c r="E359">
        <f>LoanPool!L359</f>
        <v>0</v>
      </c>
      <c r="F359">
        <f>LoanPool!M359</f>
        <v>0</v>
      </c>
      <c r="G359">
        <f>LoanPool!H359</f>
        <v>0</v>
      </c>
      <c r="H359">
        <f>Waterfall!X359</f>
        <v>0</v>
      </c>
      <c r="I359">
        <f>Waterfall!Y359</f>
        <v>0</v>
      </c>
      <c r="J359">
        <f>Waterfall!Z359</f>
        <v>1.2834789231419563E-8</v>
      </c>
      <c r="K359">
        <f>Waterfall!AA359</f>
        <v>0</v>
      </c>
      <c r="L359">
        <f>Waterfall!AB359</f>
        <v>0</v>
      </c>
      <c r="M359">
        <f>Waterfall!AC359</f>
        <v>0</v>
      </c>
    </row>
    <row r="360" spans="1:13" x14ac:dyDescent="0.2">
      <c r="A360" t="str">
        <f>Inputs!B14</f>
        <v>Base</v>
      </c>
      <c r="B360">
        <f>LoanPool!A360</f>
        <v>359</v>
      </c>
      <c r="C360">
        <f>LoanPool!B360</f>
        <v>0</v>
      </c>
      <c r="D360">
        <f>LoanPool!J360</f>
        <v>0</v>
      </c>
      <c r="E360">
        <f>LoanPool!L360</f>
        <v>0</v>
      </c>
      <c r="F360">
        <f>LoanPool!M360</f>
        <v>0</v>
      </c>
      <c r="G360">
        <f>LoanPool!H360</f>
        <v>0</v>
      </c>
      <c r="H360">
        <f>Waterfall!X360</f>
        <v>0</v>
      </c>
      <c r="I360">
        <f>Waterfall!Y360</f>
        <v>0</v>
      </c>
      <c r="J360">
        <f>Waterfall!Z360</f>
        <v>1.2834789231419563E-8</v>
      </c>
      <c r="K360">
        <f>Waterfall!AA360</f>
        <v>0</v>
      </c>
      <c r="L360">
        <f>Waterfall!AB360</f>
        <v>0</v>
      </c>
      <c r="M360">
        <f>Waterfall!AC360</f>
        <v>0</v>
      </c>
    </row>
    <row r="361" spans="1:13" x14ac:dyDescent="0.2">
      <c r="A361" t="str">
        <f>Inputs!B14</f>
        <v>Base</v>
      </c>
      <c r="B361">
        <f>LoanPool!A361</f>
        <v>360</v>
      </c>
      <c r="C361">
        <f>LoanPool!B361</f>
        <v>0</v>
      </c>
      <c r="D361">
        <f>LoanPool!J361</f>
        <v>0</v>
      </c>
      <c r="E361">
        <f>LoanPool!L361</f>
        <v>0</v>
      </c>
      <c r="F361">
        <f>LoanPool!M361</f>
        <v>0</v>
      </c>
      <c r="G361">
        <f>LoanPool!H361</f>
        <v>0</v>
      </c>
      <c r="H361">
        <f>Waterfall!X361</f>
        <v>0</v>
      </c>
      <c r="I361">
        <f>Waterfall!Y361</f>
        <v>0</v>
      </c>
      <c r="J361">
        <f>Waterfall!Z361</f>
        <v>1.2834789231419563E-8</v>
      </c>
      <c r="K361">
        <f>Waterfall!AA361</f>
        <v>0</v>
      </c>
      <c r="L361">
        <f>Waterfall!AB361</f>
        <v>0</v>
      </c>
      <c r="M361">
        <f>Waterfall!AC361</f>
        <v>0</v>
      </c>
    </row>
    <row r="364" spans="1:13" x14ac:dyDescent="0.2">
      <c r="A364" s="1" t="s">
        <v>175</v>
      </c>
    </row>
    <row r="365" spans="1:13" x14ac:dyDescent="0.2">
      <c r="A365" t="s">
        <v>176</v>
      </c>
    </row>
    <row r="366" spans="1:13" x14ac:dyDescent="0.2">
      <c r="A366" t="s">
        <v>177</v>
      </c>
    </row>
    <row r="367" spans="1:13" x14ac:dyDescent="0.2">
      <c r="A367" t="s">
        <v>178</v>
      </c>
    </row>
    <row r="368" spans="1:13" x14ac:dyDescent="0.2">
      <c r="A368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Inputs</vt:lpstr>
      <vt:lpstr>LoanPool</vt:lpstr>
      <vt:lpstr>Waterfall</vt:lpstr>
      <vt:lpstr>Scenarios</vt:lpstr>
      <vt:lpstr>Checks</vt:lpstr>
      <vt:lpstr>Scenarios_V2</vt:lpstr>
      <vt:lpstr>PoolStates_V2</vt:lpstr>
      <vt:lpstr>Waterfall_V2</vt:lpstr>
      <vt:lpstr>Checks_V2</vt:lpstr>
      <vt:lpstr>CompareExport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Chung</cp:lastModifiedBy>
  <dcterms:created xsi:type="dcterms:W3CDTF">2026-06-14T21:03:16Z</dcterms:created>
  <dcterms:modified xsi:type="dcterms:W3CDTF">2026-06-15T10:41:53Z</dcterms:modified>
</cp:coreProperties>
</file>